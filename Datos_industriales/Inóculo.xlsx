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"/>
    </mc:Choice>
  </mc:AlternateContent>
  <xr:revisionPtr revIDLastSave="3462" documentId="11_AD4D2F04E46CFB4ACB3E20395551EF76693EDF1D" xr6:coauthVersionLast="47" xr6:coauthVersionMax="47" xr10:uidLastSave="{14AC8CF0-5B5B-4445-A615-AE045BDB2608}"/>
  <bookViews>
    <workbookView xWindow="19090" yWindow="-110" windowWidth="19420" windowHeight="10300" xr2:uid="{00000000-000D-0000-FFFF-FFFF00000000}"/>
  </bookViews>
  <sheets>
    <sheet name="Cabernet Sauvignon" sheetId="1" r:id="rId1"/>
    <sheet name="Cot Malbec" sheetId="2" r:id="rId2"/>
    <sheet name="Syrah" sheetId="5" r:id="rId3"/>
  </sheets>
  <definedNames>
    <definedName name="_xlnm._FilterDatabase" localSheetId="0" hidden="1">'Cabernet Sauvignon'!$A$1:$M$38</definedName>
    <definedName name="_xlnm._FilterDatabase" localSheetId="1" hidden="1">'Cot Malbec'!$A$1:$M$45</definedName>
    <definedName name="_xlnm._FilterDatabase" localSheetId="2" hidden="1">Syrah!$A$1:$M$1</definedName>
    <definedName name="_xlchart.v1.0" hidden="1">'Cabernet Sauvignon'!$M$2:$M$88</definedName>
    <definedName name="_xlchart.v1.1" hidden="1">'Cabernet Sauvignon'!$M$2:$M$88</definedName>
    <definedName name="_xlchart.v1.10" hidden="1">Syrah!$M$2:$M$42</definedName>
    <definedName name="_xlchart.v1.2" hidden="1">'Cabernet Sauvignon'!$M$2:$M$116</definedName>
    <definedName name="_xlchart.v1.3" hidden="1">'Cabernet Sauvignon'!$M$2:$M$89</definedName>
    <definedName name="_xlchart.v1.4" hidden="1">'Cabernet Sauvignon'!$M$2:$M$116</definedName>
    <definedName name="_xlchart.v1.5" hidden="1">'Cabernet Sauvignon'!$M$2:$M$116</definedName>
    <definedName name="_xlchart.v1.6" hidden="1">'Cabernet Sauvignon'!$M$2:$M$88</definedName>
    <definedName name="_xlchart.v1.7" hidden="1">'Cabernet Sauvignon'!$M$2:$M$88</definedName>
    <definedName name="_xlchart.v1.8" hidden="1">'Cabernet Sauvignon'!$M$2:$M$88</definedName>
    <definedName name="_xlchart.v1.9" hidden="1">'Cot Malbec'!$M$2:$M$55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O9" i="1"/>
  <c r="P1" i="1"/>
  <c r="AC85" i="1"/>
  <c r="AC84" i="1"/>
  <c r="J14" i="1"/>
  <c r="K14" i="1" s="1"/>
  <c r="L14" i="1"/>
  <c r="M14" i="1" s="1"/>
  <c r="H14" i="1"/>
  <c r="J30" i="1"/>
  <c r="K30" i="1" s="1"/>
  <c r="H30" i="1"/>
  <c r="J6" i="1"/>
  <c r="K6" i="1" s="1"/>
  <c r="H6" i="1"/>
  <c r="H10" i="1"/>
  <c r="H92" i="1"/>
  <c r="H11" i="1"/>
  <c r="H59" i="1"/>
  <c r="H19" i="1"/>
  <c r="H5" i="1"/>
  <c r="H17" i="1"/>
  <c r="J10" i="1"/>
  <c r="L10" i="1" s="1"/>
  <c r="M10" i="1" s="1"/>
  <c r="J92" i="1"/>
  <c r="K92" i="1" s="1"/>
  <c r="J11" i="1"/>
  <c r="K11" i="1" s="1"/>
  <c r="L11" i="1"/>
  <c r="M11" i="1"/>
  <c r="J59" i="1"/>
  <c r="K59" i="1" s="1"/>
  <c r="L59" i="1"/>
  <c r="M59" i="1" s="1"/>
  <c r="J19" i="1"/>
  <c r="K19" i="1" s="1"/>
  <c r="J5" i="1"/>
  <c r="K5" i="1" s="1"/>
  <c r="J18" i="1"/>
  <c r="L18" i="1" s="1"/>
  <c r="M18" i="1" s="1"/>
  <c r="J55" i="1"/>
  <c r="L55" i="1" s="1"/>
  <c r="M55" i="1" s="1"/>
  <c r="J104" i="1"/>
  <c r="L104" i="1" s="1"/>
  <c r="M104" i="1" s="1"/>
  <c r="J23" i="1"/>
  <c r="K23" i="1" s="1"/>
  <c r="J13" i="1"/>
  <c r="L13" i="1" s="1"/>
  <c r="M13" i="1" s="1"/>
  <c r="J58" i="1"/>
  <c r="L58" i="1" s="1"/>
  <c r="M58" i="1" s="1"/>
  <c r="J7" i="1"/>
  <c r="L7" i="1" s="1"/>
  <c r="M7" i="1" s="1"/>
  <c r="J76" i="1"/>
  <c r="K76" i="1" s="1"/>
  <c r="J17" i="1"/>
  <c r="L17" i="1" s="1"/>
  <c r="M17" i="1" s="1"/>
  <c r="H18" i="1"/>
  <c r="H55" i="1"/>
  <c r="H104" i="1"/>
  <c r="H23" i="1"/>
  <c r="H13" i="1"/>
  <c r="H58" i="1"/>
  <c r="H7" i="1"/>
  <c r="H76" i="1"/>
  <c r="J38" i="1"/>
  <c r="K38" i="1" s="1"/>
  <c r="H38" i="1"/>
  <c r="J28" i="1"/>
  <c r="P5" i="1"/>
  <c r="Q1" i="1"/>
  <c r="P4" i="1"/>
  <c r="P6" i="1" s="1"/>
  <c r="J20" i="1" s="1"/>
  <c r="K20" i="1" s="1"/>
  <c r="H3" i="1"/>
  <c r="H29" i="1"/>
  <c r="H63" i="1"/>
  <c r="H35" i="1"/>
  <c r="H33" i="1"/>
  <c r="H57" i="1"/>
  <c r="H56" i="1"/>
  <c r="H28" i="1"/>
  <c r="H111" i="1"/>
  <c r="H41" i="1"/>
  <c r="H22" i="1"/>
  <c r="H9" i="1"/>
  <c r="H2" i="1"/>
  <c r="H120" i="1" s="1"/>
  <c r="H24" i="1"/>
  <c r="H107" i="1"/>
  <c r="H114" i="1"/>
  <c r="J60" i="2"/>
  <c r="J59" i="2"/>
  <c r="H59" i="2"/>
  <c r="I102" i="1"/>
  <c r="H102" i="1"/>
  <c r="I112" i="1"/>
  <c r="I79" i="1"/>
  <c r="I105" i="1"/>
  <c r="I91" i="1"/>
  <c r="I106" i="1"/>
  <c r="I88" i="1"/>
  <c r="I116" i="1"/>
  <c r="I99" i="1"/>
  <c r="I101" i="1"/>
  <c r="H101" i="1"/>
  <c r="H99" i="1"/>
  <c r="H116" i="1"/>
  <c r="H88" i="1"/>
  <c r="H106" i="1"/>
  <c r="H91" i="1"/>
  <c r="H105" i="1"/>
  <c r="H79" i="1"/>
  <c r="H112" i="1"/>
  <c r="I115" i="1"/>
  <c r="H115" i="1"/>
  <c r="I100" i="1"/>
  <c r="I89" i="1"/>
  <c r="I110" i="1"/>
  <c r="I95" i="1"/>
  <c r="I108" i="1"/>
  <c r="I80" i="1"/>
  <c r="I93" i="1"/>
  <c r="H110" i="1"/>
  <c r="H89" i="1"/>
  <c r="H100" i="1"/>
  <c r="I75" i="1"/>
  <c r="I113" i="1"/>
  <c r="H93" i="1"/>
  <c r="H80" i="1"/>
  <c r="H108" i="1"/>
  <c r="H95" i="1"/>
  <c r="I43" i="1"/>
  <c r="I114" i="1"/>
  <c r="I60" i="1"/>
  <c r="I47" i="1"/>
  <c r="H60" i="1"/>
  <c r="H43" i="1"/>
  <c r="H113" i="1"/>
  <c r="H75" i="1"/>
  <c r="I49" i="1"/>
  <c r="I78" i="1"/>
  <c r="I50" i="1"/>
  <c r="I53" i="1"/>
  <c r="I82" i="1"/>
  <c r="I26" i="1"/>
  <c r="H50" i="1"/>
  <c r="H78" i="1"/>
  <c r="H49" i="1"/>
  <c r="H47" i="1"/>
  <c r="I83" i="1"/>
  <c r="I48" i="1"/>
  <c r="I85" i="1"/>
  <c r="I70" i="1"/>
  <c r="H83" i="1"/>
  <c r="H26" i="1"/>
  <c r="H82" i="1"/>
  <c r="H53" i="1"/>
  <c r="I52" i="1"/>
  <c r="I87" i="1"/>
  <c r="I69" i="1"/>
  <c r="I109" i="1"/>
  <c r="H109" i="1"/>
  <c r="H69" i="1"/>
  <c r="H87" i="1"/>
  <c r="H52" i="1"/>
  <c r="H70" i="1"/>
  <c r="H85" i="1"/>
  <c r="H48" i="1"/>
  <c r="I72" i="1"/>
  <c r="H72" i="1"/>
  <c r="I45" i="1"/>
  <c r="H45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2" i="2"/>
  <c r="J36" i="5"/>
  <c r="L36" i="5" s="1"/>
  <c r="M36" i="5" s="1"/>
  <c r="J37" i="5"/>
  <c r="L37" i="5" s="1"/>
  <c r="M37" i="5" s="1"/>
  <c r="H36" i="5"/>
  <c r="H37" i="5"/>
  <c r="H14" i="5"/>
  <c r="H16" i="5"/>
  <c r="H12" i="5"/>
  <c r="H13" i="5"/>
  <c r="H29" i="5"/>
  <c r="H41" i="5"/>
  <c r="H42" i="5"/>
  <c r="H35" i="5"/>
  <c r="H10" i="5"/>
  <c r="H11" i="5"/>
  <c r="I15" i="5"/>
  <c r="H34" i="5"/>
  <c r="H8" i="5"/>
  <c r="H9" i="5"/>
  <c r="H27" i="5"/>
  <c r="H6" i="5"/>
  <c r="H15" i="5"/>
  <c r="H7" i="5"/>
  <c r="H31" i="5"/>
  <c r="H28" i="5"/>
  <c r="H25" i="5"/>
  <c r="H26" i="5"/>
  <c r="H3" i="5"/>
  <c r="H32" i="5"/>
  <c r="H33" i="5"/>
  <c r="H4" i="5"/>
  <c r="H5" i="5"/>
  <c r="H30" i="5"/>
  <c r="H2" i="5"/>
  <c r="L18" i="2"/>
  <c r="L20" i="2"/>
  <c r="K38" i="2"/>
  <c r="K18" i="2"/>
  <c r="K20" i="2"/>
  <c r="J37" i="2"/>
  <c r="L37" i="2" s="1"/>
  <c r="J38" i="2"/>
  <c r="L38" i="2" s="1"/>
  <c r="J17" i="2"/>
  <c r="L17" i="2" s="1"/>
  <c r="J18" i="2"/>
  <c r="J19" i="2"/>
  <c r="L19" i="2" s="1"/>
  <c r="J20" i="2"/>
  <c r="J21" i="2"/>
  <c r="L21" i="2" s="1"/>
  <c r="J22" i="2"/>
  <c r="L22" i="2" s="1"/>
  <c r="H37" i="2"/>
  <c r="H38" i="2"/>
  <c r="H17" i="2"/>
  <c r="H18" i="2"/>
  <c r="H19" i="2"/>
  <c r="H20" i="2"/>
  <c r="H21" i="2"/>
  <c r="H22" i="2"/>
  <c r="L47" i="2"/>
  <c r="K47" i="2"/>
  <c r="J47" i="2"/>
  <c r="H47" i="2"/>
  <c r="J46" i="2"/>
  <c r="L46" i="2" s="1"/>
  <c r="K46" i="2"/>
  <c r="H46" i="2"/>
  <c r="J22" i="5"/>
  <c r="L22" i="5" s="1"/>
  <c r="M22" i="5" s="1"/>
  <c r="I19" i="5"/>
  <c r="I17" i="5"/>
  <c r="I21" i="5"/>
  <c r="I24" i="5"/>
  <c r="I23" i="5"/>
  <c r="J23" i="5" s="1"/>
  <c r="L23" i="5" s="1"/>
  <c r="M23" i="5" s="1"/>
  <c r="I22" i="5"/>
  <c r="I38" i="5"/>
  <c r="I39" i="5"/>
  <c r="I40" i="5"/>
  <c r="I20" i="5"/>
  <c r="I18" i="5"/>
  <c r="J48" i="2"/>
  <c r="J53" i="2"/>
  <c r="I26" i="2"/>
  <c r="I28" i="2"/>
  <c r="J28" i="2" s="1"/>
  <c r="K28" i="2" s="1"/>
  <c r="I27" i="2"/>
  <c r="J27" i="2" s="1"/>
  <c r="K27" i="2" s="1"/>
  <c r="I25" i="2"/>
  <c r="J25" i="2" s="1"/>
  <c r="I29" i="2"/>
  <c r="J29" i="2" s="1"/>
  <c r="I40" i="2"/>
  <c r="I39" i="2"/>
  <c r="I32" i="2"/>
  <c r="I30" i="2"/>
  <c r="I31" i="2"/>
  <c r="J31" i="2" s="1"/>
  <c r="K31" i="2" s="1"/>
  <c r="I52" i="2"/>
  <c r="J52" i="2" s="1"/>
  <c r="L52" i="2" s="1"/>
  <c r="I53" i="2"/>
  <c r="I51" i="2"/>
  <c r="J51" i="2" s="1"/>
  <c r="I50" i="2"/>
  <c r="I49" i="2"/>
  <c r="I41" i="2"/>
  <c r="I42" i="2"/>
  <c r="I24" i="2"/>
  <c r="J24" i="2" s="1"/>
  <c r="K24" i="2" s="1"/>
  <c r="I48" i="2"/>
  <c r="I77" i="1"/>
  <c r="I64" i="1"/>
  <c r="I62" i="1"/>
  <c r="I42" i="1"/>
  <c r="I40" i="1"/>
  <c r="I71" i="1"/>
  <c r="I67" i="1"/>
  <c r="I44" i="1"/>
  <c r="I68" i="1"/>
  <c r="I27" i="1"/>
  <c r="I98" i="1"/>
  <c r="I36" i="1"/>
  <c r="I94" i="1"/>
  <c r="I96" i="1"/>
  <c r="I32" i="1"/>
  <c r="I54" i="1"/>
  <c r="I25" i="1"/>
  <c r="I90" i="1"/>
  <c r="I65" i="1"/>
  <c r="I66" i="1"/>
  <c r="I37" i="1"/>
  <c r="I46" i="1"/>
  <c r="I74" i="1"/>
  <c r="I84" i="1"/>
  <c r="I86" i="1"/>
  <c r="I51" i="1"/>
  <c r="I39" i="1"/>
  <c r="I73" i="1"/>
  <c r="J45" i="2"/>
  <c r="K45" i="2" s="1"/>
  <c r="H45" i="2"/>
  <c r="H14" i="2"/>
  <c r="H16" i="2"/>
  <c r="J5" i="2"/>
  <c r="K5" i="2" s="1"/>
  <c r="H55" i="2"/>
  <c r="H5" i="2"/>
  <c r="H36" i="2"/>
  <c r="H6" i="2"/>
  <c r="H15" i="2"/>
  <c r="H23" i="2"/>
  <c r="H7" i="2"/>
  <c r="H3" i="2"/>
  <c r="H4" i="2"/>
  <c r="H9" i="2"/>
  <c r="J3" i="2"/>
  <c r="L3" i="2" s="1"/>
  <c r="H43" i="2"/>
  <c r="H10" i="2"/>
  <c r="J34" i="2"/>
  <c r="K34" i="2" s="1"/>
  <c r="J8" i="2"/>
  <c r="K8" i="2" s="1"/>
  <c r="J2" i="2"/>
  <c r="K2" i="2" s="1"/>
  <c r="J13" i="2"/>
  <c r="L13" i="2" s="1"/>
  <c r="H54" i="2"/>
  <c r="H35" i="2"/>
  <c r="H34" i="2"/>
  <c r="H8" i="2"/>
  <c r="H2" i="2"/>
  <c r="H13" i="2"/>
  <c r="H12" i="2"/>
  <c r="H11" i="2"/>
  <c r="H33" i="2"/>
  <c r="H44" i="2"/>
  <c r="H103" i="1"/>
  <c r="H81" i="1"/>
  <c r="H16" i="1"/>
  <c r="H61" i="1"/>
  <c r="H12" i="1"/>
  <c r="H31" i="1"/>
  <c r="H34" i="1"/>
  <c r="H8" i="1"/>
  <c r="H15" i="1"/>
  <c r="H4" i="1"/>
  <c r="H21" i="1"/>
  <c r="H20" i="1"/>
  <c r="H97" i="1"/>
  <c r="H40" i="5"/>
  <c r="H39" i="5"/>
  <c r="H38" i="5"/>
  <c r="H22" i="5"/>
  <c r="H23" i="5"/>
  <c r="H24" i="5"/>
  <c r="H21" i="5"/>
  <c r="H17" i="5"/>
  <c r="H19" i="5"/>
  <c r="H20" i="5"/>
  <c r="H18" i="5"/>
  <c r="H48" i="2"/>
  <c r="P1" i="5"/>
  <c r="J42" i="5" s="1"/>
  <c r="H26" i="2"/>
  <c r="H28" i="2"/>
  <c r="H27" i="2"/>
  <c r="H25" i="2"/>
  <c r="H24" i="2"/>
  <c r="H42" i="2"/>
  <c r="H41" i="2"/>
  <c r="H49" i="2"/>
  <c r="H50" i="2"/>
  <c r="H51" i="2"/>
  <c r="H53" i="2"/>
  <c r="H52" i="2"/>
  <c r="H31" i="2"/>
  <c r="H30" i="2"/>
  <c r="H32" i="2"/>
  <c r="H39" i="2"/>
  <c r="H40" i="2"/>
  <c r="H29" i="2"/>
  <c r="P1" i="2"/>
  <c r="J36" i="2" s="1"/>
  <c r="L36" i="2" s="1"/>
  <c r="H27" i="1"/>
  <c r="H98" i="1"/>
  <c r="H36" i="1"/>
  <c r="H94" i="1"/>
  <c r="H96" i="1"/>
  <c r="H32" i="1"/>
  <c r="H54" i="1"/>
  <c r="H25" i="1"/>
  <c r="H90" i="1"/>
  <c r="H65" i="1"/>
  <c r="H77" i="1"/>
  <c r="H64" i="1"/>
  <c r="H62" i="1"/>
  <c r="H42" i="1"/>
  <c r="H40" i="1"/>
  <c r="H51" i="1"/>
  <c r="H86" i="1"/>
  <c r="H84" i="1"/>
  <c r="H74" i="1"/>
  <c r="H46" i="1"/>
  <c r="H37" i="1"/>
  <c r="H66" i="1"/>
  <c r="H68" i="1"/>
  <c r="H44" i="1"/>
  <c r="H67" i="1"/>
  <c r="H71" i="1"/>
  <c r="H39" i="1"/>
  <c r="H73" i="1"/>
  <c r="L23" i="1" l="1"/>
  <c r="M23" i="1" s="1"/>
  <c r="H119" i="1"/>
  <c r="K58" i="1"/>
  <c r="K10" i="1"/>
  <c r="L30" i="1"/>
  <c r="M30" i="1" s="1"/>
  <c r="L6" i="1"/>
  <c r="M6" i="1" s="1"/>
  <c r="L5" i="1"/>
  <c r="M5" i="1" s="1"/>
  <c r="L19" i="1"/>
  <c r="M19" i="1" s="1"/>
  <c r="L92" i="1"/>
  <c r="M92" i="1" s="1"/>
  <c r="K17" i="1"/>
  <c r="L76" i="1"/>
  <c r="M76" i="1" s="1"/>
  <c r="K7" i="1"/>
  <c r="K13" i="1"/>
  <c r="K104" i="1"/>
  <c r="K55" i="1"/>
  <c r="K18" i="1"/>
  <c r="L38" i="1"/>
  <c r="M38" i="1" s="1"/>
  <c r="J87" i="1"/>
  <c r="K87" i="1" s="1"/>
  <c r="J116" i="1"/>
  <c r="K116" i="1" s="1"/>
  <c r="J102" i="1"/>
  <c r="L102" i="1" s="1"/>
  <c r="M102" i="1" s="1"/>
  <c r="J93" i="1"/>
  <c r="K93" i="1" s="1"/>
  <c r="J115" i="1"/>
  <c r="K115" i="1" s="1"/>
  <c r="J82" i="1"/>
  <c r="L82" i="1" s="1"/>
  <c r="M82" i="1" s="1"/>
  <c r="J112" i="1"/>
  <c r="K112" i="1" s="1"/>
  <c r="J101" i="1"/>
  <c r="K101" i="1" s="1"/>
  <c r="J99" i="1"/>
  <c r="K99" i="1" s="1"/>
  <c r="J111" i="1"/>
  <c r="J3" i="1"/>
  <c r="J50" i="1"/>
  <c r="K50" i="1" s="1"/>
  <c r="J106" i="1"/>
  <c r="J2" i="1"/>
  <c r="K28" i="1"/>
  <c r="J95" i="1"/>
  <c r="K95" i="1" s="1"/>
  <c r="J88" i="1"/>
  <c r="K88" i="1" s="1"/>
  <c r="J56" i="1"/>
  <c r="J94" i="1"/>
  <c r="J29" i="1"/>
  <c r="L29" i="1" s="1"/>
  <c r="M29" i="1" s="1"/>
  <c r="J80" i="1"/>
  <c r="L80" i="1" s="1"/>
  <c r="M80" i="1" s="1"/>
  <c r="J108" i="1"/>
  <c r="K108" i="1" s="1"/>
  <c r="J22" i="1"/>
  <c r="L22" i="1" s="1"/>
  <c r="M22" i="1" s="1"/>
  <c r="J57" i="1"/>
  <c r="J37" i="1"/>
  <c r="J61" i="1"/>
  <c r="L61" i="1" s="1"/>
  <c r="M61" i="1" s="1"/>
  <c r="J89" i="1"/>
  <c r="L89" i="1" s="1"/>
  <c r="M89" i="1" s="1"/>
  <c r="J91" i="1"/>
  <c r="K91" i="1" s="1"/>
  <c r="J41" i="1"/>
  <c r="K41" i="1" s="1"/>
  <c r="J9" i="1"/>
  <c r="J33" i="1"/>
  <c r="J110" i="1"/>
  <c r="L110" i="1" s="1"/>
  <c r="M110" i="1" s="1"/>
  <c r="J100" i="1"/>
  <c r="L100" i="1" s="1"/>
  <c r="M100" i="1" s="1"/>
  <c r="J105" i="1"/>
  <c r="K105" i="1" s="1"/>
  <c r="J107" i="1"/>
  <c r="K107" i="1" s="1"/>
  <c r="J35" i="1"/>
  <c r="L35" i="1" s="1"/>
  <c r="M35" i="1" s="1"/>
  <c r="J46" i="1"/>
  <c r="K46" i="1" s="1"/>
  <c r="J26" i="1"/>
  <c r="L26" i="1" s="1"/>
  <c r="M26" i="1" s="1"/>
  <c r="J79" i="1"/>
  <c r="K79" i="1" s="1"/>
  <c r="J24" i="1"/>
  <c r="K24" i="1" s="1"/>
  <c r="J63" i="1"/>
  <c r="L63" i="1" s="1"/>
  <c r="M63" i="1" s="1"/>
  <c r="K102" i="1"/>
  <c r="L93" i="1"/>
  <c r="M93" i="1" s="1"/>
  <c r="J77" i="1"/>
  <c r="L77" i="1" s="1"/>
  <c r="M77" i="1" s="1"/>
  <c r="J65" i="1"/>
  <c r="J62" i="1"/>
  <c r="L62" i="1" s="1"/>
  <c r="M62" i="1" s="1"/>
  <c r="J64" i="1"/>
  <c r="K64" i="1" s="1"/>
  <c r="J78" i="1"/>
  <c r="K78" i="1" s="1"/>
  <c r="J74" i="1"/>
  <c r="K74" i="1" s="1"/>
  <c r="J32" i="1"/>
  <c r="K32" i="1" s="1"/>
  <c r="J67" i="1"/>
  <c r="K67" i="1" s="1"/>
  <c r="J12" i="1"/>
  <c r="L12" i="1" s="1"/>
  <c r="M12" i="1" s="1"/>
  <c r="J85" i="1"/>
  <c r="L85" i="1" s="1"/>
  <c r="M85" i="1" s="1"/>
  <c r="J83" i="1"/>
  <c r="L83" i="1" s="1"/>
  <c r="M83" i="1" s="1"/>
  <c r="J75" i="1"/>
  <c r="J73" i="1"/>
  <c r="L73" i="1" s="1"/>
  <c r="M73" i="1" s="1"/>
  <c r="J114" i="1"/>
  <c r="J98" i="1"/>
  <c r="L98" i="1" s="1"/>
  <c r="M98" i="1" s="1"/>
  <c r="J51" i="1"/>
  <c r="K51" i="1" s="1"/>
  <c r="J27" i="1"/>
  <c r="L27" i="1" s="1"/>
  <c r="M27" i="1" s="1"/>
  <c r="J49" i="1"/>
  <c r="J60" i="1"/>
  <c r="K60" i="1" s="1"/>
  <c r="J25" i="1"/>
  <c r="L25" i="1" s="1"/>
  <c r="M25" i="1" s="1"/>
  <c r="J68" i="1"/>
  <c r="K68" i="1" s="1"/>
  <c r="J40" i="1"/>
  <c r="L40" i="1" s="1"/>
  <c r="M40" i="1" s="1"/>
  <c r="J53" i="1"/>
  <c r="L53" i="1" s="1"/>
  <c r="M53" i="1" s="1"/>
  <c r="J39" i="1"/>
  <c r="K39" i="1" s="1"/>
  <c r="J113" i="1"/>
  <c r="J90" i="1"/>
  <c r="K90" i="1" s="1"/>
  <c r="J103" i="1"/>
  <c r="L103" i="1" s="1"/>
  <c r="M103" i="1" s="1"/>
  <c r="J43" i="1"/>
  <c r="J47" i="1"/>
  <c r="K47" i="1" s="1"/>
  <c r="J86" i="1"/>
  <c r="K86" i="1" s="1"/>
  <c r="J16" i="1"/>
  <c r="K16" i="1" s="1"/>
  <c r="J54" i="1"/>
  <c r="L54" i="1" s="1"/>
  <c r="M54" i="1" s="1"/>
  <c r="J70" i="1"/>
  <c r="J84" i="1"/>
  <c r="K84" i="1" s="1"/>
  <c r="J81" i="1"/>
  <c r="K81" i="1" s="1"/>
  <c r="J97" i="1"/>
  <c r="K97" i="1" s="1"/>
  <c r="J52" i="1"/>
  <c r="J96" i="1"/>
  <c r="J71" i="1"/>
  <c r="J8" i="1"/>
  <c r="L8" i="1" s="1"/>
  <c r="M8" i="1" s="1"/>
  <c r="J45" i="1"/>
  <c r="L45" i="1" s="1"/>
  <c r="M45" i="1" s="1"/>
  <c r="J69" i="1"/>
  <c r="K69" i="1" s="1"/>
  <c r="J34" i="1"/>
  <c r="L34" i="1" s="1"/>
  <c r="M34" i="1" s="1"/>
  <c r="J44" i="1"/>
  <c r="K44" i="1" s="1"/>
  <c r="J66" i="1"/>
  <c r="K66" i="1" s="1"/>
  <c r="J36" i="1"/>
  <c r="K36" i="1" s="1"/>
  <c r="J42" i="1"/>
  <c r="K42" i="1" s="1"/>
  <c r="J31" i="1"/>
  <c r="L31" i="1" s="1"/>
  <c r="M31" i="1" s="1"/>
  <c r="J72" i="1"/>
  <c r="K72" i="1" s="1"/>
  <c r="J48" i="1"/>
  <c r="K48" i="1" s="1"/>
  <c r="L87" i="1"/>
  <c r="M87" i="1" s="1"/>
  <c r="J4" i="1"/>
  <c r="L4" i="1" s="1"/>
  <c r="M4" i="1" s="1"/>
  <c r="J21" i="1"/>
  <c r="L21" i="1" s="1"/>
  <c r="M21" i="1" s="1"/>
  <c r="J109" i="1"/>
  <c r="J15" i="1"/>
  <c r="L15" i="1" s="1"/>
  <c r="M15" i="1" s="1"/>
  <c r="J35" i="5"/>
  <c r="K35" i="5" s="1"/>
  <c r="J10" i="5"/>
  <c r="K10" i="5" s="1"/>
  <c r="J5" i="5"/>
  <c r="K5" i="5" s="1"/>
  <c r="J4" i="5"/>
  <c r="L4" i="5" s="1"/>
  <c r="M4" i="5" s="1"/>
  <c r="J18" i="5"/>
  <c r="J21" i="5"/>
  <c r="L21" i="5" s="1"/>
  <c r="M21" i="5" s="1"/>
  <c r="J31" i="5"/>
  <c r="L31" i="5" s="1"/>
  <c r="M31" i="5" s="1"/>
  <c r="J20" i="5"/>
  <c r="J17" i="5"/>
  <c r="J30" i="5"/>
  <c r="L30" i="5" s="1"/>
  <c r="M30" i="5" s="1"/>
  <c r="J40" i="5"/>
  <c r="L40" i="5" s="1"/>
  <c r="M40" i="5" s="1"/>
  <c r="J19" i="5"/>
  <c r="L19" i="5" s="1"/>
  <c r="M19" i="5" s="1"/>
  <c r="J34" i="5"/>
  <c r="K34" i="5" s="1"/>
  <c r="J16" i="5"/>
  <c r="L16" i="5" s="1"/>
  <c r="M16" i="5" s="1"/>
  <c r="H44" i="5"/>
  <c r="J8" i="5"/>
  <c r="K8" i="5" s="1"/>
  <c r="J39" i="5"/>
  <c r="H45" i="5"/>
  <c r="J15" i="5"/>
  <c r="J14" i="5"/>
  <c r="L14" i="5" s="1"/>
  <c r="M14" i="5" s="1"/>
  <c r="K21" i="2"/>
  <c r="H60" i="2"/>
  <c r="K19" i="2"/>
  <c r="K17" i="2"/>
  <c r="K22" i="2"/>
  <c r="K37" i="5"/>
  <c r="K36" i="5"/>
  <c r="K15" i="5"/>
  <c r="L15" i="5"/>
  <c r="M15" i="5" s="1"/>
  <c r="L42" i="5"/>
  <c r="M42" i="5" s="1"/>
  <c r="K42" i="5"/>
  <c r="J2" i="5"/>
  <c r="J33" i="5"/>
  <c r="K33" i="5" s="1"/>
  <c r="J32" i="5"/>
  <c r="L32" i="5" s="1"/>
  <c r="M32" i="5" s="1"/>
  <c r="J41" i="5"/>
  <c r="J3" i="5"/>
  <c r="K3" i="5" s="1"/>
  <c r="J6" i="5"/>
  <c r="J29" i="5"/>
  <c r="J26" i="5"/>
  <c r="L5" i="5"/>
  <c r="M5" i="5" s="1"/>
  <c r="J27" i="5"/>
  <c r="J13" i="5"/>
  <c r="J25" i="5"/>
  <c r="J12" i="5"/>
  <c r="J24" i="5"/>
  <c r="K24" i="5" s="1"/>
  <c r="J28" i="5"/>
  <c r="L28" i="5" s="1"/>
  <c r="M28" i="5" s="1"/>
  <c r="J9" i="5"/>
  <c r="J11" i="5"/>
  <c r="L11" i="5" s="1"/>
  <c r="M11" i="5" s="1"/>
  <c r="J38" i="5"/>
  <c r="L38" i="5" s="1"/>
  <c r="M38" i="5" s="1"/>
  <c r="J7" i="5"/>
  <c r="L35" i="5"/>
  <c r="M35" i="5" s="1"/>
  <c r="L10" i="5"/>
  <c r="M10" i="5" s="1"/>
  <c r="L33" i="5"/>
  <c r="M33" i="5" s="1"/>
  <c r="K32" i="5"/>
  <c r="K37" i="2"/>
  <c r="J55" i="2"/>
  <c r="L55" i="2" s="1"/>
  <c r="J41" i="2"/>
  <c r="L41" i="2" s="1"/>
  <c r="J32" i="2"/>
  <c r="L32" i="2" s="1"/>
  <c r="J44" i="2"/>
  <c r="K44" i="2" s="1"/>
  <c r="J9" i="2"/>
  <c r="K9" i="2" s="1"/>
  <c r="J4" i="2"/>
  <c r="L4" i="2" s="1"/>
  <c r="J50" i="2"/>
  <c r="K50" i="2" s="1"/>
  <c r="J40" i="2"/>
  <c r="K40" i="2" s="1"/>
  <c r="L5" i="2"/>
  <c r="J35" i="2"/>
  <c r="K35" i="2" s="1"/>
  <c r="J7" i="2"/>
  <c r="J23" i="2"/>
  <c r="K23" i="2" s="1"/>
  <c r="J16" i="2"/>
  <c r="K16" i="2" s="1"/>
  <c r="J39" i="2"/>
  <c r="K39" i="2" s="1"/>
  <c r="J49" i="2"/>
  <c r="K49" i="2" s="1"/>
  <c r="J33" i="2"/>
  <c r="K33" i="2" s="1"/>
  <c r="J54" i="2"/>
  <c r="L54" i="2" s="1"/>
  <c r="J43" i="2"/>
  <c r="J15" i="2"/>
  <c r="K15" i="2" s="1"/>
  <c r="J11" i="2"/>
  <c r="L11" i="2" s="1"/>
  <c r="J6" i="2"/>
  <c r="L6" i="2" s="1"/>
  <c r="J14" i="2"/>
  <c r="J26" i="2"/>
  <c r="K26" i="2" s="1"/>
  <c r="J30" i="2"/>
  <c r="L30" i="2" s="1"/>
  <c r="J42" i="2"/>
  <c r="J12" i="2"/>
  <c r="L12" i="2" s="1"/>
  <c r="J10" i="2"/>
  <c r="K10" i="2" s="1"/>
  <c r="K3" i="2"/>
  <c r="L45" i="2"/>
  <c r="K36" i="2"/>
  <c r="L8" i="2"/>
  <c r="K13" i="2"/>
  <c r="L2" i="2"/>
  <c r="L34" i="2"/>
  <c r="K54" i="2"/>
  <c r="L20" i="1"/>
  <c r="M20" i="1" s="1"/>
  <c r="K21" i="5"/>
  <c r="K23" i="5"/>
  <c r="K40" i="5"/>
  <c r="K29" i="2"/>
  <c r="K51" i="2"/>
  <c r="L53" i="2"/>
  <c r="K22" i="5"/>
  <c r="L31" i="2"/>
  <c r="L24" i="2"/>
  <c r="L28" i="2"/>
  <c r="L27" i="2"/>
  <c r="K52" i="2"/>
  <c r="J120" i="1" l="1"/>
  <c r="J119" i="1"/>
  <c r="K80" i="1"/>
  <c r="K100" i="1"/>
  <c r="L116" i="1"/>
  <c r="M116" i="1" s="1"/>
  <c r="L50" i="1"/>
  <c r="M50" i="1" s="1"/>
  <c r="L91" i="1"/>
  <c r="M91" i="1" s="1"/>
  <c r="L107" i="1"/>
  <c r="M107" i="1" s="1"/>
  <c r="K89" i="1"/>
  <c r="K82" i="1"/>
  <c r="K22" i="1"/>
  <c r="K29" i="1"/>
  <c r="K35" i="1"/>
  <c r="L115" i="1"/>
  <c r="M115" i="1" s="1"/>
  <c r="L112" i="1"/>
  <c r="M112" i="1" s="1"/>
  <c r="L79" i="1"/>
  <c r="M79" i="1" s="1"/>
  <c r="L95" i="1"/>
  <c r="M95" i="1" s="1"/>
  <c r="L101" i="1"/>
  <c r="M101" i="1" s="1"/>
  <c r="L24" i="1"/>
  <c r="M24" i="1" s="1"/>
  <c r="L28" i="1"/>
  <c r="M28" i="1" s="1"/>
  <c r="K110" i="1"/>
  <c r="L41" i="1"/>
  <c r="M41" i="1" s="1"/>
  <c r="L111" i="1"/>
  <c r="M111" i="1" s="1"/>
  <c r="K111" i="1"/>
  <c r="L105" i="1"/>
  <c r="M105" i="1" s="1"/>
  <c r="K63" i="1"/>
  <c r="L33" i="1"/>
  <c r="M33" i="1" s="1"/>
  <c r="K33" i="1"/>
  <c r="K9" i="1"/>
  <c r="L9" i="1"/>
  <c r="M9" i="1" s="1"/>
  <c r="K2" i="1"/>
  <c r="L99" i="1"/>
  <c r="M99" i="1" s="1"/>
  <c r="K61" i="1"/>
  <c r="K106" i="1"/>
  <c r="L106" i="1"/>
  <c r="M106" i="1" s="1"/>
  <c r="K25" i="1"/>
  <c r="L108" i="1"/>
  <c r="M108" i="1" s="1"/>
  <c r="L88" i="1"/>
  <c r="M88" i="1" s="1"/>
  <c r="L3" i="1"/>
  <c r="M3" i="1" s="1"/>
  <c r="K3" i="1"/>
  <c r="K56" i="1"/>
  <c r="L56" i="1"/>
  <c r="M56" i="1" s="1"/>
  <c r="K26" i="1"/>
  <c r="K57" i="1"/>
  <c r="L57" i="1"/>
  <c r="M57" i="1" s="1"/>
  <c r="L114" i="1"/>
  <c r="M114" i="1" s="1"/>
  <c r="K77" i="1"/>
  <c r="L39" i="1"/>
  <c r="M39" i="1" s="1"/>
  <c r="K103" i="1"/>
  <c r="K53" i="1"/>
  <c r="K27" i="1"/>
  <c r="K83" i="1"/>
  <c r="K12" i="1"/>
  <c r="K85" i="1"/>
  <c r="L47" i="1"/>
  <c r="M47" i="1" s="1"/>
  <c r="K114" i="1"/>
  <c r="K73" i="1"/>
  <c r="L43" i="1"/>
  <c r="M43" i="1" s="1"/>
  <c r="K43" i="1"/>
  <c r="L75" i="1"/>
  <c r="M75" i="1" s="1"/>
  <c r="K75" i="1"/>
  <c r="L78" i="1"/>
  <c r="M78" i="1" s="1"/>
  <c r="L113" i="1"/>
  <c r="M113" i="1" s="1"/>
  <c r="K113" i="1"/>
  <c r="K49" i="1"/>
  <c r="L49" i="1"/>
  <c r="M49" i="1" s="1"/>
  <c r="L60" i="1"/>
  <c r="M60" i="1" s="1"/>
  <c r="L97" i="1"/>
  <c r="M97" i="1" s="1"/>
  <c r="K31" i="1"/>
  <c r="K15" i="1"/>
  <c r="K54" i="1"/>
  <c r="K8" i="1"/>
  <c r="L72" i="1"/>
  <c r="M72" i="1" s="1"/>
  <c r="L16" i="1"/>
  <c r="M16" i="1" s="1"/>
  <c r="K45" i="1"/>
  <c r="K52" i="1"/>
  <c r="L52" i="1"/>
  <c r="M52" i="1" s="1"/>
  <c r="K70" i="1"/>
  <c r="L70" i="1"/>
  <c r="M70" i="1" s="1"/>
  <c r="L81" i="1"/>
  <c r="M81" i="1" s="1"/>
  <c r="K34" i="1"/>
  <c r="L48" i="1"/>
  <c r="M48" i="1" s="1"/>
  <c r="L69" i="1"/>
  <c r="M69" i="1" s="1"/>
  <c r="K109" i="1"/>
  <c r="L109" i="1"/>
  <c r="M109" i="1" s="1"/>
  <c r="K4" i="1"/>
  <c r="K21" i="1"/>
  <c r="K16" i="5"/>
  <c r="L24" i="5"/>
  <c r="M24" i="5" s="1"/>
  <c r="K31" i="5"/>
  <c r="K30" i="5"/>
  <c r="L3" i="5"/>
  <c r="M3" i="5" s="1"/>
  <c r="L8" i="5"/>
  <c r="M8" i="5" s="1"/>
  <c r="K4" i="5"/>
  <c r="L34" i="5"/>
  <c r="M34" i="5" s="1"/>
  <c r="K14" i="5"/>
  <c r="K6" i="2"/>
  <c r="K41" i="2"/>
  <c r="L10" i="2"/>
  <c r="K13" i="5"/>
  <c r="L13" i="5"/>
  <c r="M13" i="5" s="1"/>
  <c r="K26" i="5"/>
  <c r="L26" i="5"/>
  <c r="M26" i="5" s="1"/>
  <c r="K41" i="5"/>
  <c r="L41" i="5"/>
  <c r="M41" i="5" s="1"/>
  <c r="L2" i="5"/>
  <c r="M2" i="5" s="1"/>
  <c r="K2" i="5"/>
  <c r="K12" i="5"/>
  <c r="L12" i="5"/>
  <c r="M12" i="5" s="1"/>
  <c r="L6" i="5"/>
  <c r="M6" i="5" s="1"/>
  <c r="K6" i="5"/>
  <c r="K27" i="5"/>
  <c r="L27" i="5"/>
  <c r="M27" i="5" s="1"/>
  <c r="K38" i="5"/>
  <c r="K9" i="5"/>
  <c r="L9" i="5"/>
  <c r="M9" i="5" s="1"/>
  <c r="K29" i="5"/>
  <c r="L29" i="5"/>
  <c r="M29" i="5" s="1"/>
  <c r="K11" i="5"/>
  <c r="K28" i="5"/>
  <c r="L7" i="5"/>
  <c r="M7" i="5" s="1"/>
  <c r="K7" i="5"/>
  <c r="L25" i="5"/>
  <c r="M25" i="5" s="1"/>
  <c r="K25" i="5"/>
  <c r="K32" i="2"/>
  <c r="L40" i="2"/>
  <c r="K55" i="2"/>
  <c r="L44" i="2"/>
  <c r="K11" i="2"/>
  <c r="L50" i="2"/>
  <c r="L15" i="2"/>
  <c r="K4" i="2"/>
  <c r="L23" i="2"/>
  <c r="L9" i="2"/>
  <c r="L16" i="2"/>
  <c r="L26" i="2"/>
  <c r="L7" i="2"/>
  <c r="K7" i="2"/>
  <c r="K14" i="2"/>
  <c r="L14" i="2"/>
  <c r="L35" i="2"/>
  <c r="L33" i="2"/>
  <c r="K43" i="2"/>
  <c r="L43" i="2"/>
  <c r="K12" i="2"/>
  <c r="K53" i="2"/>
  <c r="L29" i="2"/>
  <c r="L51" i="2"/>
  <c r="L39" i="2"/>
  <c r="L39" i="5"/>
  <c r="M39" i="5" s="1"/>
  <c r="K39" i="5"/>
  <c r="L20" i="5"/>
  <c r="M20" i="5" s="1"/>
  <c r="K20" i="5"/>
  <c r="K18" i="5"/>
  <c r="L18" i="5"/>
  <c r="M18" i="5" s="1"/>
  <c r="K19" i="5"/>
  <c r="L17" i="5"/>
  <c r="M17" i="5" s="1"/>
  <c r="K17" i="5"/>
  <c r="L48" i="2"/>
  <c r="K48" i="2"/>
  <c r="K30" i="2"/>
  <c r="K42" i="2"/>
  <c r="L42" i="2"/>
  <c r="L25" i="2"/>
  <c r="K25" i="2"/>
  <c r="L49" i="2"/>
  <c r="L66" i="1"/>
  <c r="M66" i="1" s="1"/>
  <c r="L36" i="1"/>
  <c r="M36" i="1" s="1"/>
  <c r="K98" i="1"/>
  <c r="L44" i="1"/>
  <c r="M44" i="1" s="1"/>
  <c r="L32" i="1"/>
  <c r="M32" i="1" s="1"/>
  <c r="L68" i="1"/>
  <c r="M68" i="1" s="1"/>
  <c r="L94" i="1"/>
  <c r="M94" i="1" s="1"/>
  <c r="K94" i="1"/>
  <c r="K96" i="1"/>
  <c r="L96" i="1"/>
  <c r="M96" i="1" s="1"/>
  <c r="L86" i="1"/>
  <c r="M86" i="1" s="1"/>
  <c r="K62" i="1"/>
  <c r="L51" i="1"/>
  <c r="M51" i="1" s="1"/>
  <c r="L74" i="1"/>
  <c r="M74" i="1" s="1"/>
  <c r="K40" i="1"/>
  <c r="L46" i="1"/>
  <c r="M46" i="1" s="1"/>
  <c r="K65" i="1"/>
  <c r="L65" i="1"/>
  <c r="M65" i="1" s="1"/>
  <c r="L37" i="1"/>
  <c r="M37" i="1" s="1"/>
  <c r="K37" i="1"/>
  <c r="L42" i="1"/>
  <c r="M42" i="1" s="1"/>
  <c r="L90" i="1"/>
  <c r="M90" i="1" s="1"/>
  <c r="L84" i="1"/>
  <c r="M84" i="1" s="1"/>
  <c r="K71" i="1"/>
  <c r="L71" i="1"/>
  <c r="M71" i="1" s="1"/>
  <c r="L67" i="1"/>
  <c r="M67" i="1" s="1"/>
  <c r="L64" i="1"/>
  <c r="M64" i="1" s="1"/>
  <c r="M120" i="1" l="1"/>
  <c r="M119" i="1"/>
  <c r="M123" i="1"/>
  <c r="M122" i="1"/>
  <c r="M121" i="1"/>
  <c r="M60" i="2"/>
  <c r="M59" i="2"/>
  <c r="L45" i="5"/>
  <c r="L44" i="5"/>
  <c r="M45" i="5" l="1"/>
  <c r="M44" i="5"/>
</calcChain>
</file>

<file path=xl/sharedStrings.xml><?xml version="1.0" encoding="utf-8"?>
<sst xmlns="http://schemas.openxmlformats.org/spreadsheetml/2006/main" count="477" uniqueCount="113">
  <si>
    <t>Codigo</t>
  </si>
  <si>
    <t>Cuba</t>
  </si>
  <si>
    <t>Cubada</t>
  </si>
  <si>
    <t>CS 25 BOLDO</t>
  </si>
  <si>
    <t>Volumen levadura (L)</t>
  </si>
  <si>
    <t>Volumen útil (L)</t>
  </si>
  <si>
    <t>Dosis (%)</t>
  </si>
  <si>
    <t>Población (células/ml)</t>
  </si>
  <si>
    <t>Variedad</t>
  </si>
  <si>
    <t>Cabernet Sauvignon</t>
  </si>
  <si>
    <t>Concentración (g/L)</t>
  </si>
  <si>
    <t>Relación g/célula</t>
  </si>
  <si>
    <t>CS 25 EL BOLDO</t>
  </si>
  <si>
    <t>CS 25 KEULE L-30 + BOLDO</t>
  </si>
  <si>
    <t>Concentración (g/hL)</t>
  </si>
  <si>
    <t>CS 25 LOU</t>
  </si>
  <si>
    <t>CS 25 AGRO CAUQ + LOU + BOLDO</t>
  </si>
  <si>
    <t>Masa de células (g)</t>
  </si>
  <si>
    <t>CS 25 KEULE + FN</t>
  </si>
  <si>
    <t>CF 25 VAL + CS 25 BOLDO</t>
  </si>
  <si>
    <t>CS 25 BOL_SPKMedia</t>
  </si>
  <si>
    <t>CS25 BOL_SPKAlta</t>
  </si>
  <si>
    <t>CS 25 EL BOLDO L-20</t>
  </si>
  <si>
    <t>CS 25 PILQ</t>
  </si>
  <si>
    <t>CS 25 EL BOLDO Spika Media</t>
  </si>
  <si>
    <t>CS 25 EL BOLDO Spika Control</t>
  </si>
  <si>
    <t>CS25 BOL_SPKControl</t>
  </si>
  <si>
    <t>MA 25 LOU</t>
  </si>
  <si>
    <t>Cot Malbec</t>
  </si>
  <si>
    <t>MA 25 ARENAL</t>
  </si>
  <si>
    <t>SY 25 LOU</t>
  </si>
  <si>
    <t>Syrah</t>
  </si>
  <si>
    <t>ME 25 ARBOLEDA</t>
  </si>
  <si>
    <t>Merlot, Syrah</t>
  </si>
  <si>
    <t>AB LOU R2</t>
  </si>
  <si>
    <t>Aspirant, Syrah</t>
  </si>
  <si>
    <t>Año</t>
  </si>
  <si>
    <t>CS 24 LOU</t>
  </si>
  <si>
    <t>CS 24 RH+LOU</t>
  </si>
  <si>
    <t>CS 24 LOU+FN+AGROCAUQ</t>
  </si>
  <si>
    <t>CA+CS 24 LOU+MVALDES</t>
  </si>
  <si>
    <t>MA+CS 24 BOLDO+LOU</t>
  </si>
  <si>
    <t>Cabernet Sauvignon, Cot Malbec</t>
  </si>
  <si>
    <t>MA + CS 24 LOU</t>
  </si>
  <si>
    <t>MA 24 LOU</t>
  </si>
  <si>
    <t>MA 24 ARE+LOU</t>
  </si>
  <si>
    <t>MA24LOUC78</t>
  </si>
  <si>
    <t>Cot Malbec (Super Premium)</t>
  </si>
  <si>
    <t>MA24LOUC67</t>
  </si>
  <si>
    <t>SY 24 LOU</t>
  </si>
  <si>
    <t>SY 24 LOU+VAL+FN</t>
  </si>
  <si>
    <t>SY 24 LOU+FN</t>
  </si>
  <si>
    <t>SY 24 LOU + STARAQ</t>
  </si>
  <si>
    <t>SY 24 LOU + STARAQ + VAL</t>
  </si>
  <si>
    <t>SY 24 VAL+LOU</t>
  </si>
  <si>
    <t>CS 25 F.N. + AGRO CAUQ</t>
  </si>
  <si>
    <t>ME 25 F.N.</t>
  </si>
  <si>
    <t>CS 25 M.P. VALDES</t>
  </si>
  <si>
    <t>CS 25 Q. AGUA</t>
  </si>
  <si>
    <t>CS 25 AGRO CAUQ</t>
  </si>
  <si>
    <t>CS 25 SAN JORGE + M. PAROT</t>
  </si>
  <si>
    <t>CS 25 ARENAL + FN</t>
  </si>
  <si>
    <t>CS 25 ARENAL</t>
  </si>
  <si>
    <t>CS 25 BERRIES</t>
  </si>
  <si>
    <t>CS 25 F.N</t>
  </si>
  <si>
    <t>CS 25 F.N.</t>
  </si>
  <si>
    <t>CS 25 J.M. UGARTE</t>
  </si>
  <si>
    <t>CS BERRIES</t>
  </si>
  <si>
    <t> CS 25 ARENAL (IC C2 y 5)</t>
  </si>
  <si>
    <t>CS 25 EL ARENAL</t>
  </si>
  <si>
    <t>CS J.M. UGARTE</t>
  </si>
  <si>
    <t>CS 25 J.M. UGARTE + M.P. VALDES</t>
  </si>
  <si>
    <t>CS 25 J.M UGARTE</t>
  </si>
  <si>
    <t>CS 25 P. VALDES</t>
  </si>
  <si>
    <t>CS 25 P.V. + M.P.V</t>
  </si>
  <si>
    <t>CS/CR 25 El Colorado</t>
  </si>
  <si>
    <t>CS 25 M.P. VALDES + P. VALDES</t>
  </si>
  <si>
    <t>CS 25 EL COLORADO Spika Control</t>
  </si>
  <si>
    <t>CS 25 EL COLORADO</t>
  </si>
  <si>
    <t>Masa célula/volumen total (g/L)</t>
  </si>
  <si>
    <t>CS 24 AGROCAUQ</t>
  </si>
  <si>
    <t>CS 24 VALDES</t>
  </si>
  <si>
    <t>CS+MA 24 COL+JMU+IVALDES</t>
  </si>
  <si>
    <t>CS24RIOC1-7</t>
  </si>
  <si>
    <t>CS 24 BERRIES</t>
  </si>
  <si>
    <t>CS 24 IVALDES</t>
  </si>
  <si>
    <t>CS 24 UGARTE</t>
  </si>
  <si>
    <t>Min</t>
  </si>
  <si>
    <t>CFU/g</t>
  </si>
  <si>
    <t>Max</t>
  </si>
  <si>
    <t>Promedio</t>
  </si>
  <si>
    <t>Células viables en un gramo:</t>
  </si>
  <si>
    <t>Gramos de una célula viable</t>
  </si>
  <si>
    <t>promedio</t>
  </si>
  <si>
    <t>desv.estándar</t>
  </si>
  <si>
    <t>CS 24 BERRIES+RH</t>
  </si>
  <si>
    <t>CS 24 PAROT+AURORA</t>
  </si>
  <si>
    <t>CS AURORA+ANTIQ+(I+M)VALDES</t>
  </si>
  <si>
    <t>mediana</t>
  </si>
  <si>
    <t>primer cuartil</t>
  </si>
  <si>
    <t>tercer cuartil</t>
  </si>
  <si>
    <t>CS 24 AGROCAUQ+AURORA</t>
  </si>
  <si>
    <t>CS 24 RH</t>
  </si>
  <si>
    <t>CS24COL_SPICAMedio</t>
  </si>
  <si>
    <t>CS CONQ EVOAK N°8</t>
  </si>
  <si>
    <t>CS 24 CONQ EVOAK N°10</t>
  </si>
  <si>
    <t>CS24QAGC40-9</t>
  </si>
  <si>
    <t>CS 24 CONQ+IVALDES</t>
  </si>
  <si>
    <t>CS CONQ EVOAK N°7</t>
  </si>
  <si>
    <t>CS 24 CONQ EVOAK N°6</t>
  </si>
  <si>
    <t>CS 24 CONQ</t>
  </si>
  <si>
    <t>CS 24 FN</t>
  </si>
  <si>
    <t>desv.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</si>
</sst>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"/>
    <numFmt numFmtId="166" formatCode="0.0000E+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  <xf numFmtId="1" fontId="0" fillId="0" borderId="0" xfId="0" applyNumberFormat="1"/>
    <xf numFmtId="0" fontId="0" fillId="0" borderId="0" xfId="1" applyNumberFormat="1" applyFont="1"/>
    <xf numFmtId="1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Border="1"/>
    <xf numFmtId="1" fontId="0" fillId="0" borderId="0" xfId="0" applyNumberFormat="1" applyBorder="1"/>
    <xf numFmtId="10" fontId="0" fillId="0" borderId="0" xfId="1" applyNumberFormat="1" applyFont="1" applyBorder="1"/>
    <xf numFmtId="0" fontId="0" fillId="0" borderId="1" xfId="0" applyBorder="1"/>
    <xf numFmtId="0" fontId="0" fillId="0" borderId="2" xfId="0" applyBorder="1"/>
    <xf numFmtId="1" fontId="0" fillId="0" borderId="2" xfId="0" applyNumberFormat="1" applyBorder="1"/>
    <xf numFmtId="10" fontId="0" fillId="0" borderId="2" xfId="1" applyNumberFormat="1" applyFont="1" applyBorder="1"/>
    <xf numFmtId="165" fontId="0" fillId="0" borderId="3" xfId="1" applyNumberFormat="1" applyFont="1" applyBorder="1"/>
    <xf numFmtId="0" fontId="0" fillId="0" borderId="4" xfId="0" applyBorder="1"/>
    <xf numFmtId="165" fontId="0" fillId="0" borderId="5" xfId="1" applyNumberFormat="1" applyFont="1" applyBorder="1"/>
    <xf numFmtId="0" fontId="0" fillId="0" borderId="6" xfId="0" applyBorder="1"/>
    <xf numFmtId="0" fontId="0" fillId="0" borderId="7" xfId="0" applyBorder="1"/>
    <xf numFmtId="1" fontId="0" fillId="0" borderId="7" xfId="0" applyNumberFormat="1" applyBorder="1"/>
    <xf numFmtId="10" fontId="0" fillId="0" borderId="7" xfId="1" applyNumberFormat="1" applyFont="1" applyBorder="1"/>
    <xf numFmtId="165" fontId="0" fillId="0" borderId="8" xfId="1" applyNumberFormat="1" applyFont="1" applyBorder="1"/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7904045142937395E-3"/>
                  <c:y val="0.35535400358375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'Cabernet Sauvignon'!$H$2:$H$116</c:f>
              <c:numCache>
                <c:formatCode>0.00%</c:formatCode>
                <c:ptCount val="115"/>
                <c:pt idx="0">
                  <c:v>4.7239630901017224E-3</c:v>
                </c:pt>
                <c:pt idx="1">
                  <c:v>4.9799556783944625E-3</c:v>
                </c:pt>
                <c:pt idx="2">
                  <c:v>4.6405147877737907E-3</c:v>
                </c:pt>
                <c:pt idx="3">
                  <c:v>4.753303545964445E-3</c:v>
                </c:pt>
                <c:pt idx="4">
                  <c:v>4.7738773431781293E-3</c:v>
                </c:pt>
                <c:pt idx="5">
                  <c:v>4.8817795713797536E-3</c:v>
                </c:pt>
                <c:pt idx="6">
                  <c:v>2.4819233251154094E-3</c:v>
                </c:pt>
                <c:pt idx="7">
                  <c:v>4.5133821781582388E-3</c:v>
                </c:pt>
                <c:pt idx="8">
                  <c:v>5.0132014304334746E-3</c:v>
                </c:pt>
                <c:pt idx="9">
                  <c:v>4.6060308296996871E-3</c:v>
                </c:pt>
                <c:pt idx="10">
                  <c:v>4.6956440075756386E-3</c:v>
                </c:pt>
                <c:pt idx="11">
                  <c:v>5.1938158965391876E-3</c:v>
                </c:pt>
                <c:pt idx="12">
                  <c:v>5.2596514604298893E-3</c:v>
                </c:pt>
                <c:pt idx="13">
                  <c:v>5.3794290632620855E-3</c:v>
                </c:pt>
                <c:pt idx="14">
                  <c:v>4.9888582166494827E-3</c:v>
                </c:pt>
                <c:pt idx="15">
                  <c:v>5.1180565033437965E-3</c:v>
                </c:pt>
                <c:pt idx="16">
                  <c:v>4.5784750625724926E-3</c:v>
                </c:pt>
                <c:pt idx="17">
                  <c:v>4.7004261719729252E-3</c:v>
                </c:pt>
                <c:pt idx="18">
                  <c:v>4.7927916413713773E-3</c:v>
                </c:pt>
                <c:pt idx="19">
                  <c:v>4.9471479691957591E-3</c:v>
                </c:pt>
                <c:pt idx="20">
                  <c:v>4.7155575675267847E-3</c:v>
                </c:pt>
                <c:pt idx="21">
                  <c:v>2.9675791972698273E-3</c:v>
                </c:pt>
                <c:pt idx="22">
                  <c:v>2.9698265621287715E-3</c:v>
                </c:pt>
                <c:pt idx="23">
                  <c:v>3.4782608695652175E-3</c:v>
                </c:pt>
                <c:pt idx="24">
                  <c:v>3.5025042905677561E-3</c:v>
                </c:pt>
                <c:pt idx="25">
                  <c:v>3.534817956875221E-3</c:v>
                </c:pt>
                <c:pt idx="26">
                  <c:v>4.4526240797910233E-3</c:v>
                </c:pt>
                <c:pt idx="27">
                  <c:v>5.2088759245754769E-3</c:v>
                </c:pt>
                <c:pt idx="28">
                  <c:v>3.2891490971285729E-3</c:v>
                </c:pt>
                <c:pt idx="29">
                  <c:v>3.3193367965080578E-3</c:v>
                </c:pt>
                <c:pt idx="30">
                  <c:v>4.2677895695222923E-3</c:v>
                </c:pt>
                <c:pt idx="31">
                  <c:v>3.0484706838735899E-3</c:v>
                </c:pt>
                <c:pt idx="32">
                  <c:v>3.8162112654556556E-3</c:v>
                </c:pt>
                <c:pt idx="33">
                  <c:v>4.6037972119404085E-3</c:v>
                </c:pt>
                <c:pt idx="34">
                  <c:v>4.3575516369868984E-3</c:v>
                </c:pt>
                <c:pt idx="35">
                  <c:v>4.3575516369868984E-3</c:v>
                </c:pt>
                <c:pt idx="36">
                  <c:v>3.8208042793007927E-3</c:v>
                </c:pt>
                <c:pt idx="37">
                  <c:v>4.5400889857441203E-3</c:v>
                </c:pt>
                <c:pt idx="38">
                  <c:v>4.5666270892318929E-3</c:v>
                </c:pt>
                <c:pt idx="39">
                  <c:v>4.8882545020823964E-3</c:v>
                </c:pt>
                <c:pt idx="40">
                  <c:v>4.5901739675933721E-3</c:v>
                </c:pt>
                <c:pt idx="41">
                  <c:v>4.7080979284369112E-3</c:v>
                </c:pt>
                <c:pt idx="42">
                  <c:v>4.7567704699689227E-3</c:v>
                </c:pt>
                <c:pt idx="43">
                  <c:v>4.4756079367447412E-3</c:v>
                </c:pt>
                <c:pt idx="44">
                  <c:v>4.9271601491287136E-3</c:v>
                </c:pt>
                <c:pt idx="45">
                  <c:v>4.0419282692463155E-3</c:v>
                </c:pt>
                <c:pt idx="46">
                  <c:v>4.9804930688138122E-3</c:v>
                </c:pt>
                <c:pt idx="47">
                  <c:v>4.2900042900042897E-3</c:v>
                </c:pt>
                <c:pt idx="48">
                  <c:v>4.1888910609064762E-3</c:v>
                </c:pt>
                <c:pt idx="49">
                  <c:v>4.9360777925860112E-3</c:v>
                </c:pt>
                <c:pt idx="50">
                  <c:v>4.5466256459997271E-3</c:v>
                </c:pt>
                <c:pt idx="51">
                  <c:v>4.9416880806483496E-3</c:v>
                </c:pt>
                <c:pt idx="52">
                  <c:v>5.4149669687014908E-3</c:v>
                </c:pt>
                <c:pt idx="53">
                  <c:v>4.6896249863219268E-3</c:v>
                </c:pt>
                <c:pt idx="54">
                  <c:v>4.6968937875751507E-3</c:v>
                </c:pt>
                <c:pt idx="55">
                  <c:v>5.9199621122424818E-3</c:v>
                </c:pt>
                <c:pt idx="56">
                  <c:v>4.7783635697561441E-3</c:v>
                </c:pt>
                <c:pt idx="57">
                  <c:v>5.019408379065721E-3</c:v>
                </c:pt>
                <c:pt idx="58">
                  <c:v>4.125412541254125E-3</c:v>
                </c:pt>
                <c:pt idx="59">
                  <c:v>4.6963055729492796E-3</c:v>
                </c:pt>
                <c:pt idx="60">
                  <c:v>5.2614963695675051E-3</c:v>
                </c:pt>
                <c:pt idx="61">
                  <c:v>5.3059405310185281E-3</c:v>
                </c:pt>
                <c:pt idx="62">
                  <c:v>5.1044218877610544E-3</c:v>
                </c:pt>
                <c:pt idx="63">
                  <c:v>5.3450619263603182E-3</c:v>
                </c:pt>
                <c:pt idx="64">
                  <c:v>5.6391583153417328E-3</c:v>
                </c:pt>
                <c:pt idx="65">
                  <c:v>5.6391583153417328E-3</c:v>
                </c:pt>
                <c:pt idx="66">
                  <c:v>5.4311562155703492E-3</c:v>
                </c:pt>
                <c:pt idx="67">
                  <c:v>5.6746327701935858E-3</c:v>
                </c:pt>
                <c:pt idx="68">
                  <c:v>5.3827107331252018E-3</c:v>
                </c:pt>
                <c:pt idx="69">
                  <c:v>5.387931034482759E-3</c:v>
                </c:pt>
                <c:pt idx="70">
                  <c:v>5.3883457778462016E-3</c:v>
                </c:pt>
                <c:pt idx="71">
                  <c:v>5.7992146206485183E-3</c:v>
                </c:pt>
                <c:pt idx="72">
                  <c:v>5.987426404550444E-3</c:v>
                </c:pt>
                <c:pt idx="73">
                  <c:v>6.5793802223830513E-3</c:v>
                </c:pt>
                <c:pt idx="74">
                  <c:v>3.1220730565095223E-3</c:v>
                </c:pt>
                <c:pt idx="75">
                  <c:v>6.4787819889860704E-3</c:v>
                </c:pt>
                <c:pt idx="76">
                  <c:v>4.4539461963299483E-3</c:v>
                </c:pt>
                <c:pt idx="77">
                  <c:v>7.5142771265404272E-3</c:v>
                </c:pt>
                <c:pt idx="78">
                  <c:v>6.7944014132354938E-3</c:v>
                </c:pt>
                <c:pt idx="79">
                  <c:v>4.4907490569426984E-3</c:v>
                </c:pt>
                <c:pt idx="80">
                  <c:v>5.0150451354062184E-3</c:v>
                </c:pt>
                <c:pt idx="81">
                  <c:v>5.2507613603972577E-3</c:v>
                </c:pt>
                <c:pt idx="82">
                  <c:v>3.9305086078138514E-3</c:v>
                </c:pt>
                <c:pt idx="83">
                  <c:v>5.3465316285535337E-3</c:v>
                </c:pt>
                <c:pt idx="84">
                  <c:v>5.184140676841407E-3</c:v>
                </c:pt>
                <c:pt idx="85">
                  <c:v>5.4030689431597148E-3</c:v>
                </c:pt>
                <c:pt idx="86">
                  <c:v>8.9429440171704521E-3</c:v>
                </c:pt>
                <c:pt idx="87">
                  <c:v>9.23133731306542E-3</c:v>
                </c:pt>
                <c:pt idx="88">
                  <c:v>5.7286892758936754E-3</c:v>
                </c:pt>
                <c:pt idx="89">
                  <c:v>9.4304036212749902E-3</c:v>
                </c:pt>
                <c:pt idx="90">
                  <c:v>5.4800526085050415E-3</c:v>
                </c:pt>
                <c:pt idx="91">
                  <c:v>9.7965581425725756E-3</c:v>
                </c:pt>
                <c:pt idx="92">
                  <c:v>4.8124739324328656E-3</c:v>
                </c:pt>
                <c:pt idx="93">
                  <c:v>1.1367080933616247E-2</c:v>
                </c:pt>
                <c:pt idx="94">
                  <c:v>4.7711441203600619E-3</c:v>
                </c:pt>
                <c:pt idx="95">
                  <c:v>3.9179579603110855E-3</c:v>
                </c:pt>
                <c:pt idx="96">
                  <c:v>4.900359359686377E-3</c:v>
                </c:pt>
                <c:pt idx="97">
                  <c:v>1.1028398125172319E-2</c:v>
                </c:pt>
                <c:pt idx="98">
                  <c:v>1.1383039271485486E-2</c:v>
                </c:pt>
                <c:pt idx="99">
                  <c:v>1.1383039271485486E-2</c:v>
                </c:pt>
                <c:pt idx="100">
                  <c:v>1.1920727164357025E-2</c:v>
                </c:pt>
                <c:pt idx="101">
                  <c:v>4.5682264622131531E-3</c:v>
                </c:pt>
                <c:pt idx="102">
                  <c:v>4.6713691783061614E-3</c:v>
                </c:pt>
                <c:pt idx="103">
                  <c:v>1.2566760917373547E-2</c:v>
                </c:pt>
                <c:pt idx="104">
                  <c:v>1.1851617745822305E-2</c:v>
                </c:pt>
                <c:pt idx="105">
                  <c:v>6.2339475849687055E-3</c:v>
                </c:pt>
                <c:pt idx="106">
                  <c:v>6.4321090885701418E-3</c:v>
                </c:pt>
                <c:pt idx="107">
                  <c:v>1.5820281601012499E-2</c:v>
                </c:pt>
                <c:pt idx="108">
                  <c:v>1.1649580615097856E-2</c:v>
                </c:pt>
                <c:pt idx="109">
                  <c:v>7.3335288941038428E-3</c:v>
                </c:pt>
                <c:pt idx="110">
                  <c:v>8.8674493668641149E-3</c:v>
                </c:pt>
                <c:pt idx="111">
                  <c:v>1.0576041740111401E-2</c:v>
                </c:pt>
                <c:pt idx="112">
                  <c:v>1.135890348718337E-2</c:v>
                </c:pt>
                <c:pt idx="113">
                  <c:v>9.7196843046537841E-3</c:v>
                </c:pt>
                <c:pt idx="114">
                  <c:v>9.7196843046537841E-3</c:v>
                </c:pt>
              </c:numCache>
            </c:numRef>
          </c:xVal>
          <c:yVal>
            <c:numRef>
              <c:f>'Cabernet Sauvignon'!$M$2:$M$116</c:f>
              <c:numCache>
                <c:formatCode>0.0000</c:formatCode>
                <c:ptCount val="115"/>
                <c:pt idx="0">
                  <c:v>2.0245556100435956E-2</c:v>
                </c:pt>
                <c:pt idx="1">
                  <c:v>2.1342667193119124E-2</c:v>
                </c:pt>
                <c:pt idx="2">
                  <c:v>2.6517227358707374E-2</c:v>
                </c:pt>
                <c:pt idx="3">
                  <c:v>2.7161734548368257E-2</c:v>
                </c:pt>
                <c:pt idx="4">
                  <c:v>2.7279299103875023E-2</c:v>
                </c:pt>
                <c:pt idx="5">
                  <c:v>2.7895883265027163E-2</c:v>
                </c:pt>
                <c:pt idx="6">
                  <c:v>2.8364838001318962E-2</c:v>
                </c:pt>
                <c:pt idx="7">
                  <c:v>2.8369830834137504E-2</c:v>
                </c:pt>
                <c:pt idx="8">
                  <c:v>2.8646865316762714E-2</c:v>
                </c:pt>
                <c:pt idx="9">
                  <c:v>2.8952193786683747E-2</c:v>
                </c:pt>
                <c:pt idx="10">
                  <c:v>2.9515476619046875E-2</c:v>
                </c:pt>
                <c:pt idx="11">
                  <c:v>2.9678947980223927E-2</c:v>
                </c:pt>
                <c:pt idx="12">
                  <c:v>3.0055151202456505E-2</c:v>
                </c:pt>
                <c:pt idx="13">
                  <c:v>3.0739594647211918E-2</c:v>
                </c:pt>
                <c:pt idx="14">
                  <c:v>3.1358537361796751E-2</c:v>
                </c:pt>
                <c:pt idx="15">
                  <c:v>3.217064087816101E-2</c:v>
                </c:pt>
                <c:pt idx="16">
                  <c:v>3.2703393304089237E-2</c:v>
                </c:pt>
                <c:pt idx="17">
                  <c:v>3.3574472656949475E-2</c:v>
                </c:pt>
                <c:pt idx="18">
                  <c:v>3.423422600979556E-2</c:v>
                </c:pt>
                <c:pt idx="19">
                  <c:v>3.6750242056882786E-2</c:v>
                </c:pt>
                <c:pt idx="20">
                  <c:v>3.9071762702364787E-2</c:v>
                </c:pt>
                <c:pt idx="21">
                  <c:v>4.0698228991129064E-2</c:v>
                </c:pt>
                <c:pt idx="22">
                  <c:v>4.0729049994908874E-2</c:v>
                </c:pt>
                <c:pt idx="23">
                  <c:v>4.2335403726708083E-2</c:v>
                </c:pt>
                <c:pt idx="24">
                  <c:v>4.263048079376755E-2</c:v>
                </c:pt>
                <c:pt idx="25">
                  <c:v>4.302378427510984E-2</c:v>
                </c:pt>
                <c:pt idx="26">
                  <c:v>4.4526240797910233E-2</c:v>
                </c:pt>
                <c:pt idx="27">
                  <c:v>4.4647507924932654E-2</c:v>
                </c:pt>
                <c:pt idx="28">
                  <c:v>4.5108330474906144E-2</c:v>
                </c:pt>
                <c:pt idx="29">
                  <c:v>4.552233320925337E-2</c:v>
                </c:pt>
                <c:pt idx="30">
                  <c:v>5.1945095903328471E-2</c:v>
                </c:pt>
                <c:pt idx="31">
                  <c:v>5.2259497437832973E-2</c:v>
                </c:pt>
                <c:pt idx="32">
                  <c:v>5.2336611640534714E-2</c:v>
                </c:pt>
                <c:pt idx="33">
                  <c:v>5.2614825279318954E-2</c:v>
                </c:pt>
                <c:pt idx="34">
                  <c:v>5.303762849589768E-2</c:v>
                </c:pt>
                <c:pt idx="35">
                  <c:v>5.303762849589768E-2</c:v>
                </c:pt>
                <c:pt idx="36">
                  <c:v>5.4582918275725617E-2</c:v>
                </c:pt>
                <c:pt idx="37">
                  <c:v>5.5259368797914155E-2</c:v>
                </c:pt>
                <c:pt idx="38">
                  <c:v>5.5582375428936757E-2</c:v>
                </c:pt>
                <c:pt idx="39">
                  <c:v>5.5865765738084536E-2</c:v>
                </c:pt>
                <c:pt idx="40">
                  <c:v>5.5868974576993614E-2</c:v>
                </c:pt>
                <c:pt idx="41">
                  <c:v>5.7304277643260695E-2</c:v>
                </c:pt>
                <c:pt idx="42">
                  <c:v>5.7896692005907455E-2</c:v>
                </c:pt>
                <c:pt idx="43">
                  <c:v>5.8055028665203214E-2</c:v>
                </c:pt>
                <c:pt idx="44">
                  <c:v>5.9970577815109491E-2</c:v>
                </c:pt>
                <c:pt idx="45">
                  <c:v>6.0051505714516687E-2</c:v>
                </c:pt>
                <c:pt idx="46">
                  <c:v>6.0619715637562403E-2</c:v>
                </c:pt>
                <c:pt idx="47">
                  <c:v>6.1530918673775824E-2</c:v>
                </c:pt>
                <c:pt idx="48">
                  <c:v>6.2234952904896224E-2</c:v>
                </c:pt>
                <c:pt idx="49">
                  <c:v>6.487416527398758E-2</c:v>
                </c:pt>
                <c:pt idx="50">
                  <c:v>6.5211602122624668E-2</c:v>
                </c:pt>
                <c:pt idx="51">
                  <c:v>6.5795047016632316E-2</c:v>
                </c:pt>
                <c:pt idx="52">
                  <c:v>6.5907883676195295E-2</c:v>
                </c:pt>
                <c:pt idx="53">
                  <c:v>6.6994642661741821E-2</c:v>
                </c:pt>
                <c:pt idx="54">
                  <c:v>6.7098482679645008E-2</c:v>
                </c:pt>
                <c:pt idx="55">
                  <c:v>6.765670985419979E-2</c:v>
                </c:pt>
                <c:pt idx="56">
                  <c:v>6.8262336710802063E-2</c:v>
                </c:pt>
                <c:pt idx="57">
                  <c:v>7.1705833986653159E-2</c:v>
                </c:pt>
                <c:pt idx="58">
                  <c:v>7.3078736445073081E-2</c:v>
                </c:pt>
                <c:pt idx="59">
                  <c:v>7.3799087574917266E-2</c:v>
                </c:pt>
                <c:pt idx="60">
                  <c:v>7.5464890786368213E-2</c:v>
                </c:pt>
                <c:pt idx="61">
                  <c:v>7.579915044312184E-2</c:v>
                </c:pt>
                <c:pt idx="62">
                  <c:v>7.5837125189592833E-2</c:v>
                </c:pt>
                <c:pt idx="63">
                  <c:v>7.941234862021046E-2</c:v>
                </c:pt>
                <c:pt idx="64">
                  <c:v>7.9914929268842846E-2</c:v>
                </c:pt>
                <c:pt idx="65">
                  <c:v>7.9914929268842846E-2</c:v>
                </c:pt>
                <c:pt idx="66">
                  <c:v>8.0691463774188052E-2</c:v>
                </c:pt>
                <c:pt idx="67">
                  <c:v>8.1390447161062293E-2</c:v>
                </c:pt>
                <c:pt idx="68">
                  <c:v>8.1509619673038769E-2</c:v>
                </c:pt>
                <c:pt idx="69">
                  <c:v>8.1588669950738921E-2</c:v>
                </c:pt>
                <c:pt idx="70">
                  <c:v>8.1594950350242473E-2</c:v>
                </c:pt>
                <c:pt idx="71">
                  <c:v>8.3177306844730167E-2</c:v>
                </c:pt>
                <c:pt idx="72">
                  <c:v>8.4850385618772006E-2</c:v>
                </c:pt>
                <c:pt idx="73">
                  <c:v>8.7599748103728642E-2</c:v>
                </c:pt>
                <c:pt idx="74">
                  <c:v>8.9202087328843507E-2</c:v>
                </c:pt>
                <c:pt idx="75">
                  <c:v>9.1813596186774038E-2</c:v>
                </c:pt>
                <c:pt idx="76">
                  <c:v>9.2387569672444075E-2</c:v>
                </c:pt>
                <c:pt idx="77">
                  <c:v>9.44651981622225E-2</c:v>
                </c:pt>
                <c:pt idx="78">
                  <c:v>0.10211014695319628</c:v>
                </c:pt>
                <c:pt idx="79">
                  <c:v>0.10264569273011881</c:v>
                </c:pt>
                <c:pt idx="80">
                  <c:v>0.10431293881644936</c:v>
                </c:pt>
                <c:pt idx="81">
                  <c:v>0.10891579278995454</c:v>
                </c:pt>
                <c:pt idx="82">
                  <c:v>0.1096050400350377</c:v>
                </c:pt>
                <c:pt idx="83">
                  <c:v>0.1109023417808533</c:v>
                </c:pt>
                <c:pt idx="84">
                  <c:v>0.11197743861977438</c:v>
                </c:pt>
                <c:pt idx="85">
                  <c:v>0.11207508722097008</c:v>
                </c:pt>
                <c:pt idx="86">
                  <c:v>0.11242558193014283</c:v>
                </c:pt>
                <c:pt idx="87">
                  <c:v>0.11657860263928331</c:v>
                </c:pt>
                <c:pt idx="88">
                  <c:v>0.11882938326568024</c:v>
                </c:pt>
                <c:pt idx="89">
                  <c:v>0.12124804655924989</c:v>
                </c:pt>
                <c:pt idx="90">
                  <c:v>0.1252583453372581</c:v>
                </c:pt>
                <c:pt idx="91">
                  <c:v>0.13155378077168889</c:v>
                </c:pt>
                <c:pt idx="92">
                  <c:v>0.1319992850038729</c:v>
                </c:pt>
                <c:pt idx="93">
                  <c:v>0.13218291257090894</c:v>
                </c:pt>
                <c:pt idx="94">
                  <c:v>0.13304676175632632</c:v>
                </c:pt>
                <c:pt idx="95">
                  <c:v>0.1343299872106658</c:v>
                </c:pt>
                <c:pt idx="96">
                  <c:v>0.13440985672282635</c:v>
                </c:pt>
                <c:pt idx="97">
                  <c:v>0.141793690180787</c:v>
                </c:pt>
                <c:pt idx="98">
                  <c:v>0.15285795593137652</c:v>
                </c:pt>
                <c:pt idx="99">
                  <c:v>0.15285795593137652</c:v>
                </c:pt>
                <c:pt idx="100">
                  <c:v>0.15326649211316179</c:v>
                </c:pt>
                <c:pt idx="101">
                  <c:v>0.15662490727587955</c:v>
                </c:pt>
                <c:pt idx="102">
                  <c:v>0.16016122897049698</c:v>
                </c:pt>
                <c:pt idx="103">
                  <c:v>0.16157264036623137</c:v>
                </c:pt>
                <c:pt idx="104">
                  <c:v>0.16930882494031865</c:v>
                </c:pt>
                <c:pt idx="105">
                  <c:v>0.17811278814196302</c:v>
                </c:pt>
                <c:pt idx="106">
                  <c:v>0.17936395629841312</c:v>
                </c:pt>
                <c:pt idx="107">
                  <c:v>0.19255542748660928</c:v>
                </c:pt>
                <c:pt idx="108">
                  <c:v>0.20203701238183996</c:v>
                </c:pt>
                <c:pt idx="109">
                  <c:v>0.20952939697439554</c:v>
                </c:pt>
                <c:pt idx="110">
                  <c:v>0.21433891898191551</c:v>
                </c:pt>
                <c:pt idx="111">
                  <c:v>0.21998166819431716</c:v>
                </c:pt>
                <c:pt idx="112">
                  <c:v>0.23626519253341413</c:v>
                </c:pt>
                <c:pt idx="113">
                  <c:v>0.30269873977350359</c:v>
                </c:pt>
                <c:pt idx="114">
                  <c:v>0.30269873977350359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96-48DA-AEB9-AE70669AA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786815"/>
        <c:axId val="1932785375"/>
      </c:scatterChart>
      <c:valAx>
        <c:axId val="193278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Dosis</a:t>
                </a:r>
                <a:r>
                  <a:rPr lang="es-CL" baseline="0"/>
                  <a:t> (%)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2785375"/>
        <c:crosses val="autoZero"/>
        <c:crossBetween val="midCat"/>
      </c:valAx>
      <c:valAx>
        <c:axId val="193278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aseline="0"/>
                  <a:t>Masa célula/volumen total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278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'Cot Malbec'!$G$2:$G$55</c:f>
              <c:numCache>
                <c:formatCode>General</c:formatCode>
                <c:ptCount val="54"/>
                <c:pt idx="0">
                  <c:v>48050</c:v>
                </c:pt>
                <c:pt idx="1">
                  <c:v>48133</c:v>
                </c:pt>
                <c:pt idx="2">
                  <c:v>50664</c:v>
                </c:pt>
                <c:pt idx="3">
                  <c:v>61400</c:v>
                </c:pt>
                <c:pt idx="4">
                  <c:v>66663</c:v>
                </c:pt>
                <c:pt idx="5">
                  <c:v>43747</c:v>
                </c:pt>
                <c:pt idx="6">
                  <c:v>45981</c:v>
                </c:pt>
                <c:pt idx="7">
                  <c:v>46614</c:v>
                </c:pt>
                <c:pt idx="8">
                  <c:v>47576</c:v>
                </c:pt>
                <c:pt idx="9">
                  <c:v>47728</c:v>
                </c:pt>
                <c:pt idx="10">
                  <c:v>48053</c:v>
                </c:pt>
                <c:pt idx="11">
                  <c:v>48766</c:v>
                </c:pt>
                <c:pt idx="12">
                  <c:v>56870</c:v>
                </c:pt>
                <c:pt idx="13">
                  <c:v>65131</c:v>
                </c:pt>
                <c:pt idx="14">
                  <c:v>69610</c:v>
                </c:pt>
                <c:pt idx="15">
                  <c:v>8335</c:v>
                </c:pt>
                <c:pt idx="16">
                  <c:v>15290</c:v>
                </c:pt>
                <c:pt idx="17">
                  <c:v>14287</c:v>
                </c:pt>
                <c:pt idx="18">
                  <c:v>15679</c:v>
                </c:pt>
                <c:pt idx="19">
                  <c:v>27067</c:v>
                </c:pt>
                <c:pt idx="20">
                  <c:v>24210</c:v>
                </c:pt>
                <c:pt idx="21">
                  <c:v>65193</c:v>
                </c:pt>
                <c:pt idx="22">
                  <c:v>61116</c:v>
                </c:pt>
                <c:pt idx="23">
                  <c:v>16355</c:v>
                </c:pt>
                <c:pt idx="24">
                  <c:v>16905</c:v>
                </c:pt>
                <c:pt idx="25">
                  <c:v>17065</c:v>
                </c:pt>
                <c:pt idx="26">
                  <c:v>13135</c:v>
                </c:pt>
                <c:pt idx="27">
                  <c:v>13563</c:v>
                </c:pt>
                <c:pt idx="28">
                  <c:v>30656</c:v>
                </c:pt>
                <c:pt idx="29">
                  <c:v>63472</c:v>
                </c:pt>
                <c:pt idx="30">
                  <c:v>29877</c:v>
                </c:pt>
                <c:pt idx="31" formatCode="0">
                  <c:v>35149</c:v>
                </c:pt>
                <c:pt idx="32">
                  <c:v>53299</c:v>
                </c:pt>
                <c:pt idx="33">
                  <c:v>58536</c:v>
                </c:pt>
                <c:pt idx="34">
                  <c:v>62380</c:v>
                </c:pt>
                <c:pt idx="35">
                  <c:v>34058</c:v>
                </c:pt>
                <c:pt idx="36">
                  <c:v>32145</c:v>
                </c:pt>
                <c:pt idx="37">
                  <c:v>30006</c:v>
                </c:pt>
                <c:pt idx="38">
                  <c:v>30108</c:v>
                </c:pt>
                <c:pt idx="39">
                  <c:v>60966</c:v>
                </c:pt>
                <c:pt idx="40">
                  <c:v>63395</c:v>
                </c:pt>
                <c:pt idx="41">
                  <c:v>45246</c:v>
                </c:pt>
                <c:pt idx="42">
                  <c:v>45824</c:v>
                </c:pt>
                <c:pt idx="43">
                  <c:v>66153</c:v>
                </c:pt>
                <c:pt idx="44">
                  <c:v>63945</c:v>
                </c:pt>
                <c:pt idx="45">
                  <c:v>63122</c:v>
                </c:pt>
                <c:pt idx="46">
                  <c:v>48233</c:v>
                </c:pt>
                <c:pt idx="47">
                  <c:v>59665</c:v>
                </c:pt>
                <c:pt idx="48">
                  <c:v>54374</c:v>
                </c:pt>
                <c:pt idx="49">
                  <c:v>60521</c:v>
                </c:pt>
                <c:pt idx="50">
                  <c:v>59159</c:v>
                </c:pt>
                <c:pt idx="51">
                  <c:v>60293</c:v>
                </c:pt>
                <c:pt idx="52">
                  <c:v>51545</c:v>
                </c:pt>
                <c:pt idx="53">
                  <c:v>69237</c:v>
                </c:pt>
              </c:numCache>
            </c:numRef>
          </c:xVal>
          <c:yVal>
            <c:numRef>
              <c:f>'Cot Malbec'!$L$2:$L$55</c:f>
              <c:numCache>
                <c:formatCode>General</c:formatCode>
                <c:ptCount val="54"/>
                <c:pt idx="0">
                  <c:v>374.99999999999994</c:v>
                </c:pt>
                <c:pt idx="1">
                  <c:v>374.99999999999994</c:v>
                </c:pt>
                <c:pt idx="2">
                  <c:v>374.99999999999994</c:v>
                </c:pt>
                <c:pt idx="3">
                  <c:v>449.99999999999994</c:v>
                </c:pt>
                <c:pt idx="4">
                  <c:v>449.99999999999994</c:v>
                </c:pt>
                <c:pt idx="5">
                  <c:v>400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200</c:v>
                </c:pt>
                <c:pt idx="16">
                  <c:v>260</c:v>
                </c:pt>
                <c:pt idx="17">
                  <c:v>300</c:v>
                </c:pt>
                <c:pt idx="18">
                  <c:v>300</c:v>
                </c:pt>
                <c:pt idx="19">
                  <c:v>400</c:v>
                </c:pt>
                <c:pt idx="20">
                  <c:v>400</c:v>
                </c:pt>
                <c:pt idx="21">
                  <c:v>899.99999999999989</c:v>
                </c:pt>
                <c:pt idx="22">
                  <c:v>1280.9999999999998</c:v>
                </c:pt>
                <c:pt idx="23">
                  <c:v>879.99999999999989</c:v>
                </c:pt>
                <c:pt idx="24">
                  <c:v>879.99999999999989</c:v>
                </c:pt>
                <c:pt idx="25">
                  <c:v>879.99999999999989</c:v>
                </c:pt>
                <c:pt idx="26">
                  <c:v>900</c:v>
                </c:pt>
                <c:pt idx="27">
                  <c:v>900</c:v>
                </c:pt>
                <c:pt idx="28">
                  <c:v>699</c:v>
                </c:pt>
                <c:pt idx="29">
                  <c:v>1398</c:v>
                </c:pt>
                <c:pt idx="30">
                  <c:v>789</c:v>
                </c:pt>
                <c:pt idx="31">
                  <c:v>1100</c:v>
                </c:pt>
                <c:pt idx="32">
                  <c:v>1650</c:v>
                </c:pt>
                <c:pt idx="33">
                  <c:v>1650</c:v>
                </c:pt>
                <c:pt idx="34">
                  <c:v>1199.9999999999998</c:v>
                </c:pt>
                <c:pt idx="35">
                  <c:v>599.99999999999989</c:v>
                </c:pt>
                <c:pt idx="36">
                  <c:v>599.99999999999989</c:v>
                </c:pt>
                <c:pt idx="37">
                  <c:v>744</c:v>
                </c:pt>
                <c:pt idx="38">
                  <c:v>744</c:v>
                </c:pt>
                <c:pt idx="39">
                  <c:v>1550</c:v>
                </c:pt>
                <c:pt idx="40">
                  <c:v>1550</c:v>
                </c:pt>
                <c:pt idx="41">
                  <c:v>1049.9999999999998</c:v>
                </c:pt>
                <c:pt idx="42">
                  <c:v>1049.9999999999998</c:v>
                </c:pt>
                <c:pt idx="43">
                  <c:v>1399.9999999999998</c:v>
                </c:pt>
                <c:pt idx="44">
                  <c:v>1399.9999999999998</c:v>
                </c:pt>
                <c:pt idx="45">
                  <c:v>1399.9999999999998</c:v>
                </c:pt>
                <c:pt idx="46">
                  <c:v>1819.9999999999998</c:v>
                </c:pt>
                <c:pt idx="47">
                  <c:v>2548</c:v>
                </c:pt>
                <c:pt idx="48">
                  <c:v>2880</c:v>
                </c:pt>
                <c:pt idx="49">
                  <c:v>2880</c:v>
                </c:pt>
                <c:pt idx="50">
                  <c:v>2928</c:v>
                </c:pt>
                <c:pt idx="51">
                  <c:v>2928</c:v>
                </c:pt>
                <c:pt idx="52">
                  <c:v>3000</c:v>
                </c:pt>
                <c:pt idx="53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48-4A40-A29F-EC9971A06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786815"/>
        <c:axId val="1932785375"/>
      </c:scatterChart>
      <c:valAx>
        <c:axId val="193278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Volumen</a:t>
                </a:r>
                <a:r>
                  <a:rPr lang="es-CL" baseline="0"/>
                  <a:t> útil (L)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2785375"/>
        <c:crosses val="autoZero"/>
        <c:crossBetween val="midCat"/>
      </c:valAx>
      <c:valAx>
        <c:axId val="193278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Masa de células</a:t>
                </a:r>
                <a:r>
                  <a:rPr lang="es-CL" baseline="0"/>
                  <a:t>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278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Syrah!$G$2:$G$42</c:f>
              <c:numCache>
                <c:formatCode>General</c:formatCode>
                <c:ptCount val="41"/>
                <c:pt idx="0">
                  <c:v>62873</c:v>
                </c:pt>
                <c:pt idx="1">
                  <c:v>61399</c:v>
                </c:pt>
                <c:pt idx="2">
                  <c:v>59574</c:v>
                </c:pt>
                <c:pt idx="3">
                  <c:v>57203</c:v>
                </c:pt>
                <c:pt idx="4">
                  <c:v>56558</c:v>
                </c:pt>
                <c:pt idx="5">
                  <c:v>71172</c:v>
                </c:pt>
                <c:pt idx="6">
                  <c:v>68295</c:v>
                </c:pt>
                <c:pt idx="7">
                  <c:v>50320</c:v>
                </c:pt>
                <c:pt idx="8">
                  <c:v>44973</c:v>
                </c:pt>
                <c:pt idx="9">
                  <c:v>50311</c:v>
                </c:pt>
                <c:pt idx="10">
                  <c:v>73303</c:v>
                </c:pt>
                <c:pt idx="11">
                  <c:v>50270</c:v>
                </c:pt>
                <c:pt idx="12">
                  <c:v>32055</c:v>
                </c:pt>
                <c:pt idx="13">
                  <c:v>54838</c:v>
                </c:pt>
                <c:pt idx="14">
                  <c:v>16335</c:v>
                </c:pt>
                <c:pt idx="15">
                  <c:v>64346</c:v>
                </c:pt>
                <c:pt idx="16">
                  <c:v>68814</c:v>
                </c:pt>
                <c:pt idx="17">
                  <c:v>70787</c:v>
                </c:pt>
                <c:pt idx="18">
                  <c:v>71047</c:v>
                </c:pt>
                <c:pt idx="19">
                  <c:v>62300</c:v>
                </c:pt>
                <c:pt idx="20">
                  <c:v>46608</c:v>
                </c:pt>
                <c:pt idx="21">
                  <c:v>48612</c:v>
                </c:pt>
                <c:pt idx="22">
                  <c:v>47773</c:v>
                </c:pt>
                <c:pt idx="23">
                  <c:v>51360</c:v>
                </c:pt>
                <c:pt idx="24">
                  <c:v>49712</c:v>
                </c:pt>
                <c:pt idx="25">
                  <c:v>63553</c:v>
                </c:pt>
                <c:pt idx="26">
                  <c:v>48763</c:v>
                </c:pt>
                <c:pt idx="27">
                  <c:v>31848</c:v>
                </c:pt>
                <c:pt idx="28">
                  <c:v>62448</c:v>
                </c:pt>
                <c:pt idx="29">
                  <c:v>39029</c:v>
                </c:pt>
                <c:pt idx="30">
                  <c:v>56815</c:v>
                </c:pt>
                <c:pt idx="31">
                  <c:v>56748</c:v>
                </c:pt>
                <c:pt idx="32">
                  <c:v>60243</c:v>
                </c:pt>
                <c:pt idx="33">
                  <c:v>25914</c:v>
                </c:pt>
                <c:pt idx="34">
                  <c:v>36746</c:v>
                </c:pt>
                <c:pt idx="35">
                  <c:v>25967</c:v>
                </c:pt>
                <c:pt idx="36">
                  <c:v>51661</c:v>
                </c:pt>
                <c:pt idx="37">
                  <c:v>65270</c:v>
                </c:pt>
                <c:pt idx="38">
                  <c:v>65296</c:v>
                </c:pt>
                <c:pt idx="39">
                  <c:v>28689</c:v>
                </c:pt>
                <c:pt idx="40">
                  <c:v>32864</c:v>
                </c:pt>
              </c:numCache>
            </c:numRef>
          </c:xVal>
          <c:yVal>
            <c:numRef>
              <c:f>Syrah!$L$2:$L$42</c:f>
              <c:numCache>
                <c:formatCode>General</c:formatCode>
                <c:ptCount val="41"/>
                <c:pt idx="0">
                  <c:v>140</c:v>
                </c:pt>
                <c:pt idx="1">
                  <c:v>299.99999999999994</c:v>
                </c:pt>
                <c:pt idx="2">
                  <c:v>449.99999999999994</c:v>
                </c:pt>
                <c:pt idx="3">
                  <c:v>449.99999999999994</c:v>
                </c:pt>
                <c:pt idx="4">
                  <c:v>599.99999999999989</c:v>
                </c:pt>
                <c:pt idx="5">
                  <c:v>449.99999999999994</c:v>
                </c:pt>
                <c:pt idx="6">
                  <c:v>449.99999999999994</c:v>
                </c:pt>
                <c:pt idx="7">
                  <c:v>599.99999999999989</c:v>
                </c:pt>
                <c:pt idx="8">
                  <c:v>374.99999999999994</c:v>
                </c:pt>
                <c:pt idx="9">
                  <c:v>449.99999999999994</c:v>
                </c:pt>
                <c:pt idx="10">
                  <c:v>449.99999999999994</c:v>
                </c:pt>
                <c:pt idx="11">
                  <c:v>449.99999999999994</c:v>
                </c:pt>
                <c:pt idx="12">
                  <c:v>224.99999999999997</c:v>
                </c:pt>
                <c:pt idx="13">
                  <c:v>510</c:v>
                </c:pt>
                <c:pt idx="14">
                  <c:v>300</c:v>
                </c:pt>
                <c:pt idx="15">
                  <c:v>1217.9999999999998</c:v>
                </c:pt>
                <c:pt idx="16">
                  <c:v>1278</c:v>
                </c:pt>
                <c:pt idx="17">
                  <c:v>1278</c:v>
                </c:pt>
                <c:pt idx="18">
                  <c:v>1278</c:v>
                </c:pt>
                <c:pt idx="19">
                  <c:v>1398</c:v>
                </c:pt>
                <c:pt idx="20">
                  <c:v>1255</c:v>
                </c:pt>
                <c:pt idx="21">
                  <c:v>1255</c:v>
                </c:pt>
                <c:pt idx="22">
                  <c:v>1310</c:v>
                </c:pt>
                <c:pt idx="23">
                  <c:v>899.99999999999989</c:v>
                </c:pt>
                <c:pt idx="24">
                  <c:v>899.99999999999989</c:v>
                </c:pt>
                <c:pt idx="25">
                  <c:v>1799.9999999999998</c:v>
                </c:pt>
                <c:pt idx="26">
                  <c:v>975</c:v>
                </c:pt>
                <c:pt idx="27">
                  <c:v>650</c:v>
                </c:pt>
                <c:pt idx="28">
                  <c:v>1399.9999999999998</c:v>
                </c:pt>
                <c:pt idx="29">
                  <c:v>1259.9999999999998</c:v>
                </c:pt>
                <c:pt idx="30">
                  <c:v>1399.9999999999998</c:v>
                </c:pt>
                <c:pt idx="31">
                  <c:v>1399.9999999999998</c:v>
                </c:pt>
                <c:pt idx="32">
                  <c:v>2099.9999999999995</c:v>
                </c:pt>
                <c:pt idx="33">
                  <c:v>699.99999999999989</c:v>
                </c:pt>
                <c:pt idx="34">
                  <c:v>699.99999999999989</c:v>
                </c:pt>
                <c:pt idx="35">
                  <c:v>699.99999999999989</c:v>
                </c:pt>
                <c:pt idx="36">
                  <c:v>1819.9999999999998</c:v>
                </c:pt>
                <c:pt idx="37">
                  <c:v>2880</c:v>
                </c:pt>
                <c:pt idx="38">
                  <c:v>2880</c:v>
                </c:pt>
                <c:pt idx="39">
                  <c:v>1000</c:v>
                </c:pt>
                <c:pt idx="4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A-4EA7-9F90-3E426D5CD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786815"/>
        <c:axId val="1932785375"/>
      </c:scatterChart>
      <c:valAx>
        <c:axId val="193278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Volumen</a:t>
                </a:r>
                <a:r>
                  <a:rPr lang="es-CL" baseline="0"/>
                  <a:t> útil (L)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2785375"/>
        <c:crosses val="autoZero"/>
        <c:crossBetween val="midCat"/>
      </c:valAx>
      <c:valAx>
        <c:axId val="193278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Masa de células</a:t>
                </a:r>
                <a:r>
                  <a:rPr lang="es-CL" baseline="0"/>
                  <a:t>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278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r>
              <a:rPr lang="es-CL" sz="1200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Distribución estadística de la concentración inicial de levadura (g/L)</a:t>
            </a: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rich>
      </cx:tx>
    </cx:title>
    <cx:plotArea>
      <cx:plotAreaRegion>
        <cx:series layoutId="clusteredColumn" uniqueId="{BBC7772C-7E53-411F-9ECE-6C9255F08169}" formatIdx="0">
          <cx:spPr>
            <a:solidFill>
              <a:schemeClr val="accent1"/>
            </a:solidFill>
            <a:ln w="6350">
              <a:solidFill>
                <a:schemeClr val="accent1">
                  <a:lumMod val="50000"/>
                </a:schemeClr>
              </a:soli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L" sz="1200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Variabilidad de la concentración inicial de levadura (g/L) en procesos fermentativos</a:t>
            </a: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rich>
      </cx:tx>
    </cx:title>
    <cx:plotArea>
      <cx:plotAreaRegion>
        <cx:series layoutId="boxWhisker" uniqueId="{005FE0B4-40D2-4305-B653-CCBBD6EE4894}" formatIdx="0">
          <cx:tx>
            <cx:txData>
              <cx:f/>
              <cx:v>Levadura (g/L)</cx:v>
            </cx:txData>
          </cx:tx>
          <cx:dataLabels pos="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Lato" panose="020F0502020204030203" pitchFamily="34" charset="0"/>
                  <a:ea typeface="Lato" panose="020F0502020204030203" pitchFamily="34" charset="0"/>
                  <a:cs typeface="Lato" panose="020F0502020204030203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5-8C02-4FC8-A73C-3E4F7A3D9177}" formatIdx="2">
          <cx:tx>
            <cx:txData>
              <cx:f/>
              <cx:v>75% Levadura (g/L)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32000000000000006"/>
        <cx:majorGridlines/>
        <cx:min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Lato" panose="020F0502020204030203" pitchFamily="34" charset="0"/>
            <a:ea typeface="Lato" panose="020F0502020204030203" pitchFamily="34" charset="0"/>
            <a:cs typeface="Lato" panose="020F0502020204030203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Variabilidad de la concentración inicial de levadura (g/L) en procesos fermentativos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r>
            <a:rPr lang="es-CL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t>Variabilidad de la concentración inicial de levadura (g/L) en procesos fermentativos</a:t>
          </a:r>
        </a:p>
      </cx:txPr>
    </cx:title>
    <cx:plotArea>
      <cx:plotAreaRegion>
        <cx:series layoutId="boxWhisker" uniqueId="{1C3CAC65-79AD-45C3-AED6-FCD5447CEB72}">
          <cx:tx>
            <cx:txData>
              <cx:f/>
              <cx:v>75% Levadura (g/L)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</cx:spPr>
          <cx:dataLabels pos="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Lato" panose="020F0502020204030203" pitchFamily="34" charset="0"/>
                  <a:ea typeface="Lato" panose="020F0502020204030203" pitchFamily="34" charset="0"/>
                  <a:cs typeface="Lato" panose="020F0502020204030203" pitchFamily="34" charset="0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Lato" panose="020F0502020204030203" pitchFamily="34" charset="0"/>
            <a:ea typeface="Lato" panose="020F0502020204030203" pitchFamily="34" charset="0"/>
            <a:cs typeface="Lato" panose="020F0502020204030203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r>
              <a:rPr lang="es-CL" sz="12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Distribución estadística de la concentración inicial de levadura (g/L)</a:t>
            </a:r>
            <a:endParaRPr lang="es-CL" sz="1200">
              <a:effectLst/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rich>
      </cx:tx>
    </cx:title>
    <cx:plotArea>
      <cx:plotAreaRegion>
        <cx:series layoutId="clusteredColumn" uniqueId="{F0D0BFC6-D74A-42A5-BB36-B176F39A5F91}" formatIdx="0">
          <cx:spPr>
            <a:solidFill>
              <a:schemeClr val="accent2">
                <a:lumMod val="60000"/>
                <a:lumOff val="40000"/>
              </a:schemeClr>
            </a:solidFill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endParaRPr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boxWhisker" uniqueId="{F7338558-356D-4E58-BDFE-CBDD824AD95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/>
    <cx:plotArea>
      <cx:plotAreaRegion>
        <cx:series layoutId="boxWhisker" uniqueId="{296AE977-FC3D-4A01-951F-263A98B436E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576340</xdr:colOff>
      <xdr:row>2</xdr:row>
      <xdr:rowOff>54890</xdr:rowOff>
    </xdr:from>
    <xdr:to>
      <xdr:col>27</xdr:col>
      <xdr:colOff>453899</xdr:colOff>
      <xdr:row>19</xdr:row>
      <xdr:rowOff>133087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31FCCE-D8C8-9B58-151E-8B1046B73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94707</xdr:colOff>
      <xdr:row>56</xdr:row>
      <xdr:rowOff>144344</xdr:rowOff>
    </xdr:from>
    <xdr:to>
      <xdr:col>30</xdr:col>
      <xdr:colOff>441938</xdr:colOff>
      <xdr:row>78</xdr:row>
      <xdr:rowOff>19311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F37D8DC-FFF2-FC26-246D-5D3D6DF8B6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83007" y="10456744"/>
              <a:ext cx="7662431" cy="3926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11499</xdr:colOff>
      <xdr:row>22</xdr:row>
      <xdr:rowOff>132907</xdr:rowOff>
    </xdr:from>
    <xdr:to>
      <xdr:col>28</xdr:col>
      <xdr:colOff>46181</xdr:colOff>
      <xdr:row>55</xdr:row>
      <xdr:rowOff>28966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DBD05B34-2CE8-CFBD-394A-84CBA7691D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99799" y="4184207"/>
              <a:ext cx="6130682" cy="59730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288637</xdr:colOff>
      <xdr:row>80</xdr:row>
      <xdr:rowOff>117364</xdr:rowOff>
    </xdr:from>
    <xdr:to>
      <xdr:col>27</xdr:col>
      <xdr:colOff>461818</xdr:colOff>
      <xdr:row>113</xdr:row>
      <xdr:rowOff>12581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17AE1C6-DA55-66E1-336E-B88AED8CD9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67337" y="14849364"/>
              <a:ext cx="6269181" cy="5972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230908</xdr:colOff>
      <xdr:row>56</xdr:row>
      <xdr:rowOff>88900</xdr:rowOff>
    </xdr:from>
    <xdr:to>
      <xdr:col>42</xdr:col>
      <xdr:colOff>369453</xdr:colOff>
      <xdr:row>78</xdr:row>
      <xdr:rowOff>92364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24F4ED6-5290-3936-25CC-94C9662986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44008" y="10401300"/>
              <a:ext cx="6844145" cy="4054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1006927</xdr:colOff>
      <xdr:row>2</xdr:row>
      <xdr:rowOff>112258</xdr:rowOff>
    </xdr:from>
    <xdr:to>
      <xdr:col>22</xdr:col>
      <xdr:colOff>154214</xdr:colOff>
      <xdr:row>21</xdr:row>
      <xdr:rowOff>81642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0F9DBC-94CF-4207-A762-6C9EC6123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185965</xdr:colOff>
      <xdr:row>61</xdr:row>
      <xdr:rowOff>2721</xdr:rowOff>
    </xdr:from>
    <xdr:to>
      <xdr:col>14</xdr:col>
      <xdr:colOff>476250</xdr:colOff>
      <xdr:row>76</xdr:row>
      <xdr:rowOff>24493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4B6A15C-0F91-FEA9-93A1-9A6EFA076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7765" y="11235871"/>
              <a:ext cx="4786085" cy="2784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1161142</xdr:colOff>
      <xdr:row>3</xdr:row>
      <xdr:rowOff>81643</xdr:rowOff>
    </xdr:from>
    <xdr:to>
      <xdr:col>21</xdr:col>
      <xdr:colOff>109976</xdr:colOff>
      <xdr:row>20</xdr:row>
      <xdr:rowOff>5392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3FCFDB-C7E2-445C-A6B7-CC27828D7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1437821</xdr:colOff>
      <xdr:row>46</xdr:row>
      <xdr:rowOff>147865</xdr:rowOff>
    </xdr:from>
    <xdr:to>
      <xdr:col>14</xdr:col>
      <xdr:colOff>113392</xdr:colOff>
      <xdr:row>61</xdr:row>
      <xdr:rowOff>169636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95A9072-5FC8-867A-878B-62C9449A2A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4921" y="8618765"/>
              <a:ext cx="4860471" cy="27840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3"/>
  <sheetViews>
    <sheetView tabSelected="1" topLeftCell="E1" zoomScale="87" zoomScaleNormal="44" workbookViewId="0">
      <selection activeCell="F2" sqref="F2"/>
    </sheetView>
  </sheetViews>
  <sheetFormatPr baseColWidth="10" defaultColWidth="8.7265625" defaultRowHeight="14.5" x14ac:dyDescent="0.35"/>
  <cols>
    <col min="2" max="2" width="7.36328125" bestFit="1" customWidth="1"/>
    <col min="3" max="3" width="29.453125" bestFit="1" customWidth="1"/>
    <col min="4" max="4" width="8.1796875" bestFit="1" customWidth="1"/>
    <col min="5" max="5" width="17.54296875" bestFit="1" customWidth="1"/>
    <col min="6" max="6" width="21.54296875" bestFit="1" customWidth="1"/>
    <col min="7" max="7" width="17.08984375" bestFit="1" customWidth="1"/>
    <col min="8" max="8" width="11.54296875" bestFit="1" customWidth="1"/>
    <col min="9" max="9" width="22.26953125" bestFit="1" customWidth="1"/>
    <col min="10" max="10" width="20" bestFit="1" customWidth="1"/>
    <col min="11" max="11" width="20.54296875" bestFit="1" customWidth="1"/>
    <col min="12" max="12" width="19.453125" bestFit="1" customWidth="1"/>
    <col min="13" max="13" width="30.54296875" bestFit="1" customWidth="1"/>
    <col min="14" max="16" width="14.81640625" bestFit="1" customWidth="1"/>
  </cols>
  <sheetData>
    <row r="1" spans="1:17" x14ac:dyDescent="0.35">
      <c r="A1" s="25" t="s">
        <v>0</v>
      </c>
      <c r="B1" s="25" t="s">
        <v>36</v>
      </c>
      <c r="C1" s="25" t="s">
        <v>2</v>
      </c>
      <c r="D1" s="25" t="s">
        <v>1</v>
      </c>
      <c r="E1" s="25" t="s">
        <v>8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10</v>
      </c>
      <c r="K1" s="25" t="s">
        <v>14</v>
      </c>
      <c r="L1" s="25" t="s">
        <v>17</v>
      </c>
      <c r="M1" s="25" t="s">
        <v>79</v>
      </c>
      <c r="O1" t="s">
        <v>11</v>
      </c>
      <c r="P1" s="7">
        <f>O9</f>
        <v>2.8571428571428573E-11</v>
      </c>
      <c r="Q1">
        <f>0.00000000001</f>
        <v>9.9999999999999994E-12</v>
      </c>
    </row>
    <row r="2" spans="1:17" x14ac:dyDescent="0.35">
      <c r="A2">
        <v>9982</v>
      </c>
      <c r="B2">
        <v>2024</v>
      </c>
      <c r="C2" t="s">
        <v>80</v>
      </c>
      <c r="D2">
        <v>35</v>
      </c>
      <c r="E2" t="s">
        <v>9</v>
      </c>
      <c r="F2">
        <v>300</v>
      </c>
      <c r="G2">
        <v>63506</v>
      </c>
      <c r="H2" s="1">
        <f t="shared" ref="H2:H33" si="0">(F2/G2)</f>
        <v>4.7239630901017224E-3</v>
      </c>
      <c r="I2">
        <v>150000000</v>
      </c>
      <c r="J2">
        <f t="shared" ref="J2:J33" si="1">I2*$P$1*1000</f>
        <v>4.2857142857142856</v>
      </c>
      <c r="K2">
        <f t="shared" ref="K2:K33" si="2">J2*100</f>
        <v>428.57142857142856</v>
      </c>
      <c r="L2">
        <f>J2*F2</f>
        <v>1285.7142857142858</v>
      </c>
      <c r="M2" s="6">
        <f>L2/G2</f>
        <v>2.0245556100435956E-2</v>
      </c>
    </row>
    <row r="3" spans="1:17" x14ac:dyDescent="0.35">
      <c r="A3">
        <v>9899</v>
      </c>
      <c r="B3">
        <v>2024</v>
      </c>
      <c r="C3" t="s">
        <v>84</v>
      </c>
      <c r="D3">
        <v>46</v>
      </c>
      <c r="E3" t="s">
        <v>9</v>
      </c>
      <c r="F3">
        <v>200</v>
      </c>
      <c r="G3">
        <v>40161</v>
      </c>
      <c r="H3" s="1">
        <f t="shared" si="0"/>
        <v>4.9799556783944625E-3</v>
      </c>
      <c r="I3">
        <v>150000000</v>
      </c>
      <c r="J3">
        <f t="shared" si="1"/>
        <v>4.2857142857142856</v>
      </c>
      <c r="K3">
        <f t="shared" si="2"/>
        <v>428.57142857142856</v>
      </c>
      <c r="L3">
        <f t="shared" ref="L2:L33" si="3">J3*F3</f>
        <v>857.14285714285711</v>
      </c>
      <c r="M3" s="6">
        <f t="shared" ref="M2:M33" si="4">L3/G3</f>
        <v>2.1342667193119124E-2</v>
      </c>
      <c r="O3" t="s">
        <v>91</v>
      </c>
    </row>
    <row r="4" spans="1:17" x14ac:dyDescent="0.35">
      <c r="A4">
        <v>9976</v>
      </c>
      <c r="B4">
        <v>2024</v>
      </c>
      <c r="C4" t="s">
        <v>39</v>
      </c>
      <c r="D4">
        <v>85</v>
      </c>
      <c r="E4" t="s">
        <v>9</v>
      </c>
      <c r="F4">
        <v>300</v>
      </c>
      <c r="G4">
        <v>64648</v>
      </c>
      <c r="H4" s="1">
        <f t="shared" si="0"/>
        <v>4.6405147877737907E-3</v>
      </c>
      <c r="I4" s="3">
        <v>200000000</v>
      </c>
      <c r="J4">
        <f t="shared" si="1"/>
        <v>5.7142857142857144</v>
      </c>
      <c r="K4">
        <f t="shared" si="2"/>
        <v>571.42857142857144</v>
      </c>
      <c r="L4">
        <f t="shared" si="3"/>
        <v>1714.2857142857142</v>
      </c>
      <c r="M4" s="6">
        <f t="shared" si="4"/>
        <v>2.6517227358707374E-2</v>
      </c>
      <c r="O4" t="s">
        <v>87</v>
      </c>
      <c r="P4">
        <f>10000000000</f>
        <v>10000000000</v>
      </c>
      <c r="Q4" t="s">
        <v>88</v>
      </c>
    </row>
    <row r="5" spans="1:17" x14ac:dyDescent="0.35">
      <c r="A5">
        <v>10269</v>
      </c>
      <c r="B5">
        <v>2024</v>
      </c>
      <c r="C5" t="s">
        <v>108</v>
      </c>
      <c r="D5">
        <v>148</v>
      </c>
      <c r="E5" t="s">
        <v>9</v>
      </c>
      <c r="F5">
        <v>150</v>
      </c>
      <c r="G5">
        <v>31557</v>
      </c>
      <c r="H5" s="1">
        <f t="shared" si="0"/>
        <v>4.753303545964445E-3</v>
      </c>
      <c r="I5">
        <v>200000000</v>
      </c>
      <c r="J5">
        <f t="shared" si="1"/>
        <v>5.7142857142857144</v>
      </c>
      <c r="K5">
        <f t="shared" si="2"/>
        <v>571.42857142857144</v>
      </c>
      <c r="L5">
        <f t="shared" si="3"/>
        <v>857.14285714285711</v>
      </c>
      <c r="M5" s="6">
        <f t="shared" si="4"/>
        <v>2.7161734548368257E-2</v>
      </c>
      <c r="O5" t="s">
        <v>89</v>
      </c>
      <c r="P5">
        <f>60000000000</f>
        <v>60000000000</v>
      </c>
      <c r="Q5" t="s">
        <v>88</v>
      </c>
    </row>
    <row r="6" spans="1:17" x14ac:dyDescent="0.35">
      <c r="A6">
        <v>10272</v>
      </c>
      <c r="B6">
        <v>2024</v>
      </c>
      <c r="C6" t="s">
        <v>109</v>
      </c>
      <c r="D6">
        <v>153</v>
      </c>
      <c r="E6" t="s">
        <v>9</v>
      </c>
      <c r="F6">
        <v>150</v>
      </c>
      <c r="G6">
        <v>31421</v>
      </c>
      <c r="H6" s="1">
        <f t="shared" si="0"/>
        <v>4.7738773431781293E-3</v>
      </c>
      <c r="I6">
        <v>200000000</v>
      </c>
      <c r="J6">
        <f t="shared" si="1"/>
        <v>5.7142857142857144</v>
      </c>
      <c r="K6">
        <f t="shared" si="2"/>
        <v>571.42857142857144</v>
      </c>
      <c r="L6">
        <f t="shared" si="3"/>
        <v>857.14285714285711</v>
      </c>
      <c r="M6" s="6">
        <f t="shared" si="4"/>
        <v>2.7279299103875023E-2</v>
      </c>
      <c r="O6" t="s">
        <v>90</v>
      </c>
      <c r="P6">
        <f>AVERAGE(P4:P5)</f>
        <v>35000000000</v>
      </c>
      <c r="Q6" t="s">
        <v>88</v>
      </c>
    </row>
    <row r="7" spans="1:17" x14ac:dyDescent="0.35">
      <c r="A7">
        <v>10032</v>
      </c>
      <c r="B7">
        <v>2024</v>
      </c>
      <c r="C7" t="s">
        <v>80</v>
      </c>
      <c r="D7">
        <v>89</v>
      </c>
      <c r="E7" t="s">
        <v>9</v>
      </c>
      <c r="F7">
        <v>300</v>
      </c>
      <c r="G7">
        <v>61453</v>
      </c>
      <c r="H7" s="1">
        <f t="shared" si="0"/>
        <v>4.8817795713797536E-3</v>
      </c>
      <c r="I7">
        <v>200000000</v>
      </c>
      <c r="J7">
        <f t="shared" si="1"/>
        <v>5.7142857142857144</v>
      </c>
      <c r="K7">
        <f t="shared" si="2"/>
        <v>571.42857142857144</v>
      </c>
      <c r="L7">
        <f t="shared" si="3"/>
        <v>1714.2857142857142</v>
      </c>
      <c r="M7" s="6">
        <f t="shared" si="4"/>
        <v>2.7895883265027163E-2</v>
      </c>
    </row>
    <row r="8" spans="1:17" x14ac:dyDescent="0.35">
      <c r="A8">
        <v>9970</v>
      </c>
      <c r="B8">
        <v>2024</v>
      </c>
      <c r="C8" t="s">
        <v>37</v>
      </c>
      <c r="D8">
        <v>83</v>
      </c>
      <c r="E8" t="s">
        <v>9</v>
      </c>
      <c r="F8">
        <v>150</v>
      </c>
      <c r="G8">
        <v>60437</v>
      </c>
      <c r="H8" s="1">
        <f t="shared" si="0"/>
        <v>2.4819233251154094E-3</v>
      </c>
      <c r="I8" s="3">
        <v>400000000</v>
      </c>
      <c r="J8">
        <f t="shared" si="1"/>
        <v>11.428571428571429</v>
      </c>
      <c r="K8">
        <f t="shared" si="2"/>
        <v>1142.8571428571429</v>
      </c>
      <c r="L8">
        <f t="shared" si="3"/>
        <v>1714.2857142857142</v>
      </c>
      <c r="M8" s="6">
        <f t="shared" si="4"/>
        <v>2.8364838001318962E-2</v>
      </c>
      <c r="O8" t="s">
        <v>92</v>
      </c>
    </row>
    <row r="9" spans="1:17" x14ac:dyDescent="0.35">
      <c r="A9">
        <v>10193</v>
      </c>
      <c r="B9">
        <v>2024</v>
      </c>
      <c r="C9" t="s">
        <v>80</v>
      </c>
      <c r="D9">
        <v>34</v>
      </c>
      <c r="E9" t="s">
        <v>9</v>
      </c>
      <c r="F9">
        <v>300</v>
      </c>
      <c r="G9">
        <v>66469</v>
      </c>
      <c r="H9" s="1">
        <f t="shared" si="0"/>
        <v>4.5133821781582388E-3</v>
      </c>
      <c r="I9" s="3">
        <v>220000000</v>
      </c>
      <c r="J9">
        <f t="shared" si="1"/>
        <v>6.2857142857142856</v>
      </c>
      <c r="K9">
        <f t="shared" si="2"/>
        <v>628.57142857142856</v>
      </c>
      <c r="L9">
        <f t="shared" si="3"/>
        <v>1885.7142857142858</v>
      </c>
      <c r="M9" s="6">
        <f t="shared" si="4"/>
        <v>2.8369830834137504E-2</v>
      </c>
      <c r="O9" s="7">
        <f>1/P6</f>
        <v>2.8571428571428573E-11</v>
      </c>
    </row>
    <row r="10" spans="1:17" x14ac:dyDescent="0.35">
      <c r="A10">
        <v>10265</v>
      </c>
      <c r="B10">
        <v>2024</v>
      </c>
      <c r="C10" t="s">
        <v>104</v>
      </c>
      <c r="D10">
        <v>141</v>
      </c>
      <c r="E10" t="s">
        <v>9</v>
      </c>
      <c r="F10">
        <v>150</v>
      </c>
      <c r="G10">
        <v>29921</v>
      </c>
      <c r="H10" s="1">
        <f t="shared" si="0"/>
        <v>5.0132014304334746E-3</v>
      </c>
      <c r="I10">
        <v>200000000</v>
      </c>
      <c r="J10">
        <f t="shared" si="1"/>
        <v>5.7142857142857144</v>
      </c>
      <c r="K10">
        <f t="shared" si="2"/>
        <v>571.42857142857144</v>
      </c>
      <c r="L10">
        <f t="shared" si="3"/>
        <v>857.14285714285711</v>
      </c>
      <c r="M10" s="6">
        <f t="shared" si="4"/>
        <v>2.8646865316762714E-2</v>
      </c>
    </row>
    <row r="11" spans="1:17" x14ac:dyDescent="0.35">
      <c r="A11">
        <v>10191</v>
      </c>
      <c r="B11">
        <v>2024</v>
      </c>
      <c r="C11" t="s">
        <v>106</v>
      </c>
      <c r="D11">
        <v>143</v>
      </c>
      <c r="E11" t="s">
        <v>9</v>
      </c>
      <c r="F11">
        <v>150</v>
      </c>
      <c r="G11">
        <v>32566</v>
      </c>
      <c r="H11" s="1">
        <f t="shared" si="0"/>
        <v>4.6060308296996871E-3</v>
      </c>
      <c r="I11">
        <v>220000000</v>
      </c>
      <c r="J11">
        <f t="shared" si="1"/>
        <v>6.2857142857142856</v>
      </c>
      <c r="K11">
        <f t="shared" si="2"/>
        <v>628.57142857142856</v>
      </c>
      <c r="L11">
        <f t="shared" si="3"/>
        <v>942.85714285714289</v>
      </c>
      <c r="M11" s="6">
        <f t="shared" si="4"/>
        <v>2.8952193786683747E-2</v>
      </c>
    </row>
    <row r="12" spans="1:17" x14ac:dyDescent="0.35">
      <c r="A12">
        <v>10203</v>
      </c>
      <c r="B12">
        <v>2024</v>
      </c>
      <c r="C12" t="s">
        <v>37</v>
      </c>
      <c r="D12">
        <v>60</v>
      </c>
      <c r="E12" t="s">
        <v>9</v>
      </c>
      <c r="F12">
        <v>300</v>
      </c>
      <c r="G12">
        <v>63889</v>
      </c>
      <c r="H12" s="1">
        <f t="shared" si="0"/>
        <v>4.6956440075756386E-3</v>
      </c>
      <c r="I12" s="3">
        <v>220000000</v>
      </c>
      <c r="J12">
        <f t="shared" si="1"/>
        <v>6.2857142857142856</v>
      </c>
      <c r="K12">
        <f t="shared" si="2"/>
        <v>628.57142857142856</v>
      </c>
      <c r="L12">
        <f t="shared" si="3"/>
        <v>1885.7142857142858</v>
      </c>
      <c r="M12" s="6">
        <f t="shared" si="4"/>
        <v>2.9515476619046875E-2</v>
      </c>
    </row>
    <row r="13" spans="1:17" x14ac:dyDescent="0.35">
      <c r="A13">
        <v>10011</v>
      </c>
      <c r="B13">
        <v>2024</v>
      </c>
      <c r="C13" t="s">
        <v>80</v>
      </c>
      <c r="D13">
        <v>87</v>
      </c>
      <c r="E13" t="s">
        <v>9</v>
      </c>
      <c r="F13">
        <v>300</v>
      </c>
      <c r="G13">
        <v>57761</v>
      </c>
      <c r="H13" s="1">
        <f t="shared" si="0"/>
        <v>5.1938158965391876E-3</v>
      </c>
      <c r="I13">
        <v>200000000</v>
      </c>
      <c r="J13">
        <f t="shared" si="1"/>
        <v>5.7142857142857144</v>
      </c>
      <c r="K13">
        <f t="shared" si="2"/>
        <v>571.42857142857144</v>
      </c>
      <c r="L13">
        <f t="shared" si="3"/>
        <v>1714.2857142857142</v>
      </c>
      <c r="M13" s="6">
        <f t="shared" si="4"/>
        <v>2.9678947980223927E-2</v>
      </c>
    </row>
    <row r="14" spans="1:17" x14ac:dyDescent="0.35">
      <c r="A14">
        <v>10015</v>
      </c>
      <c r="B14">
        <v>2024</v>
      </c>
      <c r="C14" t="s">
        <v>111</v>
      </c>
      <c r="D14">
        <v>155</v>
      </c>
      <c r="E14" t="s">
        <v>9</v>
      </c>
      <c r="F14">
        <v>150</v>
      </c>
      <c r="G14">
        <v>28519</v>
      </c>
      <c r="H14" s="1">
        <f t="shared" si="0"/>
        <v>5.2596514604298893E-3</v>
      </c>
      <c r="I14">
        <v>200000000</v>
      </c>
      <c r="J14">
        <f t="shared" si="1"/>
        <v>5.7142857142857144</v>
      </c>
      <c r="K14">
        <f t="shared" si="2"/>
        <v>571.42857142857144</v>
      </c>
      <c r="L14">
        <f t="shared" si="3"/>
        <v>857.14285714285711</v>
      </c>
      <c r="M14" s="6">
        <f t="shared" si="4"/>
        <v>3.0055151202456505E-2</v>
      </c>
    </row>
    <row r="15" spans="1:17" x14ac:dyDescent="0.35">
      <c r="A15">
        <v>9984</v>
      </c>
      <c r="B15">
        <v>2024</v>
      </c>
      <c r="C15" t="s">
        <v>37</v>
      </c>
      <c r="D15">
        <v>84</v>
      </c>
      <c r="E15" t="s">
        <v>9</v>
      </c>
      <c r="F15">
        <v>300</v>
      </c>
      <c r="G15">
        <v>55768</v>
      </c>
      <c r="H15" s="1">
        <f t="shared" si="0"/>
        <v>5.3794290632620855E-3</v>
      </c>
      <c r="I15" s="3">
        <v>200000000</v>
      </c>
      <c r="J15">
        <f t="shared" si="1"/>
        <v>5.7142857142857144</v>
      </c>
      <c r="K15">
        <f t="shared" si="2"/>
        <v>571.42857142857144</v>
      </c>
      <c r="L15">
        <f t="shared" si="3"/>
        <v>1714.2857142857142</v>
      </c>
      <c r="M15" s="6">
        <f t="shared" si="4"/>
        <v>3.0739594647211918E-2</v>
      </c>
    </row>
    <row r="16" spans="1:17" x14ac:dyDescent="0.35">
      <c r="A16">
        <v>10187</v>
      </c>
      <c r="B16">
        <v>2024</v>
      </c>
      <c r="C16" t="s">
        <v>37</v>
      </c>
      <c r="D16">
        <v>59</v>
      </c>
      <c r="E16" t="s">
        <v>9</v>
      </c>
      <c r="F16">
        <v>300</v>
      </c>
      <c r="G16">
        <v>60134</v>
      </c>
      <c r="H16" s="1">
        <f t="shared" si="0"/>
        <v>4.9888582166494827E-3</v>
      </c>
      <c r="I16" s="3">
        <v>220000000</v>
      </c>
      <c r="J16">
        <f t="shared" si="1"/>
        <v>6.2857142857142856</v>
      </c>
      <c r="K16">
        <f t="shared" si="2"/>
        <v>628.57142857142856</v>
      </c>
      <c r="L16">
        <f t="shared" si="3"/>
        <v>1885.7142857142858</v>
      </c>
      <c r="M16" s="6">
        <f t="shared" si="4"/>
        <v>3.1358537361796751E-2</v>
      </c>
    </row>
    <row r="17" spans="1:13" x14ac:dyDescent="0.35">
      <c r="A17">
        <v>10194</v>
      </c>
      <c r="B17">
        <v>2024</v>
      </c>
      <c r="C17" t="s">
        <v>103</v>
      </c>
      <c r="D17">
        <v>130</v>
      </c>
      <c r="E17" t="s">
        <v>9</v>
      </c>
      <c r="F17">
        <v>150</v>
      </c>
      <c r="G17">
        <v>29308</v>
      </c>
      <c r="H17" s="1">
        <f t="shared" si="0"/>
        <v>5.1180565033437965E-3</v>
      </c>
      <c r="I17">
        <v>220000000</v>
      </c>
      <c r="J17">
        <f t="shared" si="1"/>
        <v>6.2857142857142856</v>
      </c>
      <c r="K17">
        <f t="shared" si="2"/>
        <v>628.57142857142856</v>
      </c>
      <c r="L17">
        <f t="shared" si="3"/>
        <v>942.85714285714289</v>
      </c>
      <c r="M17" s="6">
        <f t="shared" si="4"/>
        <v>3.217064087816101E-2</v>
      </c>
    </row>
    <row r="18" spans="1:13" x14ac:dyDescent="0.35">
      <c r="A18">
        <v>10211</v>
      </c>
      <c r="B18">
        <v>2024</v>
      </c>
      <c r="C18" t="s">
        <v>80</v>
      </c>
      <c r="D18">
        <v>66</v>
      </c>
      <c r="E18" t="s">
        <v>9</v>
      </c>
      <c r="F18">
        <v>300</v>
      </c>
      <c r="G18">
        <v>65524</v>
      </c>
      <c r="H18" s="1">
        <f t="shared" si="0"/>
        <v>4.5784750625724926E-3</v>
      </c>
      <c r="I18">
        <v>250000000</v>
      </c>
      <c r="J18">
        <f t="shared" si="1"/>
        <v>7.1428571428571432</v>
      </c>
      <c r="K18">
        <f t="shared" si="2"/>
        <v>714.28571428571433</v>
      </c>
      <c r="L18">
        <f t="shared" si="3"/>
        <v>2142.8571428571431</v>
      </c>
      <c r="M18" s="6">
        <f t="shared" si="4"/>
        <v>3.2703393304089237E-2</v>
      </c>
    </row>
    <row r="19" spans="1:13" x14ac:dyDescent="0.35">
      <c r="A19">
        <v>10192</v>
      </c>
      <c r="B19">
        <v>2024</v>
      </c>
      <c r="C19" t="s">
        <v>106</v>
      </c>
      <c r="D19">
        <v>144</v>
      </c>
      <c r="E19" t="s">
        <v>9</v>
      </c>
      <c r="F19">
        <v>150</v>
      </c>
      <c r="G19">
        <v>31912</v>
      </c>
      <c r="H19" s="1">
        <f t="shared" si="0"/>
        <v>4.7004261719729252E-3</v>
      </c>
      <c r="I19">
        <v>250000000</v>
      </c>
      <c r="J19">
        <f t="shared" si="1"/>
        <v>7.1428571428571432</v>
      </c>
      <c r="K19">
        <f t="shared" si="2"/>
        <v>714.28571428571433</v>
      </c>
      <c r="L19">
        <f t="shared" si="3"/>
        <v>1071.4285714285716</v>
      </c>
      <c r="M19" s="6">
        <f t="shared" si="4"/>
        <v>3.3574472656949475E-2</v>
      </c>
    </row>
    <row r="20" spans="1:13" x14ac:dyDescent="0.35">
      <c r="A20">
        <v>10204</v>
      </c>
      <c r="B20">
        <v>2024</v>
      </c>
      <c r="C20" t="s">
        <v>37</v>
      </c>
      <c r="D20">
        <v>54</v>
      </c>
      <c r="E20" t="s">
        <v>9</v>
      </c>
      <c r="F20">
        <v>300</v>
      </c>
      <c r="G20">
        <v>62594</v>
      </c>
      <c r="H20" s="1">
        <f t="shared" si="0"/>
        <v>4.7927916413713773E-3</v>
      </c>
      <c r="I20" s="3">
        <v>250000000</v>
      </c>
      <c r="J20">
        <f t="shared" si="1"/>
        <v>7.1428571428571432</v>
      </c>
      <c r="K20">
        <f t="shared" si="2"/>
        <v>714.28571428571433</v>
      </c>
      <c r="L20">
        <f t="shared" si="3"/>
        <v>2142.8571428571431</v>
      </c>
      <c r="M20" s="6">
        <f t="shared" si="4"/>
        <v>3.423422600979556E-2</v>
      </c>
    </row>
    <row r="21" spans="1:13" x14ac:dyDescent="0.35">
      <c r="A21">
        <v>10186</v>
      </c>
      <c r="B21">
        <v>2024</v>
      </c>
      <c r="C21" t="s">
        <v>37</v>
      </c>
      <c r="D21">
        <v>58</v>
      </c>
      <c r="E21" t="s">
        <v>9</v>
      </c>
      <c r="F21">
        <v>300</v>
      </c>
      <c r="G21">
        <v>60641</v>
      </c>
      <c r="H21" s="1">
        <f t="shared" si="0"/>
        <v>4.9471479691957591E-3</v>
      </c>
      <c r="I21" s="3">
        <v>260000000</v>
      </c>
      <c r="J21">
        <f t="shared" si="1"/>
        <v>7.4285714285714297</v>
      </c>
      <c r="K21">
        <f t="shared" si="2"/>
        <v>742.857142857143</v>
      </c>
      <c r="L21">
        <f t="shared" si="3"/>
        <v>2228.5714285714289</v>
      </c>
      <c r="M21" s="6">
        <f t="shared" si="4"/>
        <v>3.6750242056882786E-2</v>
      </c>
    </row>
    <row r="22" spans="1:13" x14ac:dyDescent="0.35">
      <c r="A22">
        <v>10101</v>
      </c>
      <c r="B22">
        <v>2024</v>
      </c>
      <c r="C22" t="s">
        <v>80</v>
      </c>
      <c r="D22">
        <v>46</v>
      </c>
      <c r="E22" t="s">
        <v>9</v>
      </c>
      <c r="F22">
        <v>250</v>
      </c>
      <c r="G22">
        <v>53016</v>
      </c>
      <c r="H22" s="1">
        <f t="shared" si="0"/>
        <v>4.7155575675267847E-3</v>
      </c>
      <c r="I22">
        <v>290000000</v>
      </c>
      <c r="J22">
        <f t="shared" si="1"/>
        <v>8.2857142857142865</v>
      </c>
      <c r="K22">
        <f t="shared" si="2"/>
        <v>828.57142857142867</v>
      </c>
      <c r="L22">
        <f t="shared" si="3"/>
        <v>2071.4285714285716</v>
      </c>
      <c r="M22" s="6">
        <f t="shared" si="4"/>
        <v>3.9071762702364787E-2</v>
      </c>
    </row>
    <row r="23" spans="1:13" x14ac:dyDescent="0.35">
      <c r="A23">
        <v>10145</v>
      </c>
      <c r="B23">
        <v>2024</v>
      </c>
      <c r="C23" t="s">
        <v>80</v>
      </c>
      <c r="D23">
        <v>86</v>
      </c>
      <c r="E23" t="s">
        <v>9</v>
      </c>
      <c r="F23">
        <v>200</v>
      </c>
      <c r="G23">
        <v>67395</v>
      </c>
      <c r="H23" s="1">
        <f t="shared" si="0"/>
        <v>2.9675791972698273E-3</v>
      </c>
      <c r="I23">
        <v>480000000</v>
      </c>
      <c r="J23">
        <f t="shared" si="1"/>
        <v>13.714285714285715</v>
      </c>
      <c r="K23">
        <f t="shared" si="2"/>
        <v>1371.4285714285716</v>
      </c>
      <c r="L23">
        <f t="shared" si="3"/>
        <v>2742.8571428571431</v>
      </c>
      <c r="M23" s="6">
        <f t="shared" si="4"/>
        <v>4.0698228991129064E-2</v>
      </c>
    </row>
    <row r="24" spans="1:13" x14ac:dyDescent="0.35">
      <c r="A24">
        <v>10141</v>
      </c>
      <c r="B24">
        <v>2024</v>
      </c>
      <c r="C24" t="s">
        <v>81</v>
      </c>
      <c r="D24">
        <v>39</v>
      </c>
      <c r="E24" t="s">
        <v>9</v>
      </c>
      <c r="F24">
        <v>150</v>
      </c>
      <c r="G24">
        <v>50508</v>
      </c>
      <c r="H24" s="1">
        <f t="shared" si="0"/>
        <v>2.9698265621287715E-3</v>
      </c>
      <c r="I24">
        <v>480000000</v>
      </c>
      <c r="J24">
        <f t="shared" si="1"/>
        <v>13.714285714285715</v>
      </c>
      <c r="K24">
        <f t="shared" si="2"/>
        <v>1371.4285714285716</v>
      </c>
      <c r="L24">
        <f t="shared" si="3"/>
        <v>2057.1428571428573</v>
      </c>
      <c r="M24" s="6">
        <f t="shared" si="4"/>
        <v>4.0729049994908874E-2</v>
      </c>
    </row>
    <row r="25" spans="1:13" x14ac:dyDescent="0.35">
      <c r="A25">
        <v>11012</v>
      </c>
      <c r="B25">
        <v>2025</v>
      </c>
      <c r="C25" t="s">
        <v>20</v>
      </c>
      <c r="D25">
        <v>130</v>
      </c>
      <c r="E25" t="s">
        <v>9</v>
      </c>
      <c r="F25">
        <v>100</v>
      </c>
      <c r="G25">
        <v>28750</v>
      </c>
      <c r="H25" s="1">
        <f t="shared" si="0"/>
        <v>3.4782608695652175E-3</v>
      </c>
      <c r="I25">
        <f>426*1000000</f>
        <v>426000000</v>
      </c>
      <c r="J25">
        <f t="shared" si="1"/>
        <v>12.171428571428573</v>
      </c>
      <c r="K25">
        <f t="shared" si="2"/>
        <v>1217.1428571428573</v>
      </c>
      <c r="L25">
        <f t="shared" si="3"/>
        <v>1217.1428571428573</v>
      </c>
      <c r="M25" s="6">
        <f t="shared" si="4"/>
        <v>4.2335403726708083E-2</v>
      </c>
    </row>
    <row r="26" spans="1:13" x14ac:dyDescent="0.35">
      <c r="A26">
        <v>11001</v>
      </c>
      <c r="B26">
        <v>2025</v>
      </c>
      <c r="C26" t="s">
        <v>62</v>
      </c>
      <c r="D26">
        <v>128</v>
      </c>
      <c r="E26" t="s">
        <v>9</v>
      </c>
      <c r="F26">
        <v>100</v>
      </c>
      <c r="G26">
        <v>28551</v>
      </c>
      <c r="H26" s="1">
        <f t="shared" si="0"/>
        <v>3.5025042905677561E-3</v>
      </c>
      <c r="I26">
        <f>426*1000000</f>
        <v>426000000</v>
      </c>
      <c r="J26">
        <f t="shared" si="1"/>
        <v>12.171428571428573</v>
      </c>
      <c r="K26">
        <f t="shared" si="2"/>
        <v>1217.1428571428573</v>
      </c>
      <c r="L26">
        <f t="shared" si="3"/>
        <v>1217.1428571428573</v>
      </c>
      <c r="M26" s="6">
        <f t="shared" si="4"/>
        <v>4.263048079376755E-2</v>
      </c>
    </row>
    <row r="27" spans="1:13" x14ac:dyDescent="0.35">
      <c r="A27">
        <v>11011</v>
      </c>
      <c r="B27">
        <v>2025</v>
      </c>
      <c r="C27" t="s">
        <v>26</v>
      </c>
      <c r="D27">
        <v>164</v>
      </c>
      <c r="E27" t="s">
        <v>9</v>
      </c>
      <c r="F27">
        <v>100</v>
      </c>
      <c r="G27">
        <v>28290</v>
      </c>
      <c r="H27" s="1">
        <f t="shared" si="0"/>
        <v>3.534817956875221E-3</v>
      </c>
      <c r="I27">
        <f>426*1000000</f>
        <v>426000000</v>
      </c>
      <c r="J27">
        <f t="shared" si="1"/>
        <v>12.171428571428573</v>
      </c>
      <c r="K27">
        <f t="shared" si="2"/>
        <v>1217.1428571428573</v>
      </c>
      <c r="L27">
        <f t="shared" si="3"/>
        <v>1217.1428571428573</v>
      </c>
      <c r="M27" s="6">
        <f t="shared" si="4"/>
        <v>4.302378427510984E-2</v>
      </c>
    </row>
    <row r="28" spans="1:13" x14ac:dyDescent="0.35">
      <c r="A28">
        <v>10079</v>
      </c>
      <c r="B28">
        <v>2024</v>
      </c>
      <c r="C28" t="s">
        <v>80</v>
      </c>
      <c r="D28">
        <v>55</v>
      </c>
      <c r="E28" t="s">
        <v>9</v>
      </c>
      <c r="F28">
        <v>300</v>
      </c>
      <c r="G28" s="9">
        <v>67376</v>
      </c>
      <c r="H28" s="1">
        <f t="shared" si="0"/>
        <v>4.4526240797910233E-3</v>
      </c>
      <c r="I28">
        <v>350000000</v>
      </c>
      <c r="J28">
        <f t="shared" si="1"/>
        <v>10</v>
      </c>
      <c r="K28">
        <f t="shared" si="2"/>
        <v>1000</v>
      </c>
      <c r="L28">
        <f t="shared" si="3"/>
        <v>3000</v>
      </c>
      <c r="M28" s="6">
        <f t="shared" si="4"/>
        <v>4.4526240797910233E-2</v>
      </c>
    </row>
    <row r="29" spans="1:13" x14ac:dyDescent="0.35">
      <c r="A29">
        <v>10255</v>
      </c>
      <c r="B29">
        <v>2024</v>
      </c>
      <c r="C29" t="s">
        <v>85</v>
      </c>
      <c r="D29">
        <v>46</v>
      </c>
      <c r="E29" t="s">
        <v>9</v>
      </c>
      <c r="F29">
        <v>250</v>
      </c>
      <c r="G29">
        <v>47995</v>
      </c>
      <c r="H29" s="1">
        <f t="shared" si="0"/>
        <v>5.2088759245754769E-3</v>
      </c>
      <c r="I29">
        <v>300000000</v>
      </c>
      <c r="J29">
        <f t="shared" si="1"/>
        <v>8.5714285714285712</v>
      </c>
      <c r="K29">
        <f t="shared" si="2"/>
        <v>857.14285714285711</v>
      </c>
      <c r="L29">
        <f t="shared" si="3"/>
        <v>2142.8571428571427</v>
      </c>
      <c r="M29" s="6">
        <f t="shared" si="4"/>
        <v>4.4647507924932654E-2</v>
      </c>
    </row>
    <row r="30" spans="1:13" x14ac:dyDescent="0.35">
      <c r="A30">
        <v>10148</v>
      </c>
      <c r="B30">
        <v>2024</v>
      </c>
      <c r="C30" t="s">
        <v>110</v>
      </c>
      <c r="D30">
        <v>155</v>
      </c>
      <c r="E30" t="s">
        <v>9</v>
      </c>
      <c r="F30">
        <v>100</v>
      </c>
      <c r="G30">
        <v>30403</v>
      </c>
      <c r="H30" s="1">
        <f t="shared" si="0"/>
        <v>3.2891490971285729E-3</v>
      </c>
      <c r="I30">
        <v>480000000</v>
      </c>
      <c r="J30">
        <f t="shared" si="1"/>
        <v>13.714285714285715</v>
      </c>
      <c r="K30">
        <f t="shared" si="2"/>
        <v>1371.4285714285716</v>
      </c>
      <c r="L30">
        <f t="shared" si="3"/>
        <v>1371.4285714285716</v>
      </c>
      <c r="M30" s="6">
        <f t="shared" si="4"/>
        <v>4.5108330474906144E-2</v>
      </c>
    </row>
    <row r="31" spans="1:13" x14ac:dyDescent="0.35">
      <c r="A31">
        <v>10131</v>
      </c>
      <c r="B31">
        <v>2024</v>
      </c>
      <c r="C31" t="s">
        <v>37</v>
      </c>
      <c r="D31">
        <v>64</v>
      </c>
      <c r="E31" t="s">
        <v>9</v>
      </c>
      <c r="F31">
        <v>200</v>
      </c>
      <c r="G31">
        <v>60253</v>
      </c>
      <c r="H31" s="1">
        <f t="shared" si="0"/>
        <v>3.3193367965080578E-3</v>
      </c>
      <c r="I31" s="3">
        <v>480000000</v>
      </c>
      <c r="J31">
        <f t="shared" si="1"/>
        <v>13.714285714285715</v>
      </c>
      <c r="K31">
        <f t="shared" si="2"/>
        <v>1371.4285714285716</v>
      </c>
      <c r="L31">
        <f t="shared" si="3"/>
        <v>2742.8571428571431</v>
      </c>
      <c r="M31" s="6">
        <f t="shared" si="4"/>
        <v>4.552233320925337E-2</v>
      </c>
    </row>
    <row r="32" spans="1:13" x14ac:dyDescent="0.35">
      <c r="A32">
        <v>11036</v>
      </c>
      <c r="B32">
        <v>2025</v>
      </c>
      <c r="C32" t="s">
        <v>22</v>
      </c>
      <c r="D32">
        <v>137</v>
      </c>
      <c r="E32" t="s">
        <v>9</v>
      </c>
      <c r="F32">
        <v>150</v>
      </c>
      <c r="G32">
        <v>35147</v>
      </c>
      <c r="H32" s="1">
        <f t="shared" si="0"/>
        <v>4.2677895695222923E-3</v>
      </c>
      <c r="I32">
        <f>426*1000000</f>
        <v>426000000</v>
      </c>
      <c r="J32">
        <f t="shared" si="1"/>
        <v>12.171428571428573</v>
      </c>
      <c r="K32">
        <f t="shared" si="2"/>
        <v>1217.1428571428573</v>
      </c>
      <c r="L32">
        <f t="shared" si="3"/>
        <v>1825.7142857142858</v>
      </c>
      <c r="M32" s="6">
        <f t="shared" si="4"/>
        <v>5.1945095903328471E-2</v>
      </c>
    </row>
    <row r="33" spans="1:13" x14ac:dyDescent="0.35">
      <c r="A33">
        <v>9913</v>
      </c>
      <c r="B33">
        <v>2024</v>
      </c>
      <c r="C33" t="s">
        <v>95</v>
      </c>
      <c r="D33">
        <v>49</v>
      </c>
      <c r="E33" t="s">
        <v>9</v>
      </c>
      <c r="F33">
        <v>150</v>
      </c>
      <c r="G33">
        <v>49205</v>
      </c>
      <c r="H33" s="1">
        <f t="shared" si="0"/>
        <v>3.0484706838735899E-3</v>
      </c>
      <c r="I33">
        <v>600000000</v>
      </c>
      <c r="J33">
        <f t="shared" si="1"/>
        <v>17.142857142857142</v>
      </c>
      <c r="K33">
        <f t="shared" si="2"/>
        <v>1714.2857142857142</v>
      </c>
      <c r="L33">
        <f t="shared" si="3"/>
        <v>2571.4285714285716</v>
      </c>
      <c r="M33" s="6">
        <f t="shared" si="4"/>
        <v>5.2259497437832973E-2</v>
      </c>
    </row>
    <row r="34" spans="1:13" x14ac:dyDescent="0.35">
      <c r="A34">
        <v>10134</v>
      </c>
      <c r="B34">
        <v>2024</v>
      </c>
      <c r="C34" t="s">
        <v>37</v>
      </c>
      <c r="D34">
        <v>65</v>
      </c>
      <c r="E34" t="s">
        <v>9</v>
      </c>
      <c r="F34">
        <v>200</v>
      </c>
      <c r="G34">
        <v>52408</v>
      </c>
      <c r="H34" s="1">
        <f t="shared" ref="H34:H65" si="5">(F34/G34)</f>
        <v>3.8162112654556556E-3</v>
      </c>
      <c r="I34" s="3">
        <v>480000000</v>
      </c>
      <c r="J34">
        <f t="shared" ref="J34:J65" si="6">I34*$P$1*1000</f>
        <v>13.714285714285715</v>
      </c>
      <c r="K34">
        <f t="shared" ref="K34:K65" si="7">J34*100</f>
        <v>1371.4285714285716</v>
      </c>
      <c r="L34">
        <f t="shared" ref="L34:L65" si="8">J34*F34</f>
        <v>2742.8571428571431</v>
      </c>
      <c r="M34" s="6">
        <f t="shared" ref="M34:M65" si="9">L34/G34</f>
        <v>5.2336611640534714E-2</v>
      </c>
    </row>
    <row r="35" spans="1:13" x14ac:dyDescent="0.35">
      <c r="A35">
        <v>10123</v>
      </c>
      <c r="B35">
        <v>2024</v>
      </c>
      <c r="C35" t="s">
        <v>80</v>
      </c>
      <c r="D35">
        <v>48</v>
      </c>
      <c r="E35" t="s">
        <v>9</v>
      </c>
      <c r="F35">
        <v>250</v>
      </c>
      <c r="G35">
        <v>54303</v>
      </c>
      <c r="H35" s="1">
        <f t="shared" si="5"/>
        <v>4.6037972119404085E-3</v>
      </c>
      <c r="I35">
        <v>400000000</v>
      </c>
      <c r="J35">
        <f t="shared" si="6"/>
        <v>11.428571428571429</v>
      </c>
      <c r="K35">
        <f t="shared" si="7"/>
        <v>1142.8571428571429</v>
      </c>
      <c r="L35">
        <f t="shared" si="8"/>
        <v>2857.1428571428573</v>
      </c>
      <c r="M35" s="6">
        <f t="shared" si="9"/>
        <v>5.2614825279318954E-2</v>
      </c>
    </row>
    <row r="36" spans="1:13" x14ac:dyDescent="0.35">
      <c r="A36">
        <v>11015</v>
      </c>
      <c r="B36">
        <v>2025</v>
      </c>
      <c r="C36" t="s">
        <v>13</v>
      </c>
      <c r="D36">
        <v>149</v>
      </c>
      <c r="E36" t="s">
        <v>9</v>
      </c>
      <c r="F36">
        <v>150</v>
      </c>
      <c r="G36">
        <v>34423</v>
      </c>
      <c r="H36" s="1">
        <f t="shared" si="5"/>
        <v>4.3575516369868984E-3</v>
      </c>
      <c r="I36">
        <f>426*1000000</f>
        <v>426000000</v>
      </c>
      <c r="J36">
        <f t="shared" si="6"/>
        <v>12.171428571428573</v>
      </c>
      <c r="K36">
        <f t="shared" si="7"/>
        <v>1217.1428571428573</v>
      </c>
      <c r="L36">
        <f t="shared" si="8"/>
        <v>1825.7142857142858</v>
      </c>
      <c r="M36" s="6">
        <f t="shared" si="9"/>
        <v>5.303762849589768E-2</v>
      </c>
    </row>
    <row r="37" spans="1:13" x14ac:dyDescent="0.35">
      <c r="A37">
        <v>11102</v>
      </c>
      <c r="B37">
        <v>2025</v>
      </c>
      <c r="C37" t="s">
        <v>13</v>
      </c>
      <c r="D37">
        <v>149</v>
      </c>
      <c r="E37" t="s">
        <v>9</v>
      </c>
      <c r="F37">
        <v>150</v>
      </c>
      <c r="G37">
        <v>34423</v>
      </c>
      <c r="H37" s="1">
        <f t="shared" si="5"/>
        <v>4.3575516369868984E-3</v>
      </c>
      <c r="I37">
        <f>426*1000000</f>
        <v>426000000</v>
      </c>
      <c r="J37">
        <f t="shared" si="6"/>
        <v>12.171428571428573</v>
      </c>
      <c r="K37">
        <f t="shared" si="7"/>
        <v>1217.1428571428573</v>
      </c>
      <c r="L37">
        <f t="shared" si="8"/>
        <v>1825.7142857142858</v>
      </c>
      <c r="M37" s="6">
        <f t="shared" si="9"/>
        <v>5.303762849589768E-2</v>
      </c>
    </row>
    <row r="38" spans="1:13" x14ac:dyDescent="0.35">
      <c r="A38">
        <v>10300</v>
      </c>
      <c r="B38">
        <v>2024</v>
      </c>
      <c r="C38" t="s">
        <v>97</v>
      </c>
      <c r="D38">
        <v>65</v>
      </c>
      <c r="E38" t="s">
        <v>9</v>
      </c>
      <c r="F38">
        <v>200</v>
      </c>
      <c r="G38">
        <v>52345</v>
      </c>
      <c r="H38" s="1">
        <f t="shared" si="5"/>
        <v>3.8208042793007927E-3</v>
      </c>
      <c r="I38">
        <v>500000000</v>
      </c>
      <c r="J38">
        <f t="shared" si="6"/>
        <v>14.285714285714286</v>
      </c>
      <c r="K38">
        <f t="shared" si="7"/>
        <v>1428.5714285714287</v>
      </c>
      <c r="L38">
        <f t="shared" si="8"/>
        <v>2857.1428571428573</v>
      </c>
      <c r="M38" s="6">
        <f t="shared" si="9"/>
        <v>5.4582918275725617E-2</v>
      </c>
    </row>
    <row r="39" spans="1:13" x14ac:dyDescent="0.35">
      <c r="A39">
        <v>11042</v>
      </c>
      <c r="B39">
        <v>2025</v>
      </c>
      <c r="C39" t="s">
        <v>3</v>
      </c>
      <c r="D39">
        <v>33</v>
      </c>
      <c r="E39" t="s">
        <v>9</v>
      </c>
      <c r="F39">
        <v>300</v>
      </c>
      <c r="G39">
        <v>66078</v>
      </c>
      <c r="H39" s="1">
        <f t="shared" si="5"/>
        <v>4.5400889857441203E-3</v>
      </c>
      <c r="I39">
        <f>426*1000000</f>
        <v>426000000</v>
      </c>
      <c r="J39">
        <f t="shared" si="6"/>
        <v>12.171428571428573</v>
      </c>
      <c r="K39">
        <f t="shared" si="7"/>
        <v>1217.1428571428573</v>
      </c>
      <c r="L39">
        <f t="shared" si="8"/>
        <v>3651.4285714285716</v>
      </c>
      <c r="M39" s="6">
        <f t="shared" si="9"/>
        <v>5.5259368797914155E-2</v>
      </c>
    </row>
    <row r="40" spans="1:13" x14ac:dyDescent="0.35">
      <c r="A40">
        <v>10995</v>
      </c>
      <c r="B40">
        <v>2025</v>
      </c>
      <c r="C40" t="s">
        <v>15</v>
      </c>
      <c r="D40">
        <v>65</v>
      </c>
      <c r="E40" t="s">
        <v>9</v>
      </c>
      <c r="F40">
        <v>300</v>
      </c>
      <c r="G40">
        <v>65694</v>
      </c>
      <c r="H40" s="1">
        <f t="shared" si="5"/>
        <v>4.5666270892318929E-3</v>
      </c>
      <c r="I40">
        <f>426*1000000</f>
        <v>426000000</v>
      </c>
      <c r="J40">
        <f t="shared" si="6"/>
        <v>12.171428571428573</v>
      </c>
      <c r="K40">
        <f t="shared" si="7"/>
        <v>1217.1428571428573</v>
      </c>
      <c r="L40">
        <f t="shared" si="8"/>
        <v>3651.4285714285716</v>
      </c>
      <c r="M40" s="6">
        <f t="shared" si="9"/>
        <v>5.5582375428936757E-2</v>
      </c>
    </row>
    <row r="41" spans="1:13" x14ac:dyDescent="0.35">
      <c r="A41">
        <v>10107</v>
      </c>
      <c r="B41">
        <v>2024</v>
      </c>
      <c r="C41" t="s">
        <v>83</v>
      </c>
      <c r="D41">
        <v>42</v>
      </c>
      <c r="E41" t="s">
        <v>9</v>
      </c>
      <c r="F41">
        <v>250</v>
      </c>
      <c r="G41">
        <v>51143</v>
      </c>
      <c r="H41" s="1">
        <f t="shared" si="5"/>
        <v>4.8882545020823964E-3</v>
      </c>
      <c r="I41">
        <v>400000000</v>
      </c>
      <c r="J41">
        <f t="shared" si="6"/>
        <v>11.428571428571429</v>
      </c>
      <c r="K41">
        <f t="shared" si="7"/>
        <v>1142.8571428571429</v>
      </c>
      <c r="L41">
        <f t="shared" si="8"/>
        <v>2857.1428571428573</v>
      </c>
      <c r="M41" s="6">
        <f t="shared" si="9"/>
        <v>5.5865765738084536E-2</v>
      </c>
    </row>
    <row r="42" spans="1:13" x14ac:dyDescent="0.35">
      <c r="A42">
        <v>11023</v>
      </c>
      <c r="B42">
        <v>2025</v>
      </c>
      <c r="C42" t="s">
        <v>15</v>
      </c>
      <c r="D42">
        <v>66</v>
      </c>
      <c r="E42" t="s">
        <v>9</v>
      </c>
      <c r="F42">
        <v>300</v>
      </c>
      <c r="G42">
        <v>65357</v>
      </c>
      <c r="H42" s="1">
        <f t="shared" si="5"/>
        <v>4.5901739675933721E-3</v>
      </c>
      <c r="I42">
        <f>426*1000000</f>
        <v>426000000</v>
      </c>
      <c r="J42">
        <f t="shared" si="6"/>
        <v>12.171428571428573</v>
      </c>
      <c r="K42">
        <f t="shared" si="7"/>
        <v>1217.1428571428573</v>
      </c>
      <c r="L42">
        <f t="shared" si="8"/>
        <v>3651.4285714285716</v>
      </c>
      <c r="M42" s="6">
        <f t="shared" si="9"/>
        <v>5.5868974576993614E-2</v>
      </c>
    </row>
    <row r="43" spans="1:13" x14ac:dyDescent="0.35">
      <c r="A43">
        <v>10946</v>
      </c>
      <c r="B43">
        <v>2025</v>
      </c>
      <c r="C43" t="s">
        <v>69</v>
      </c>
      <c r="D43">
        <v>165</v>
      </c>
      <c r="E43" t="s">
        <v>9</v>
      </c>
      <c r="F43">
        <v>150</v>
      </c>
      <c r="G43">
        <v>31860</v>
      </c>
      <c r="H43" s="1">
        <f t="shared" si="5"/>
        <v>4.7080979284369112E-3</v>
      </c>
      <c r="I43">
        <f>426*1000000</f>
        <v>426000000</v>
      </c>
      <c r="J43">
        <f t="shared" si="6"/>
        <v>12.171428571428573</v>
      </c>
      <c r="K43">
        <f t="shared" si="7"/>
        <v>1217.1428571428573</v>
      </c>
      <c r="L43">
        <f t="shared" si="8"/>
        <v>1825.7142857142858</v>
      </c>
      <c r="M43" s="6">
        <f t="shared" si="9"/>
        <v>5.7304277643260695E-2</v>
      </c>
    </row>
    <row r="44" spans="1:13" x14ac:dyDescent="0.35">
      <c r="A44">
        <v>11037</v>
      </c>
      <c r="B44">
        <v>2025</v>
      </c>
      <c r="C44" t="s">
        <v>15</v>
      </c>
      <c r="D44">
        <v>61</v>
      </c>
      <c r="E44" t="s">
        <v>9</v>
      </c>
      <c r="F44">
        <v>300</v>
      </c>
      <c r="G44">
        <v>63068</v>
      </c>
      <c r="H44" s="1">
        <f t="shared" si="5"/>
        <v>4.7567704699689227E-3</v>
      </c>
      <c r="I44">
        <f>426*1000000</f>
        <v>426000000</v>
      </c>
      <c r="J44">
        <f t="shared" si="6"/>
        <v>12.171428571428573</v>
      </c>
      <c r="K44">
        <f t="shared" si="7"/>
        <v>1217.1428571428573</v>
      </c>
      <c r="L44">
        <f t="shared" si="8"/>
        <v>3651.4285714285716</v>
      </c>
      <c r="M44" s="6">
        <f t="shared" si="9"/>
        <v>5.7896692005907455E-2</v>
      </c>
    </row>
    <row r="45" spans="1:13" x14ac:dyDescent="0.35">
      <c r="A45">
        <v>11079</v>
      </c>
      <c r="B45">
        <v>2025</v>
      </c>
      <c r="C45" t="s">
        <v>55</v>
      </c>
      <c r="D45">
        <v>31</v>
      </c>
      <c r="E45" t="s">
        <v>9</v>
      </c>
      <c r="F45">
        <v>300</v>
      </c>
      <c r="G45">
        <v>67030</v>
      </c>
      <c r="H45" s="1">
        <f t="shared" si="5"/>
        <v>4.4756079367447412E-3</v>
      </c>
      <c r="I45">
        <f>454*1000000</f>
        <v>454000000</v>
      </c>
      <c r="J45">
        <f t="shared" si="6"/>
        <v>12.971428571428572</v>
      </c>
      <c r="K45">
        <f t="shared" si="7"/>
        <v>1297.1428571428571</v>
      </c>
      <c r="L45">
        <f t="shared" si="8"/>
        <v>3891.4285714285716</v>
      </c>
      <c r="M45" s="6">
        <f t="shared" si="9"/>
        <v>5.8055028665203214E-2</v>
      </c>
    </row>
    <row r="46" spans="1:13" x14ac:dyDescent="0.35">
      <c r="A46">
        <v>10879</v>
      </c>
      <c r="B46">
        <v>2025</v>
      </c>
      <c r="C46" t="s">
        <v>12</v>
      </c>
      <c r="D46">
        <v>59</v>
      </c>
      <c r="E46" t="s">
        <v>9</v>
      </c>
      <c r="F46">
        <v>300</v>
      </c>
      <c r="G46">
        <v>60887</v>
      </c>
      <c r="H46" s="1">
        <f t="shared" si="5"/>
        <v>4.9271601491287136E-3</v>
      </c>
      <c r="I46">
        <f>426*1000000</f>
        <v>426000000</v>
      </c>
      <c r="J46">
        <f t="shared" si="6"/>
        <v>12.171428571428573</v>
      </c>
      <c r="K46">
        <f t="shared" si="7"/>
        <v>1217.1428571428573</v>
      </c>
      <c r="L46">
        <f t="shared" si="8"/>
        <v>3651.4285714285716</v>
      </c>
      <c r="M46" s="6">
        <f t="shared" si="9"/>
        <v>5.9970577815109491E-2</v>
      </c>
    </row>
    <row r="47" spans="1:13" x14ac:dyDescent="0.35">
      <c r="A47">
        <v>11178</v>
      </c>
      <c r="B47">
        <v>2025</v>
      </c>
      <c r="C47" t="s">
        <v>65</v>
      </c>
      <c r="D47">
        <v>159</v>
      </c>
      <c r="E47" t="s">
        <v>9</v>
      </c>
      <c r="F47">
        <v>150</v>
      </c>
      <c r="G47">
        <v>37111</v>
      </c>
      <c r="H47" s="1">
        <f t="shared" si="5"/>
        <v>4.0419282692463155E-3</v>
      </c>
      <c r="I47">
        <f>520*1000000</f>
        <v>520000000</v>
      </c>
      <c r="J47">
        <f t="shared" si="6"/>
        <v>14.857142857142859</v>
      </c>
      <c r="K47">
        <f t="shared" si="7"/>
        <v>1485.714285714286</v>
      </c>
      <c r="L47">
        <f t="shared" si="8"/>
        <v>2228.5714285714289</v>
      </c>
      <c r="M47" s="6">
        <f t="shared" si="9"/>
        <v>6.0051505714516687E-2</v>
      </c>
    </row>
    <row r="48" spans="1:13" x14ac:dyDescent="0.35">
      <c r="A48">
        <v>11027</v>
      </c>
      <c r="B48">
        <v>2025</v>
      </c>
      <c r="C48" t="s">
        <v>61</v>
      </c>
      <c r="D48">
        <v>68</v>
      </c>
      <c r="E48" t="s">
        <v>9</v>
      </c>
      <c r="F48">
        <v>300</v>
      </c>
      <c r="G48">
        <v>60235</v>
      </c>
      <c r="H48" s="1">
        <f t="shared" si="5"/>
        <v>4.9804930688138122E-3</v>
      </c>
      <c r="I48">
        <f>426*1000000</f>
        <v>426000000</v>
      </c>
      <c r="J48">
        <f t="shared" si="6"/>
        <v>12.171428571428573</v>
      </c>
      <c r="K48">
        <f t="shared" si="7"/>
        <v>1217.1428571428573</v>
      </c>
      <c r="L48">
        <f t="shared" si="8"/>
        <v>3651.4285714285716</v>
      </c>
      <c r="M48" s="6">
        <f t="shared" si="9"/>
        <v>6.0619715637562403E-2</v>
      </c>
    </row>
    <row r="49" spans="1:13" x14ac:dyDescent="0.35">
      <c r="A49">
        <v>11177</v>
      </c>
      <c r="B49">
        <v>2025</v>
      </c>
      <c r="C49" t="s">
        <v>65</v>
      </c>
      <c r="D49">
        <v>158</v>
      </c>
      <c r="E49" t="s">
        <v>9</v>
      </c>
      <c r="F49">
        <v>150</v>
      </c>
      <c r="G49">
        <v>34965</v>
      </c>
      <c r="H49" s="1">
        <f t="shared" si="5"/>
        <v>4.2900042900042897E-3</v>
      </c>
      <c r="I49">
        <f>502*1000000</f>
        <v>502000000</v>
      </c>
      <c r="J49">
        <f t="shared" si="6"/>
        <v>14.342857142857143</v>
      </c>
      <c r="K49">
        <f t="shared" si="7"/>
        <v>1434.2857142857144</v>
      </c>
      <c r="L49">
        <f t="shared" si="8"/>
        <v>2151.4285714285716</v>
      </c>
      <c r="M49" s="6">
        <f t="shared" si="9"/>
        <v>6.1530918673775824E-2</v>
      </c>
    </row>
    <row r="50" spans="1:13" x14ac:dyDescent="0.35">
      <c r="A50">
        <v>11182</v>
      </c>
      <c r="B50">
        <v>2025</v>
      </c>
      <c r="C50" t="s">
        <v>65</v>
      </c>
      <c r="D50">
        <v>138</v>
      </c>
      <c r="E50" t="s">
        <v>9</v>
      </c>
      <c r="F50">
        <v>150</v>
      </c>
      <c r="G50">
        <v>35809</v>
      </c>
      <c r="H50" s="1">
        <f t="shared" si="5"/>
        <v>4.1888910609064762E-3</v>
      </c>
      <c r="I50">
        <f>520*1000000</f>
        <v>520000000</v>
      </c>
      <c r="J50">
        <f t="shared" si="6"/>
        <v>14.857142857142859</v>
      </c>
      <c r="K50">
        <f t="shared" si="7"/>
        <v>1485.714285714286</v>
      </c>
      <c r="L50">
        <f t="shared" si="8"/>
        <v>2228.5714285714289</v>
      </c>
      <c r="M50" s="6">
        <f t="shared" si="9"/>
        <v>6.2234952904896224E-2</v>
      </c>
    </row>
    <row r="51" spans="1:13" x14ac:dyDescent="0.35">
      <c r="A51">
        <v>10941</v>
      </c>
      <c r="B51">
        <v>2025</v>
      </c>
      <c r="C51" t="s">
        <v>12</v>
      </c>
      <c r="D51">
        <v>34</v>
      </c>
      <c r="E51" t="s">
        <v>9</v>
      </c>
      <c r="F51">
        <v>300</v>
      </c>
      <c r="G51">
        <v>60777</v>
      </c>
      <c r="H51" s="1">
        <f t="shared" si="5"/>
        <v>4.9360777925860112E-3</v>
      </c>
      <c r="I51">
        <f>460*1000000</f>
        <v>460000000</v>
      </c>
      <c r="J51">
        <f t="shared" si="6"/>
        <v>13.142857142857144</v>
      </c>
      <c r="K51">
        <f t="shared" si="7"/>
        <v>1314.2857142857144</v>
      </c>
      <c r="L51">
        <f t="shared" si="8"/>
        <v>3942.8571428571431</v>
      </c>
      <c r="M51" s="6">
        <f t="shared" si="9"/>
        <v>6.487416527398758E-2</v>
      </c>
    </row>
    <row r="52" spans="1:13" x14ac:dyDescent="0.35">
      <c r="A52">
        <v>11179</v>
      </c>
      <c r="B52">
        <v>2025</v>
      </c>
      <c r="C52" t="s">
        <v>59</v>
      </c>
      <c r="D52">
        <v>60</v>
      </c>
      <c r="E52" t="s">
        <v>9</v>
      </c>
      <c r="F52">
        <v>300</v>
      </c>
      <c r="G52">
        <v>65983</v>
      </c>
      <c r="H52" s="1">
        <f t="shared" si="5"/>
        <v>4.5466256459997271E-3</v>
      </c>
      <c r="I52">
        <f>502*1000000</f>
        <v>502000000</v>
      </c>
      <c r="J52">
        <f t="shared" si="6"/>
        <v>14.342857142857143</v>
      </c>
      <c r="K52">
        <f t="shared" si="7"/>
        <v>1434.2857142857144</v>
      </c>
      <c r="L52">
        <f t="shared" si="8"/>
        <v>4302.8571428571431</v>
      </c>
      <c r="M52" s="6">
        <f t="shared" si="9"/>
        <v>6.5211602122624668E-2</v>
      </c>
    </row>
    <row r="53" spans="1:13" x14ac:dyDescent="0.35">
      <c r="A53">
        <v>10970</v>
      </c>
      <c r="B53">
        <v>2025</v>
      </c>
      <c r="C53" t="s">
        <v>64</v>
      </c>
      <c r="D53">
        <v>135</v>
      </c>
      <c r="E53" t="s">
        <v>9</v>
      </c>
      <c r="F53">
        <v>150</v>
      </c>
      <c r="G53">
        <v>30354</v>
      </c>
      <c r="H53" s="1">
        <f t="shared" si="5"/>
        <v>4.9416880806483496E-3</v>
      </c>
      <c r="I53">
        <f>466*1000000</f>
        <v>466000000</v>
      </c>
      <c r="J53">
        <f t="shared" si="6"/>
        <v>13.314285714285715</v>
      </c>
      <c r="K53">
        <f t="shared" si="7"/>
        <v>1331.4285714285716</v>
      </c>
      <c r="L53">
        <f t="shared" si="8"/>
        <v>1997.1428571428573</v>
      </c>
      <c r="M53" s="6">
        <f t="shared" si="9"/>
        <v>6.5795047016632316E-2</v>
      </c>
    </row>
    <row r="54" spans="1:13" x14ac:dyDescent="0.35">
      <c r="A54">
        <v>11013</v>
      </c>
      <c r="B54">
        <v>2025</v>
      </c>
      <c r="C54" t="s">
        <v>21</v>
      </c>
      <c r="D54">
        <v>134</v>
      </c>
      <c r="E54" t="s">
        <v>9</v>
      </c>
      <c r="F54">
        <v>150</v>
      </c>
      <c r="G54">
        <v>27701</v>
      </c>
      <c r="H54" s="1">
        <f t="shared" si="5"/>
        <v>5.4149669687014908E-3</v>
      </c>
      <c r="I54">
        <f>426*1000000</f>
        <v>426000000</v>
      </c>
      <c r="J54">
        <f t="shared" si="6"/>
        <v>12.171428571428573</v>
      </c>
      <c r="K54">
        <f t="shared" si="7"/>
        <v>1217.1428571428573</v>
      </c>
      <c r="L54">
        <f t="shared" si="8"/>
        <v>1825.7142857142858</v>
      </c>
      <c r="M54" s="6">
        <f t="shared" si="9"/>
        <v>6.5907883676195295E-2</v>
      </c>
    </row>
    <row r="55" spans="1:13" x14ac:dyDescent="0.35">
      <c r="A55">
        <v>10286</v>
      </c>
      <c r="B55">
        <v>2024</v>
      </c>
      <c r="C55" t="s">
        <v>96</v>
      </c>
      <c r="D55">
        <v>67</v>
      </c>
      <c r="E55" t="s">
        <v>9</v>
      </c>
      <c r="F55">
        <v>300</v>
      </c>
      <c r="G55">
        <v>63971</v>
      </c>
      <c r="H55" s="1">
        <f t="shared" si="5"/>
        <v>4.6896249863219268E-3</v>
      </c>
      <c r="I55">
        <v>500000000</v>
      </c>
      <c r="J55">
        <f t="shared" si="6"/>
        <v>14.285714285714286</v>
      </c>
      <c r="K55">
        <f t="shared" si="7"/>
        <v>1428.5714285714287</v>
      </c>
      <c r="L55">
        <f t="shared" si="8"/>
        <v>4285.7142857142862</v>
      </c>
      <c r="M55" s="6">
        <f t="shared" si="9"/>
        <v>6.6994642661741821E-2</v>
      </c>
    </row>
    <row r="56" spans="1:13" x14ac:dyDescent="0.35">
      <c r="A56">
        <v>10297</v>
      </c>
      <c r="B56">
        <v>2024</v>
      </c>
      <c r="C56" t="s">
        <v>96</v>
      </c>
      <c r="D56">
        <v>54</v>
      </c>
      <c r="E56" t="s">
        <v>9</v>
      </c>
      <c r="F56">
        <v>300</v>
      </c>
      <c r="G56">
        <v>63872</v>
      </c>
      <c r="H56" s="1">
        <f t="shared" si="5"/>
        <v>4.6968937875751507E-3</v>
      </c>
      <c r="I56">
        <v>500000000</v>
      </c>
      <c r="J56">
        <f t="shared" si="6"/>
        <v>14.285714285714286</v>
      </c>
      <c r="K56">
        <f t="shared" si="7"/>
        <v>1428.5714285714287</v>
      </c>
      <c r="L56">
        <f t="shared" si="8"/>
        <v>4285.7142857142862</v>
      </c>
      <c r="M56" s="6">
        <f t="shared" si="9"/>
        <v>6.7098482679645008E-2</v>
      </c>
    </row>
    <row r="57" spans="1:13" x14ac:dyDescent="0.35">
      <c r="A57">
        <v>10124</v>
      </c>
      <c r="B57">
        <v>2024</v>
      </c>
      <c r="C57" t="s">
        <v>80</v>
      </c>
      <c r="D57">
        <v>50</v>
      </c>
      <c r="E57" t="s">
        <v>9</v>
      </c>
      <c r="F57">
        <v>250</v>
      </c>
      <c r="G57">
        <v>42230</v>
      </c>
      <c r="H57" s="1">
        <f t="shared" si="5"/>
        <v>5.9199621122424818E-3</v>
      </c>
      <c r="I57">
        <v>400000000</v>
      </c>
      <c r="J57">
        <f t="shared" si="6"/>
        <v>11.428571428571429</v>
      </c>
      <c r="K57">
        <f t="shared" si="7"/>
        <v>1142.8571428571429</v>
      </c>
      <c r="L57">
        <f t="shared" si="8"/>
        <v>2857.1428571428573</v>
      </c>
      <c r="M57" s="6">
        <f t="shared" si="9"/>
        <v>6.765670985419979E-2</v>
      </c>
    </row>
    <row r="58" spans="1:13" x14ac:dyDescent="0.35">
      <c r="A58">
        <v>10287</v>
      </c>
      <c r="B58">
        <v>2024</v>
      </c>
      <c r="C58" t="s">
        <v>101</v>
      </c>
      <c r="D58">
        <v>87</v>
      </c>
      <c r="E58" t="s">
        <v>9</v>
      </c>
      <c r="F58">
        <v>300</v>
      </c>
      <c r="G58">
        <v>62783</v>
      </c>
      <c r="H58" s="1">
        <f t="shared" si="5"/>
        <v>4.7783635697561441E-3</v>
      </c>
      <c r="I58">
        <v>500000000</v>
      </c>
      <c r="J58">
        <f t="shared" si="6"/>
        <v>14.285714285714286</v>
      </c>
      <c r="K58">
        <f t="shared" si="7"/>
        <v>1428.5714285714287</v>
      </c>
      <c r="L58">
        <f t="shared" si="8"/>
        <v>4285.7142857142862</v>
      </c>
      <c r="M58" s="6">
        <f t="shared" si="9"/>
        <v>6.8262336710802063E-2</v>
      </c>
    </row>
    <row r="59" spans="1:13" x14ac:dyDescent="0.35">
      <c r="A59">
        <v>10294</v>
      </c>
      <c r="B59">
        <v>2024</v>
      </c>
      <c r="C59" t="s">
        <v>107</v>
      </c>
      <c r="D59">
        <v>144</v>
      </c>
      <c r="E59" t="s">
        <v>9</v>
      </c>
      <c r="F59">
        <v>150</v>
      </c>
      <c r="G59">
        <v>29884</v>
      </c>
      <c r="H59" s="1">
        <f t="shared" si="5"/>
        <v>5.019408379065721E-3</v>
      </c>
      <c r="I59">
        <v>500000000</v>
      </c>
      <c r="J59">
        <f t="shared" si="6"/>
        <v>14.285714285714286</v>
      </c>
      <c r="K59">
        <f t="shared" si="7"/>
        <v>1428.5714285714287</v>
      </c>
      <c r="L59">
        <f t="shared" si="8"/>
        <v>2142.8571428571431</v>
      </c>
      <c r="M59" s="6">
        <f t="shared" si="9"/>
        <v>7.1705833986653159E-2</v>
      </c>
    </row>
    <row r="60" spans="1:13" x14ac:dyDescent="0.35">
      <c r="A60">
        <v>10799</v>
      </c>
      <c r="B60">
        <v>2025</v>
      </c>
      <c r="C60" t="s">
        <v>67</v>
      </c>
      <c r="D60">
        <v>164</v>
      </c>
      <c r="E60" t="s">
        <v>9</v>
      </c>
      <c r="F60">
        <v>100</v>
      </c>
      <c r="G60">
        <v>24240</v>
      </c>
      <c r="H60" s="1">
        <f t="shared" si="5"/>
        <v>4.125412541254125E-3</v>
      </c>
      <c r="I60">
        <f>620*1000000</f>
        <v>620000000</v>
      </c>
      <c r="J60">
        <f t="shared" si="6"/>
        <v>17.714285714285715</v>
      </c>
      <c r="K60">
        <f t="shared" si="7"/>
        <v>1771.4285714285716</v>
      </c>
      <c r="L60">
        <f t="shared" si="8"/>
        <v>1771.4285714285716</v>
      </c>
      <c r="M60" s="6">
        <f t="shared" si="9"/>
        <v>7.3078736445073081E-2</v>
      </c>
    </row>
    <row r="61" spans="1:13" x14ac:dyDescent="0.35">
      <c r="A61">
        <v>9946</v>
      </c>
      <c r="B61">
        <v>2024</v>
      </c>
      <c r="C61" t="s">
        <v>38</v>
      </c>
      <c r="D61">
        <v>59</v>
      </c>
      <c r="E61" t="s">
        <v>9</v>
      </c>
      <c r="F61">
        <v>300</v>
      </c>
      <c r="G61">
        <v>63880</v>
      </c>
      <c r="H61" s="1">
        <f t="shared" si="5"/>
        <v>4.6963055729492796E-3</v>
      </c>
      <c r="I61" s="3">
        <v>550000000</v>
      </c>
      <c r="J61">
        <f t="shared" si="6"/>
        <v>15.714285714285715</v>
      </c>
      <c r="K61">
        <f t="shared" si="7"/>
        <v>1571.4285714285716</v>
      </c>
      <c r="L61">
        <f t="shared" si="8"/>
        <v>4714.2857142857147</v>
      </c>
      <c r="M61" s="6">
        <f t="shared" si="9"/>
        <v>7.3799087574917266E-2</v>
      </c>
    </row>
    <row r="62" spans="1:13" x14ac:dyDescent="0.35">
      <c r="A62">
        <v>11172</v>
      </c>
      <c r="B62">
        <v>2025</v>
      </c>
      <c r="C62" t="s">
        <v>15</v>
      </c>
      <c r="D62">
        <v>67</v>
      </c>
      <c r="E62" t="s">
        <v>9</v>
      </c>
      <c r="F62">
        <v>350</v>
      </c>
      <c r="G62">
        <v>66521</v>
      </c>
      <c r="H62" s="1">
        <f t="shared" si="5"/>
        <v>5.2614963695675051E-3</v>
      </c>
      <c r="I62">
        <f>502*1000000</f>
        <v>502000000</v>
      </c>
      <c r="J62">
        <f t="shared" si="6"/>
        <v>14.342857142857143</v>
      </c>
      <c r="K62">
        <f t="shared" si="7"/>
        <v>1434.2857142857144</v>
      </c>
      <c r="L62">
        <f t="shared" si="8"/>
        <v>5020</v>
      </c>
      <c r="M62" s="6">
        <f t="shared" si="9"/>
        <v>7.5464890786368213E-2</v>
      </c>
    </row>
    <row r="63" spans="1:13" x14ac:dyDescent="0.35">
      <c r="A63">
        <v>10285</v>
      </c>
      <c r="B63">
        <v>2024</v>
      </c>
      <c r="C63" t="s">
        <v>86</v>
      </c>
      <c r="D63">
        <v>47</v>
      </c>
      <c r="E63" t="s">
        <v>9</v>
      </c>
      <c r="F63">
        <v>250</v>
      </c>
      <c r="G63">
        <v>47117</v>
      </c>
      <c r="H63" s="1">
        <f t="shared" si="5"/>
        <v>5.3059405310185281E-3</v>
      </c>
      <c r="I63">
        <v>500000000</v>
      </c>
      <c r="J63">
        <f t="shared" si="6"/>
        <v>14.285714285714286</v>
      </c>
      <c r="K63">
        <f t="shared" si="7"/>
        <v>1428.5714285714287</v>
      </c>
      <c r="L63">
        <f t="shared" si="8"/>
        <v>3571.4285714285716</v>
      </c>
      <c r="M63" s="6">
        <f t="shared" si="9"/>
        <v>7.579915044312184E-2</v>
      </c>
    </row>
    <row r="64" spans="1:13" x14ac:dyDescent="0.35">
      <c r="A64">
        <v>11225</v>
      </c>
      <c r="B64">
        <v>2025</v>
      </c>
      <c r="C64" t="s">
        <v>15</v>
      </c>
      <c r="D64">
        <v>84</v>
      </c>
      <c r="E64" t="s">
        <v>9</v>
      </c>
      <c r="F64">
        <v>350</v>
      </c>
      <c r="G64">
        <v>68568</v>
      </c>
      <c r="H64" s="1">
        <f t="shared" si="5"/>
        <v>5.1044218877610544E-3</v>
      </c>
      <c r="I64">
        <f>520*1000000</f>
        <v>520000000</v>
      </c>
      <c r="J64">
        <f t="shared" si="6"/>
        <v>14.857142857142859</v>
      </c>
      <c r="K64">
        <f t="shared" si="7"/>
        <v>1485.714285714286</v>
      </c>
      <c r="L64">
        <f t="shared" si="8"/>
        <v>5200.0000000000009</v>
      </c>
      <c r="M64" s="6">
        <f t="shared" si="9"/>
        <v>7.5837125189592833E-2</v>
      </c>
    </row>
    <row r="65" spans="1:13" x14ac:dyDescent="0.35">
      <c r="A65">
        <v>11197</v>
      </c>
      <c r="B65">
        <v>2025</v>
      </c>
      <c r="C65" t="s">
        <v>12</v>
      </c>
      <c r="D65">
        <v>66</v>
      </c>
      <c r="E65" t="s">
        <v>9</v>
      </c>
      <c r="F65">
        <v>350</v>
      </c>
      <c r="G65">
        <v>65481</v>
      </c>
      <c r="H65" s="1">
        <f t="shared" si="5"/>
        <v>5.3450619263603182E-3</v>
      </c>
      <c r="I65">
        <f>520*1000000</f>
        <v>520000000</v>
      </c>
      <c r="J65">
        <f t="shared" si="6"/>
        <v>14.857142857142859</v>
      </c>
      <c r="K65">
        <f t="shared" si="7"/>
        <v>1485.714285714286</v>
      </c>
      <c r="L65">
        <f t="shared" si="8"/>
        <v>5200.0000000000009</v>
      </c>
      <c r="M65" s="6">
        <f t="shared" si="9"/>
        <v>7.941234862021046E-2</v>
      </c>
    </row>
    <row r="66" spans="1:13" x14ac:dyDescent="0.35">
      <c r="A66">
        <v>11105</v>
      </c>
      <c r="B66">
        <v>2025</v>
      </c>
      <c r="C66" t="s">
        <v>16</v>
      </c>
      <c r="D66">
        <v>64</v>
      </c>
      <c r="E66" t="s">
        <v>9</v>
      </c>
      <c r="F66">
        <v>350</v>
      </c>
      <c r="G66">
        <v>62066</v>
      </c>
      <c r="H66" s="1">
        <f t="shared" ref="H66:H97" si="10">(F66/G66)</f>
        <v>5.6391583153417328E-3</v>
      </c>
      <c r="I66">
        <f>496*1000000</f>
        <v>496000000</v>
      </c>
      <c r="J66">
        <f t="shared" ref="J66:J97" si="11">I66*$P$1*1000</f>
        <v>14.171428571428573</v>
      </c>
      <c r="K66">
        <f t="shared" ref="K66:K97" si="12">J66*100</f>
        <v>1417.1428571428573</v>
      </c>
      <c r="L66">
        <f t="shared" ref="L66:L97" si="13">J66*F66</f>
        <v>4960</v>
      </c>
      <c r="M66" s="6">
        <f t="shared" ref="M66:M97" si="14">L66/G66</f>
        <v>7.9914929268842846E-2</v>
      </c>
    </row>
    <row r="67" spans="1:13" x14ac:dyDescent="0.35">
      <c r="A67">
        <v>11105</v>
      </c>
      <c r="B67">
        <v>2025</v>
      </c>
      <c r="C67" t="s">
        <v>16</v>
      </c>
      <c r="D67">
        <v>64</v>
      </c>
      <c r="E67" t="s">
        <v>9</v>
      </c>
      <c r="F67">
        <v>350</v>
      </c>
      <c r="G67">
        <v>62066</v>
      </c>
      <c r="H67" s="1">
        <f t="shared" si="10"/>
        <v>5.6391583153417328E-3</v>
      </c>
      <c r="I67">
        <f>496*1000000</f>
        <v>496000000</v>
      </c>
      <c r="J67">
        <f t="shared" si="11"/>
        <v>14.171428571428573</v>
      </c>
      <c r="K67">
        <f t="shared" si="12"/>
        <v>1417.1428571428573</v>
      </c>
      <c r="L67">
        <f t="shared" si="13"/>
        <v>4960</v>
      </c>
      <c r="M67" s="6">
        <f t="shared" si="14"/>
        <v>7.9914929268842846E-2</v>
      </c>
    </row>
    <row r="68" spans="1:13" x14ac:dyDescent="0.35">
      <c r="A68">
        <v>11193</v>
      </c>
      <c r="B68">
        <v>2025</v>
      </c>
      <c r="C68" t="s">
        <v>15</v>
      </c>
      <c r="D68">
        <v>56</v>
      </c>
      <c r="E68" t="s">
        <v>9</v>
      </c>
      <c r="F68">
        <v>350</v>
      </c>
      <c r="G68">
        <v>64443</v>
      </c>
      <c r="H68" s="1">
        <f t="shared" si="10"/>
        <v>5.4311562155703492E-3</v>
      </c>
      <c r="I68">
        <f>520*1000000</f>
        <v>520000000</v>
      </c>
      <c r="J68">
        <f t="shared" si="11"/>
        <v>14.857142857142859</v>
      </c>
      <c r="K68">
        <f t="shared" si="12"/>
        <v>1485.714285714286</v>
      </c>
      <c r="L68">
        <f t="shared" si="13"/>
        <v>5200.0000000000009</v>
      </c>
      <c r="M68" s="6">
        <f t="shared" si="14"/>
        <v>8.0691463774188052E-2</v>
      </c>
    </row>
    <row r="69" spans="1:13" x14ac:dyDescent="0.35">
      <c r="A69">
        <v>11162</v>
      </c>
      <c r="B69">
        <v>2025</v>
      </c>
      <c r="C69" t="s">
        <v>57</v>
      </c>
      <c r="D69">
        <v>58</v>
      </c>
      <c r="E69" t="s">
        <v>9</v>
      </c>
      <c r="F69">
        <v>350</v>
      </c>
      <c r="G69">
        <v>61678</v>
      </c>
      <c r="H69" s="1">
        <f t="shared" si="10"/>
        <v>5.6746327701935858E-3</v>
      </c>
      <c r="I69">
        <f>502*1000000</f>
        <v>502000000</v>
      </c>
      <c r="J69">
        <f t="shared" si="11"/>
        <v>14.342857142857143</v>
      </c>
      <c r="K69">
        <f t="shared" si="12"/>
        <v>1434.2857142857144</v>
      </c>
      <c r="L69">
        <f t="shared" si="13"/>
        <v>5020</v>
      </c>
      <c r="M69" s="6">
        <f t="shared" si="14"/>
        <v>8.1390447161062293E-2</v>
      </c>
    </row>
    <row r="70" spans="1:13" x14ac:dyDescent="0.35">
      <c r="A70">
        <v>11199</v>
      </c>
      <c r="B70">
        <v>2025</v>
      </c>
      <c r="C70" t="s">
        <v>59</v>
      </c>
      <c r="D70">
        <v>61</v>
      </c>
      <c r="E70" t="s">
        <v>9</v>
      </c>
      <c r="F70">
        <v>350</v>
      </c>
      <c r="G70">
        <v>65023</v>
      </c>
      <c r="H70" s="1">
        <f t="shared" si="10"/>
        <v>5.3827107331252018E-3</v>
      </c>
      <c r="I70">
        <f>530*1000000</f>
        <v>530000000</v>
      </c>
      <c r="J70">
        <f t="shared" si="11"/>
        <v>15.142857142857144</v>
      </c>
      <c r="K70">
        <f t="shared" si="12"/>
        <v>1514.2857142857144</v>
      </c>
      <c r="L70">
        <f t="shared" si="13"/>
        <v>5300</v>
      </c>
      <c r="M70" s="6">
        <f t="shared" si="14"/>
        <v>8.1509619673038769E-2</v>
      </c>
    </row>
    <row r="71" spans="1:13" x14ac:dyDescent="0.35">
      <c r="A71">
        <v>11180</v>
      </c>
      <c r="B71">
        <v>2025</v>
      </c>
      <c r="C71" t="s">
        <v>15</v>
      </c>
      <c r="D71">
        <v>65</v>
      </c>
      <c r="E71" t="s">
        <v>9</v>
      </c>
      <c r="F71">
        <v>350</v>
      </c>
      <c r="G71">
        <v>64960</v>
      </c>
      <c r="H71" s="1">
        <f t="shared" si="10"/>
        <v>5.387931034482759E-3</v>
      </c>
      <c r="I71">
        <f>530*1000000</f>
        <v>530000000</v>
      </c>
      <c r="J71">
        <f t="shared" si="11"/>
        <v>15.142857142857144</v>
      </c>
      <c r="K71">
        <f t="shared" si="12"/>
        <v>1514.2857142857144</v>
      </c>
      <c r="L71">
        <f t="shared" si="13"/>
        <v>5300</v>
      </c>
      <c r="M71" s="6">
        <f t="shared" si="14"/>
        <v>8.1588669950738921E-2</v>
      </c>
    </row>
    <row r="72" spans="1:13" x14ac:dyDescent="0.35">
      <c r="A72">
        <v>11194</v>
      </c>
      <c r="B72">
        <v>2025</v>
      </c>
      <c r="C72" t="s">
        <v>15</v>
      </c>
      <c r="D72">
        <v>31</v>
      </c>
      <c r="E72" t="s">
        <v>9</v>
      </c>
      <c r="F72">
        <v>350</v>
      </c>
      <c r="G72">
        <v>64955</v>
      </c>
      <c r="H72" s="1">
        <f t="shared" si="10"/>
        <v>5.3883457778462016E-3</v>
      </c>
      <c r="I72">
        <f>530*1000000</f>
        <v>530000000</v>
      </c>
      <c r="J72">
        <f t="shared" si="11"/>
        <v>15.142857142857144</v>
      </c>
      <c r="K72">
        <f t="shared" si="12"/>
        <v>1514.2857142857144</v>
      </c>
      <c r="L72">
        <f t="shared" si="13"/>
        <v>5300</v>
      </c>
      <c r="M72" s="6">
        <f t="shared" si="14"/>
        <v>8.1594950350242473E-2</v>
      </c>
    </row>
    <row r="73" spans="1:13" x14ac:dyDescent="0.35">
      <c r="A73">
        <v>11174</v>
      </c>
      <c r="B73">
        <v>2025</v>
      </c>
      <c r="C73" t="s">
        <v>19</v>
      </c>
      <c r="D73">
        <v>29</v>
      </c>
      <c r="E73" t="s">
        <v>9</v>
      </c>
      <c r="F73">
        <v>350</v>
      </c>
      <c r="G73">
        <v>60353</v>
      </c>
      <c r="H73" s="1">
        <f t="shared" si="10"/>
        <v>5.7992146206485183E-3</v>
      </c>
      <c r="I73">
        <f>502*1000000</f>
        <v>502000000</v>
      </c>
      <c r="J73">
        <f t="shared" si="11"/>
        <v>14.342857142857143</v>
      </c>
      <c r="K73">
        <f t="shared" si="12"/>
        <v>1434.2857142857144</v>
      </c>
      <c r="L73">
        <f t="shared" si="13"/>
        <v>5020</v>
      </c>
      <c r="M73" s="6">
        <f t="shared" si="14"/>
        <v>8.3177306844730167E-2</v>
      </c>
    </row>
    <row r="74" spans="1:13" x14ac:dyDescent="0.35">
      <c r="A74">
        <v>11101</v>
      </c>
      <c r="B74">
        <v>2025</v>
      </c>
      <c r="C74" t="s">
        <v>12</v>
      </c>
      <c r="D74">
        <v>40</v>
      </c>
      <c r="E74" t="s">
        <v>9</v>
      </c>
      <c r="F74">
        <v>300</v>
      </c>
      <c r="G74">
        <v>50105</v>
      </c>
      <c r="H74" s="1">
        <f t="shared" si="10"/>
        <v>5.987426404550444E-3</v>
      </c>
      <c r="I74">
        <f>496*1000000</f>
        <v>496000000</v>
      </c>
      <c r="J74">
        <f t="shared" si="11"/>
        <v>14.171428571428573</v>
      </c>
      <c r="K74">
        <f t="shared" si="12"/>
        <v>1417.1428571428573</v>
      </c>
      <c r="L74">
        <f t="shared" si="13"/>
        <v>4251.4285714285716</v>
      </c>
      <c r="M74" s="6">
        <f t="shared" si="14"/>
        <v>8.4850385618772006E-2</v>
      </c>
    </row>
    <row r="75" spans="1:13" x14ac:dyDescent="0.35">
      <c r="A75">
        <v>10949</v>
      </c>
      <c r="B75">
        <v>2025</v>
      </c>
      <c r="C75" t="s">
        <v>69</v>
      </c>
      <c r="D75">
        <v>166</v>
      </c>
      <c r="E75" t="s">
        <v>9</v>
      </c>
      <c r="F75">
        <v>200</v>
      </c>
      <c r="G75">
        <v>30398</v>
      </c>
      <c r="H75" s="1">
        <f t="shared" si="10"/>
        <v>6.5793802223830513E-3</v>
      </c>
      <c r="I75">
        <f>466*1000000</f>
        <v>466000000</v>
      </c>
      <c r="J75">
        <f t="shared" si="11"/>
        <v>13.314285714285715</v>
      </c>
      <c r="K75">
        <f t="shared" si="12"/>
        <v>1331.4285714285716</v>
      </c>
      <c r="L75">
        <f t="shared" si="13"/>
        <v>2662.8571428571431</v>
      </c>
      <c r="M75" s="6">
        <f t="shared" si="14"/>
        <v>8.7599748103728642E-2</v>
      </c>
    </row>
    <row r="76" spans="1:13" x14ac:dyDescent="0.35">
      <c r="A76">
        <v>9928</v>
      </c>
      <c r="B76">
        <v>2024</v>
      </c>
      <c r="C76" t="s">
        <v>102</v>
      </c>
      <c r="D76">
        <v>128</v>
      </c>
      <c r="E76" t="s">
        <v>9</v>
      </c>
      <c r="F76">
        <v>100</v>
      </c>
      <c r="G76">
        <v>32030</v>
      </c>
      <c r="H76" s="1">
        <f t="shared" si="10"/>
        <v>3.1220730565095223E-3</v>
      </c>
      <c r="I76">
        <v>1000000000</v>
      </c>
      <c r="J76">
        <f t="shared" si="11"/>
        <v>28.571428571428573</v>
      </c>
      <c r="K76">
        <f t="shared" si="12"/>
        <v>2857.1428571428573</v>
      </c>
      <c r="L76">
        <f t="shared" si="13"/>
        <v>2857.1428571428573</v>
      </c>
      <c r="M76" s="6">
        <f t="shared" si="14"/>
        <v>8.9202087328843507E-2</v>
      </c>
    </row>
    <row r="77" spans="1:13" x14ac:dyDescent="0.35">
      <c r="A77">
        <v>11104</v>
      </c>
      <c r="B77">
        <v>2025</v>
      </c>
      <c r="C77" t="s">
        <v>18</v>
      </c>
      <c r="D77">
        <v>131</v>
      </c>
      <c r="E77" t="s">
        <v>9</v>
      </c>
      <c r="F77">
        <v>200</v>
      </c>
      <c r="G77">
        <v>30870</v>
      </c>
      <c r="H77" s="1">
        <f t="shared" si="10"/>
        <v>6.4787819889860704E-3</v>
      </c>
      <c r="I77">
        <f>496*1000000</f>
        <v>496000000</v>
      </c>
      <c r="J77">
        <f t="shared" si="11"/>
        <v>14.171428571428573</v>
      </c>
      <c r="K77">
        <f t="shared" si="12"/>
        <v>1417.1428571428573</v>
      </c>
      <c r="L77">
        <f t="shared" si="13"/>
        <v>2834.2857142857147</v>
      </c>
      <c r="M77" s="6">
        <f t="shared" si="14"/>
        <v>9.1813596186774038E-2</v>
      </c>
    </row>
    <row r="78" spans="1:13" x14ac:dyDescent="0.35">
      <c r="A78">
        <v>11302</v>
      </c>
      <c r="B78">
        <v>2025</v>
      </c>
      <c r="C78" t="s">
        <v>66</v>
      </c>
      <c r="D78">
        <v>144</v>
      </c>
      <c r="E78" t="s">
        <v>9</v>
      </c>
      <c r="F78">
        <v>150</v>
      </c>
      <c r="G78">
        <v>33678</v>
      </c>
      <c r="H78" s="1">
        <f t="shared" si="10"/>
        <v>4.4539461963299483E-3</v>
      </c>
      <c r="I78">
        <f>726*1000000</f>
        <v>726000000</v>
      </c>
      <c r="J78">
        <f t="shared" si="11"/>
        <v>20.742857142857144</v>
      </c>
      <c r="K78">
        <f t="shared" si="12"/>
        <v>2074.2857142857142</v>
      </c>
      <c r="L78">
        <f t="shared" si="13"/>
        <v>3111.4285714285716</v>
      </c>
      <c r="M78" s="6">
        <f t="shared" si="14"/>
        <v>9.2387569672444075E-2</v>
      </c>
    </row>
    <row r="79" spans="1:13" x14ac:dyDescent="0.35">
      <c r="A79">
        <v>11058</v>
      </c>
      <c r="B79">
        <v>2025</v>
      </c>
      <c r="C79" t="s">
        <v>78</v>
      </c>
      <c r="D79">
        <v>256</v>
      </c>
      <c r="E79" t="s">
        <v>9</v>
      </c>
      <c r="F79">
        <v>250</v>
      </c>
      <c r="G79" s="3">
        <v>33270</v>
      </c>
      <c r="H79" s="1">
        <f t="shared" si="10"/>
        <v>7.5142771265404272E-3</v>
      </c>
      <c r="I79">
        <f>440*1000000</f>
        <v>440000000</v>
      </c>
      <c r="J79">
        <f t="shared" si="11"/>
        <v>12.571428571428571</v>
      </c>
      <c r="K79">
        <f t="shared" si="12"/>
        <v>1257.1428571428571</v>
      </c>
      <c r="L79">
        <f t="shared" si="13"/>
        <v>3142.8571428571427</v>
      </c>
      <c r="M79" s="6">
        <f t="shared" si="14"/>
        <v>9.44651981622225E-2</v>
      </c>
    </row>
    <row r="80" spans="1:13" x14ac:dyDescent="0.35">
      <c r="A80">
        <v>10731</v>
      </c>
      <c r="B80">
        <v>2025</v>
      </c>
      <c r="C80" t="s">
        <v>62</v>
      </c>
      <c r="D80">
        <v>169</v>
      </c>
      <c r="E80" t="s">
        <v>9</v>
      </c>
      <c r="F80">
        <v>200</v>
      </c>
      <c r="G80">
        <v>29436</v>
      </c>
      <c r="H80" s="1">
        <f t="shared" si="10"/>
        <v>6.7944014132354938E-3</v>
      </c>
      <c r="I80">
        <f>526*1000000</f>
        <v>526000000</v>
      </c>
      <c r="J80">
        <f t="shared" si="11"/>
        <v>15.028571428571428</v>
      </c>
      <c r="K80">
        <f t="shared" si="12"/>
        <v>1502.8571428571429</v>
      </c>
      <c r="L80">
        <f t="shared" si="13"/>
        <v>3005.7142857142858</v>
      </c>
      <c r="M80" s="6">
        <f t="shared" si="14"/>
        <v>0.10211014695319628</v>
      </c>
    </row>
    <row r="81" spans="1:30" x14ac:dyDescent="0.35">
      <c r="A81">
        <v>10290</v>
      </c>
      <c r="B81">
        <v>2024</v>
      </c>
      <c r="C81" t="s">
        <v>40</v>
      </c>
      <c r="D81">
        <v>130</v>
      </c>
      <c r="E81" t="s">
        <v>9</v>
      </c>
      <c r="F81">
        <v>150</v>
      </c>
      <c r="G81">
        <v>33402</v>
      </c>
      <c r="H81" s="1">
        <f t="shared" si="10"/>
        <v>4.4907490569426984E-3</v>
      </c>
      <c r="I81" s="3">
        <v>800000000</v>
      </c>
      <c r="J81">
        <f t="shared" si="11"/>
        <v>22.857142857142858</v>
      </c>
      <c r="K81">
        <f t="shared" si="12"/>
        <v>2285.7142857142858</v>
      </c>
      <c r="L81">
        <f t="shared" si="13"/>
        <v>3428.5714285714284</v>
      </c>
      <c r="M81" s="6">
        <f t="shared" si="14"/>
        <v>0.10264569273011881</v>
      </c>
    </row>
    <row r="82" spans="1:30" x14ac:dyDescent="0.35">
      <c r="A82">
        <v>10781</v>
      </c>
      <c r="B82">
        <v>2025</v>
      </c>
      <c r="C82" t="s">
        <v>63</v>
      </c>
      <c r="D82">
        <v>128</v>
      </c>
      <c r="E82" t="s">
        <v>9</v>
      </c>
      <c r="F82">
        <v>150</v>
      </c>
      <c r="G82">
        <v>29910</v>
      </c>
      <c r="H82" s="1">
        <f t="shared" si="10"/>
        <v>5.0150451354062184E-3</v>
      </c>
      <c r="I82">
        <f>728*1000000</f>
        <v>728000000</v>
      </c>
      <c r="J82">
        <f t="shared" si="11"/>
        <v>20.800000000000004</v>
      </c>
      <c r="K82">
        <f t="shared" si="12"/>
        <v>2080.0000000000005</v>
      </c>
      <c r="L82">
        <f t="shared" si="13"/>
        <v>3120.0000000000005</v>
      </c>
      <c r="M82" s="6">
        <f t="shared" si="14"/>
        <v>0.10431293881644936</v>
      </c>
    </row>
    <row r="83" spans="1:30" x14ac:dyDescent="0.35">
      <c r="A83">
        <v>11312</v>
      </c>
      <c r="B83">
        <v>2025</v>
      </c>
      <c r="C83" t="s">
        <v>59</v>
      </c>
      <c r="D83">
        <v>83</v>
      </c>
      <c r="E83" t="s">
        <v>9</v>
      </c>
      <c r="F83">
        <v>350</v>
      </c>
      <c r="G83">
        <v>66657</v>
      </c>
      <c r="H83" s="1">
        <f t="shared" si="10"/>
        <v>5.2507613603972577E-3</v>
      </c>
      <c r="I83">
        <f>726*1000000</f>
        <v>726000000</v>
      </c>
      <c r="J83">
        <f t="shared" si="11"/>
        <v>20.742857142857144</v>
      </c>
      <c r="K83">
        <f t="shared" si="12"/>
        <v>2074.2857142857142</v>
      </c>
      <c r="L83">
        <f t="shared" si="13"/>
        <v>7260</v>
      </c>
      <c r="M83" s="6">
        <f t="shared" si="14"/>
        <v>0.10891579278995454</v>
      </c>
    </row>
    <row r="84" spans="1:30" x14ac:dyDescent="0.35">
      <c r="A84">
        <v>10833</v>
      </c>
      <c r="B84">
        <v>2025</v>
      </c>
      <c r="C84" t="s">
        <v>3</v>
      </c>
      <c r="D84">
        <v>39</v>
      </c>
      <c r="E84" t="s">
        <v>9</v>
      </c>
      <c r="F84">
        <v>200</v>
      </c>
      <c r="G84">
        <v>50884</v>
      </c>
      <c r="H84" s="1">
        <f t="shared" si="10"/>
        <v>3.9305086078138514E-3</v>
      </c>
      <c r="I84">
        <f>976*1000000</f>
        <v>976000000</v>
      </c>
      <c r="J84">
        <f t="shared" si="11"/>
        <v>27.88571428571429</v>
      </c>
      <c r="K84">
        <f t="shared" si="12"/>
        <v>2788.5714285714289</v>
      </c>
      <c r="L84">
        <f t="shared" si="13"/>
        <v>5577.1428571428578</v>
      </c>
      <c r="M84" s="6">
        <f t="shared" si="14"/>
        <v>0.1096050400350377</v>
      </c>
      <c r="AC84" s="8">
        <f>AVERAGE(M2:M88)</f>
        <v>6.098704902907439E-2</v>
      </c>
      <c r="AD84" t="s">
        <v>93</v>
      </c>
    </row>
    <row r="85" spans="1:30" x14ac:dyDescent="0.35">
      <c r="A85">
        <v>11315</v>
      </c>
      <c r="B85">
        <v>2025</v>
      </c>
      <c r="C85" t="s">
        <v>60</v>
      </c>
      <c r="D85">
        <v>66</v>
      </c>
      <c r="E85" t="s">
        <v>9</v>
      </c>
      <c r="F85">
        <v>350</v>
      </c>
      <c r="G85">
        <v>65463</v>
      </c>
      <c r="H85" s="1">
        <f t="shared" si="10"/>
        <v>5.3465316285535337E-3</v>
      </c>
      <c r="I85">
        <f>726*1000000</f>
        <v>726000000</v>
      </c>
      <c r="J85">
        <f t="shared" si="11"/>
        <v>20.742857142857144</v>
      </c>
      <c r="K85">
        <f t="shared" si="12"/>
        <v>2074.2857142857142</v>
      </c>
      <c r="L85">
        <f t="shared" si="13"/>
        <v>7260</v>
      </c>
      <c r="M85" s="6">
        <f t="shared" si="14"/>
        <v>0.1109023417808533</v>
      </c>
      <c r="AC85">
        <f>_xlfn.STDEV.S(M2:M88)</f>
        <v>2.5231917057210677E-2</v>
      </c>
      <c r="AD85" t="s">
        <v>112</v>
      </c>
    </row>
    <row r="86" spans="1:30" x14ac:dyDescent="0.35">
      <c r="A86">
        <v>11311</v>
      </c>
      <c r="B86">
        <v>2025</v>
      </c>
      <c r="C86" t="s">
        <v>3</v>
      </c>
      <c r="D86">
        <v>37</v>
      </c>
      <c r="E86" t="s">
        <v>9</v>
      </c>
      <c r="F86">
        <v>250</v>
      </c>
      <c r="G86">
        <v>48224</v>
      </c>
      <c r="H86" s="1">
        <f t="shared" si="10"/>
        <v>5.184140676841407E-3</v>
      </c>
      <c r="I86">
        <f>756*1000000</f>
        <v>756000000</v>
      </c>
      <c r="J86">
        <f t="shared" si="11"/>
        <v>21.6</v>
      </c>
      <c r="K86">
        <f t="shared" si="12"/>
        <v>2160</v>
      </c>
      <c r="L86">
        <f t="shared" si="13"/>
        <v>5400</v>
      </c>
      <c r="M86" s="6">
        <f t="shared" si="14"/>
        <v>0.11197743861977438</v>
      </c>
    </row>
    <row r="87" spans="1:30" x14ac:dyDescent="0.35">
      <c r="A87">
        <v>11283</v>
      </c>
      <c r="B87">
        <v>2025</v>
      </c>
      <c r="C87" t="s">
        <v>58</v>
      </c>
      <c r="D87">
        <v>59</v>
      </c>
      <c r="E87" t="s">
        <v>9</v>
      </c>
      <c r="F87">
        <v>350</v>
      </c>
      <c r="G87">
        <v>64778</v>
      </c>
      <c r="H87" s="1">
        <f t="shared" si="10"/>
        <v>5.4030689431597148E-3</v>
      </c>
      <c r="I87">
        <f>726*1000000</f>
        <v>726000000</v>
      </c>
      <c r="J87">
        <f t="shared" si="11"/>
        <v>20.742857142857144</v>
      </c>
      <c r="K87">
        <f t="shared" si="12"/>
        <v>2074.2857142857142</v>
      </c>
      <c r="L87">
        <f t="shared" si="13"/>
        <v>7260</v>
      </c>
      <c r="M87" s="6">
        <f t="shared" si="14"/>
        <v>0.11207508722097008</v>
      </c>
    </row>
    <row r="88" spans="1:30" ht="15" thickBot="1" x14ac:dyDescent="0.4">
      <c r="A88">
        <v>11010</v>
      </c>
      <c r="B88">
        <v>2025</v>
      </c>
      <c r="C88" t="s">
        <v>74</v>
      </c>
      <c r="D88">
        <v>236</v>
      </c>
      <c r="E88" t="s">
        <v>9</v>
      </c>
      <c r="F88">
        <v>300</v>
      </c>
      <c r="G88" s="3">
        <v>33546</v>
      </c>
      <c r="H88" s="1">
        <f t="shared" si="10"/>
        <v>8.9429440171704521E-3</v>
      </c>
      <c r="I88">
        <f>440*1000000</f>
        <v>440000000</v>
      </c>
      <c r="J88">
        <f t="shared" si="11"/>
        <v>12.571428571428571</v>
      </c>
      <c r="K88">
        <f t="shared" si="12"/>
        <v>1257.1428571428571</v>
      </c>
      <c r="L88">
        <f t="shared" si="13"/>
        <v>3771.4285714285716</v>
      </c>
      <c r="M88" s="6">
        <f t="shared" si="14"/>
        <v>0.11242558193014283</v>
      </c>
    </row>
    <row r="89" spans="1:30" x14ac:dyDescent="0.35">
      <c r="A89" s="13">
        <v>11004</v>
      </c>
      <c r="B89" s="14">
        <v>2025</v>
      </c>
      <c r="C89" s="14" t="s">
        <v>71</v>
      </c>
      <c r="D89" s="14">
        <v>217</v>
      </c>
      <c r="E89" s="14" t="s">
        <v>9</v>
      </c>
      <c r="F89" s="14">
        <v>150</v>
      </c>
      <c r="G89" s="15">
        <v>16249</v>
      </c>
      <c r="H89" s="16">
        <f t="shared" si="10"/>
        <v>9.23133731306542E-3</v>
      </c>
      <c r="I89" s="14">
        <f>442*1000000</f>
        <v>442000000</v>
      </c>
      <c r="J89" s="14">
        <f t="shared" si="11"/>
        <v>12.62857142857143</v>
      </c>
      <c r="K89" s="14">
        <f t="shared" si="12"/>
        <v>1262.8571428571429</v>
      </c>
      <c r="L89" s="14">
        <f t="shared" si="13"/>
        <v>1894.2857142857144</v>
      </c>
      <c r="M89" s="17">
        <f t="shared" si="14"/>
        <v>0.11657860263928331</v>
      </c>
    </row>
    <row r="90" spans="1:30" x14ac:dyDescent="0.35">
      <c r="A90" s="18">
        <v>11310</v>
      </c>
      <c r="B90" s="10">
        <v>2025</v>
      </c>
      <c r="C90" s="10" t="s">
        <v>3</v>
      </c>
      <c r="D90" s="10">
        <v>90</v>
      </c>
      <c r="E90" s="10" t="s">
        <v>9</v>
      </c>
      <c r="F90" s="10">
        <v>350</v>
      </c>
      <c r="G90" s="10">
        <v>61096</v>
      </c>
      <c r="H90" s="12">
        <f t="shared" si="10"/>
        <v>5.7286892758936754E-3</v>
      </c>
      <c r="I90" s="10">
        <f>726*1000000</f>
        <v>726000000</v>
      </c>
      <c r="J90" s="10">
        <f t="shared" si="11"/>
        <v>20.742857142857144</v>
      </c>
      <c r="K90" s="10">
        <f t="shared" si="12"/>
        <v>2074.2857142857142</v>
      </c>
      <c r="L90" s="10">
        <f t="shared" si="13"/>
        <v>7260</v>
      </c>
      <c r="M90" s="19">
        <f t="shared" si="14"/>
        <v>0.11882938326568024</v>
      </c>
    </row>
    <row r="91" spans="1:30" x14ac:dyDescent="0.35">
      <c r="A91" s="18">
        <v>11053</v>
      </c>
      <c r="B91" s="10">
        <v>2025</v>
      </c>
      <c r="C91" s="10" t="s">
        <v>76</v>
      </c>
      <c r="D91" s="10">
        <v>250</v>
      </c>
      <c r="E91" s="10" t="s">
        <v>9</v>
      </c>
      <c r="F91" s="10">
        <v>250</v>
      </c>
      <c r="G91" s="11">
        <v>26510</v>
      </c>
      <c r="H91" s="12">
        <f t="shared" si="10"/>
        <v>9.4304036212749902E-3</v>
      </c>
      <c r="I91" s="10">
        <f>450*1000000</f>
        <v>450000000</v>
      </c>
      <c r="J91" s="10">
        <f t="shared" si="11"/>
        <v>12.857142857142859</v>
      </c>
      <c r="K91" s="10">
        <f t="shared" si="12"/>
        <v>1285.714285714286</v>
      </c>
      <c r="L91" s="10">
        <f t="shared" si="13"/>
        <v>3214.2857142857147</v>
      </c>
      <c r="M91" s="19">
        <f t="shared" si="14"/>
        <v>0.12124804655924989</v>
      </c>
    </row>
    <row r="92" spans="1:30" x14ac:dyDescent="0.35">
      <c r="A92" s="18">
        <v>10292</v>
      </c>
      <c r="B92" s="10">
        <v>2024</v>
      </c>
      <c r="C92" s="10" t="s">
        <v>105</v>
      </c>
      <c r="D92" s="10">
        <v>143</v>
      </c>
      <c r="E92" s="10" t="s">
        <v>9</v>
      </c>
      <c r="F92" s="10">
        <v>150</v>
      </c>
      <c r="G92" s="10">
        <v>27372</v>
      </c>
      <c r="H92" s="12">
        <f t="shared" si="10"/>
        <v>5.4800526085050415E-3</v>
      </c>
      <c r="I92" s="10">
        <v>800000000</v>
      </c>
      <c r="J92" s="10">
        <f t="shared" si="11"/>
        <v>22.857142857142858</v>
      </c>
      <c r="K92" s="10">
        <f t="shared" si="12"/>
        <v>2285.7142857142858</v>
      </c>
      <c r="L92" s="10">
        <f t="shared" si="13"/>
        <v>3428.5714285714284</v>
      </c>
      <c r="M92" s="19">
        <f t="shared" si="14"/>
        <v>0.1252583453372581</v>
      </c>
    </row>
    <row r="93" spans="1:30" x14ac:dyDescent="0.35">
      <c r="A93" s="18">
        <v>10766</v>
      </c>
      <c r="B93" s="10">
        <v>2025</v>
      </c>
      <c r="C93" s="10" t="s">
        <v>62</v>
      </c>
      <c r="D93" s="10">
        <v>167</v>
      </c>
      <c r="E93" s="10" t="s">
        <v>9</v>
      </c>
      <c r="F93" s="10">
        <v>300</v>
      </c>
      <c r="G93" s="10">
        <v>30623</v>
      </c>
      <c r="H93" s="12">
        <f t="shared" si="10"/>
        <v>9.7965581425725756E-3</v>
      </c>
      <c r="I93" s="10">
        <f>470*1000000</f>
        <v>470000000</v>
      </c>
      <c r="J93" s="10">
        <f t="shared" si="11"/>
        <v>13.428571428571429</v>
      </c>
      <c r="K93" s="10">
        <f t="shared" si="12"/>
        <v>1342.8571428571429</v>
      </c>
      <c r="L93" s="10">
        <f t="shared" si="13"/>
        <v>4028.5714285714284</v>
      </c>
      <c r="M93" s="19">
        <f t="shared" si="14"/>
        <v>0.13155378077168889</v>
      </c>
    </row>
    <row r="94" spans="1:30" x14ac:dyDescent="0.35">
      <c r="A94" s="18">
        <v>10863</v>
      </c>
      <c r="B94" s="10">
        <v>2025</v>
      </c>
      <c r="C94" s="10" t="s">
        <v>24</v>
      </c>
      <c r="D94" s="10">
        <v>147</v>
      </c>
      <c r="E94" s="10" t="s">
        <v>9</v>
      </c>
      <c r="F94" s="10">
        <v>150</v>
      </c>
      <c r="G94" s="10">
        <v>31169</v>
      </c>
      <c r="H94" s="12">
        <f t="shared" si="10"/>
        <v>4.8124739324328656E-3</v>
      </c>
      <c r="I94" s="10">
        <f>960*1000000</f>
        <v>960000000</v>
      </c>
      <c r="J94" s="10">
        <f t="shared" si="11"/>
        <v>27.428571428571431</v>
      </c>
      <c r="K94" s="10">
        <f t="shared" si="12"/>
        <v>2742.8571428571431</v>
      </c>
      <c r="L94" s="10">
        <f t="shared" si="13"/>
        <v>4114.2857142857147</v>
      </c>
      <c r="M94" s="19">
        <f t="shared" si="14"/>
        <v>0.1319992850038729</v>
      </c>
    </row>
    <row r="95" spans="1:30" x14ac:dyDescent="0.35">
      <c r="A95" s="18">
        <v>10787</v>
      </c>
      <c r="B95" s="10">
        <v>2025</v>
      </c>
      <c r="C95" s="10" t="s">
        <v>70</v>
      </c>
      <c r="D95" s="10">
        <v>196</v>
      </c>
      <c r="E95" s="10" t="s">
        <v>9</v>
      </c>
      <c r="F95" s="10">
        <v>75</v>
      </c>
      <c r="G95" s="11">
        <v>6598</v>
      </c>
      <c r="H95" s="12">
        <f t="shared" si="10"/>
        <v>1.1367080933616247E-2</v>
      </c>
      <c r="I95" s="10">
        <f>407*1000000</f>
        <v>407000000</v>
      </c>
      <c r="J95" s="10">
        <f t="shared" si="11"/>
        <v>11.62857142857143</v>
      </c>
      <c r="K95" s="10">
        <f t="shared" si="12"/>
        <v>1162.8571428571429</v>
      </c>
      <c r="L95" s="10">
        <f t="shared" si="13"/>
        <v>872.14285714285722</v>
      </c>
      <c r="M95" s="19">
        <f t="shared" si="14"/>
        <v>0.13218291257090894</v>
      </c>
    </row>
    <row r="96" spans="1:30" x14ac:dyDescent="0.35">
      <c r="A96" s="18">
        <v>10841</v>
      </c>
      <c r="B96" s="10">
        <v>2025</v>
      </c>
      <c r="C96" s="10" t="s">
        <v>23</v>
      </c>
      <c r="D96" s="10">
        <v>138</v>
      </c>
      <c r="E96" s="10" t="s">
        <v>9</v>
      </c>
      <c r="F96" s="10">
        <v>150</v>
      </c>
      <c r="G96" s="10">
        <v>31439</v>
      </c>
      <c r="H96" s="12">
        <f t="shared" si="10"/>
        <v>4.7711441203600619E-3</v>
      </c>
      <c r="I96" s="10">
        <f>976*1000000</f>
        <v>976000000</v>
      </c>
      <c r="J96" s="10">
        <f t="shared" si="11"/>
        <v>27.88571428571429</v>
      </c>
      <c r="K96" s="10">
        <f t="shared" si="12"/>
        <v>2788.5714285714289</v>
      </c>
      <c r="L96" s="10">
        <f t="shared" si="13"/>
        <v>4182.8571428571431</v>
      </c>
      <c r="M96" s="19">
        <f t="shared" si="14"/>
        <v>0.13304676175632632</v>
      </c>
    </row>
    <row r="97" spans="1:13" x14ac:dyDescent="0.35">
      <c r="A97" s="18">
        <v>10166</v>
      </c>
      <c r="B97" s="10">
        <v>2024</v>
      </c>
      <c r="C97" s="10" t="s">
        <v>37</v>
      </c>
      <c r="D97" s="10">
        <v>43</v>
      </c>
      <c r="E97" s="10" t="s">
        <v>9</v>
      </c>
      <c r="F97" s="10">
        <v>200</v>
      </c>
      <c r="G97" s="10">
        <v>51047</v>
      </c>
      <c r="H97" s="12">
        <f t="shared" si="10"/>
        <v>3.9179579603110855E-3</v>
      </c>
      <c r="I97" s="11">
        <v>1200000000</v>
      </c>
      <c r="J97" s="10">
        <f t="shared" si="11"/>
        <v>34.285714285714285</v>
      </c>
      <c r="K97" s="10">
        <f t="shared" si="12"/>
        <v>3428.5714285714284</v>
      </c>
      <c r="L97" s="10">
        <f t="shared" si="13"/>
        <v>6857.1428571428569</v>
      </c>
      <c r="M97" s="19">
        <f t="shared" si="14"/>
        <v>0.1343299872106658</v>
      </c>
    </row>
    <row r="98" spans="1:13" x14ac:dyDescent="0.35">
      <c r="A98" s="18">
        <v>10862</v>
      </c>
      <c r="B98" s="10">
        <v>2025</v>
      </c>
      <c r="C98" s="10" t="s">
        <v>25</v>
      </c>
      <c r="D98" s="10">
        <v>150</v>
      </c>
      <c r="E98" s="10" t="s">
        <v>9</v>
      </c>
      <c r="F98" s="10">
        <v>150</v>
      </c>
      <c r="G98" s="10">
        <v>30610</v>
      </c>
      <c r="H98" s="12">
        <f t="shared" ref="H98:H129" si="15">(F98/G98)</f>
        <v>4.900359359686377E-3</v>
      </c>
      <c r="I98" s="10">
        <f>960*1000000</f>
        <v>960000000</v>
      </c>
      <c r="J98" s="10">
        <f t="shared" ref="J98:J129" si="16">I98*$P$1*1000</f>
        <v>27.428571428571431</v>
      </c>
      <c r="K98" s="10">
        <f t="shared" ref="K98:K129" si="17">J98*100</f>
        <v>2742.8571428571431</v>
      </c>
      <c r="L98" s="10">
        <f t="shared" ref="L98:L116" si="18">J98*F98</f>
        <v>4114.2857142857147</v>
      </c>
      <c r="M98" s="19">
        <f t="shared" ref="M98:M129" si="19">L98/G98</f>
        <v>0.13440985672282635</v>
      </c>
    </row>
    <row r="99" spans="1:13" x14ac:dyDescent="0.35">
      <c r="A99" s="18">
        <v>11110</v>
      </c>
      <c r="B99" s="10">
        <v>2025</v>
      </c>
      <c r="C99" s="10" t="s">
        <v>57</v>
      </c>
      <c r="D99" s="10">
        <v>235</v>
      </c>
      <c r="E99" s="10" t="s">
        <v>9</v>
      </c>
      <c r="F99" s="10">
        <v>400</v>
      </c>
      <c r="G99" s="11">
        <v>36270</v>
      </c>
      <c r="H99" s="12">
        <f t="shared" si="15"/>
        <v>1.1028398125172319E-2</v>
      </c>
      <c r="I99" s="10">
        <f>450*1000000</f>
        <v>450000000</v>
      </c>
      <c r="J99" s="10">
        <f t="shared" si="16"/>
        <v>12.857142857142859</v>
      </c>
      <c r="K99" s="10">
        <f t="shared" si="17"/>
        <v>1285.714285714286</v>
      </c>
      <c r="L99" s="10">
        <f t="shared" si="18"/>
        <v>5142.857142857144</v>
      </c>
      <c r="M99" s="19">
        <f t="shared" si="19"/>
        <v>0.141793690180787</v>
      </c>
    </row>
    <row r="100" spans="1:13" x14ac:dyDescent="0.35">
      <c r="A100" s="18">
        <v>10734</v>
      </c>
      <c r="B100" s="10">
        <v>2025</v>
      </c>
      <c r="C100" s="10" t="s">
        <v>72</v>
      </c>
      <c r="D100" s="10">
        <v>233</v>
      </c>
      <c r="E100" s="10" t="s">
        <v>9</v>
      </c>
      <c r="F100" s="10">
        <v>300</v>
      </c>
      <c r="G100" s="11">
        <v>26355</v>
      </c>
      <c r="H100" s="12">
        <f t="shared" si="15"/>
        <v>1.1383039271485486E-2</v>
      </c>
      <c r="I100" s="10">
        <f>470*1000000</f>
        <v>470000000</v>
      </c>
      <c r="J100" s="10">
        <f t="shared" si="16"/>
        <v>13.428571428571429</v>
      </c>
      <c r="K100" s="10">
        <f t="shared" si="17"/>
        <v>1342.8571428571429</v>
      </c>
      <c r="L100" s="10">
        <f t="shared" si="18"/>
        <v>4028.5714285714284</v>
      </c>
      <c r="M100" s="19">
        <f t="shared" si="19"/>
        <v>0.15285795593137652</v>
      </c>
    </row>
    <row r="101" spans="1:13" x14ac:dyDescent="0.35">
      <c r="A101" s="18">
        <v>10734</v>
      </c>
      <c r="B101" s="10">
        <v>2025</v>
      </c>
      <c r="C101" s="10" t="s">
        <v>72</v>
      </c>
      <c r="D101" s="10">
        <v>233</v>
      </c>
      <c r="E101" s="10" t="s">
        <v>9</v>
      </c>
      <c r="F101" s="10">
        <v>300</v>
      </c>
      <c r="G101" s="10">
        <v>26355</v>
      </c>
      <c r="H101" s="12">
        <f t="shared" si="15"/>
        <v>1.1383039271485486E-2</v>
      </c>
      <c r="I101" s="10">
        <f>470*1000000</f>
        <v>470000000</v>
      </c>
      <c r="J101" s="10">
        <f t="shared" si="16"/>
        <v>13.428571428571429</v>
      </c>
      <c r="K101" s="10">
        <f t="shared" si="17"/>
        <v>1342.8571428571429</v>
      </c>
      <c r="L101" s="10">
        <f t="shared" si="18"/>
        <v>4028.5714285714284</v>
      </c>
      <c r="M101" s="19">
        <f t="shared" si="19"/>
        <v>0.15285795593137652</v>
      </c>
    </row>
    <row r="102" spans="1:13" x14ac:dyDescent="0.35">
      <c r="A102" s="18">
        <v>11054</v>
      </c>
      <c r="B102" s="10">
        <v>2025</v>
      </c>
      <c r="C102" s="10" t="s">
        <v>57</v>
      </c>
      <c r="D102" s="10">
        <v>257</v>
      </c>
      <c r="E102" s="10" t="s">
        <v>9</v>
      </c>
      <c r="F102" s="10">
        <v>400</v>
      </c>
      <c r="G102" s="11">
        <v>33555</v>
      </c>
      <c r="H102" s="12">
        <f t="shared" si="15"/>
        <v>1.1920727164357025E-2</v>
      </c>
      <c r="I102" s="10">
        <f>450*1000000</f>
        <v>450000000</v>
      </c>
      <c r="J102" s="10">
        <f t="shared" si="16"/>
        <v>12.857142857142859</v>
      </c>
      <c r="K102" s="10">
        <f t="shared" si="17"/>
        <v>1285.714285714286</v>
      </c>
      <c r="L102" s="10">
        <f t="shared" si="18"/>
        <v>5142.857142857144</v>
      </c>
      <c r="M102" s="19">
        <f t="shared" si="19"/>
        <v>0.15326649211316179</v>
      </c>
    </row>
    <row r="103" spans="1:13" x14ac:dyDescent="0.35">
      <c r="A103" s="18">
        <v>10169</v>
      </c>
      <c r="B103" s="10">
        <v>2024</v>
      </c>
      <c r="C103" s="10" t="s">
        <v>37</v>
      </c>
      <c r="D103" s="10">
        <v>90</v>
      </c>
      <c r="E103" s="10" t="s">
        <v>9</v>
      </c>
      <c r="F103" s="10">
        <v>300</v>
      </c>
      <c r="G103" s="10">
        <v>65671</v>
      </c>
      <c r="H103" s="12">
        <f t="shared" si="15"/>
        <v>4.5682264622131531E-3</v>
      </c>
      <c r="I103" s="11">
        <v>1200000000</v>
      </c>
      <c r="J103" s="10">
        <f t="shared" si="16"/>
        <v>34.285714285714285</v>
      </c>
      <c r="K103" s="10">
        <f t="shared" si="17"/>
        <v>3428.5714285714284</v>
      </c>
      <c r="L103" s="10">
        <f t="shared" si="18"/>
        <v>10285.714285714286</v>
      </c>
      <c r="M103" s="19">
        <f t="shared" si="19"/>
        <v>0.15662490727587955</v>
      </c>
    </row>
    <row r="104" spans="1:13" x14ac:dyDescent="0.35">
      <c r="A104" s="18">
        <v>10144</v>
      </c>
      <c r="B104" s="10">
        <v>2024</v>
      </c>
      <c r="C104" s="10" t="s">
        <v>80</v>
      </c>
      <c r="D104" s="10">
        <v>68</v>
      </c>
      <c r="E104" s="10" t="s">
        <v>9</v>
      </c>
      <c r="F104" s="10">
        <v>300</v>
      </c>
      <c r="G104" s="10">
        <v>64221</v>
      </c>
      <c r="H104" s="12">
        <f t="shared" si="15"/>
        <v>4.6713691783061614E-3</v>
      </c>
      <c r="I104" s="10">
        <v>1200000000</v>
      </c>
      <c r="J104" s="10">
        <f t="shared" si="16"/>
        <v>34.285714285714285</v>
      </c>
      <c r="K104" s="10">
        <f t="shared" si="17"/>
        <v>3428.5714285714284</v>
      </c>
      <c r="L104" s="10">
        <f t="shared" si="18"/>
        <v>10285.714285714286</v>
      </c>
      <c r="M104" s="19">
        <f t="shared" si="19"/>
        <v>0.16016122897049698</v>
      </c>
    </row>
    <row r="105" spans="1:13" x14ac:dyDescent="0.35">
      <c r="A105" s="18">
        <v>11111</v>
      </c>
      <c r="B105" s="10">
        <v>2025</v>
      </c>
      <c r="C105" s="10" t="s">
        <v>77</v>
      </c>
      <c r="D105" s="10">
        <v>255</v>
      </c>
      <c r="E105" s="10" t="s">
        <v>9</v>
      </c>
      <c r="F105" s="10">
        <v>400</v>
      </c>
      <c r="G105" s="11">
        <v>31830</v>
      </c>
      <c r="H105" s="12">
        <f t="shared" si="15"/>
        <v>1.2566760917373547E-2</v>
      </c>
      <c r="I105" s="10">
        <f>450*1000000</f>
        <v>450000000</v>
      </c>
      <c r="J105" s="10">
        <f t="shared" si="16"/>
        <v>12.857142857142859</v>
      </c>
      <c r="K105" s="10">
        <f t="shared" si="17"/>
        <v>1285.714285714286</v>
      </c>
      <c r="L105" s="10">
        <f t="shared" si="18"/>
        <v>5142.857142857144</v>
      </c>
      <c r="M105" s="19">
        <f t="shared" si="19"/>
        <v>0.16157264036623137</v>
      </c>
    </row>
    <row r="106" spans="1:13" x14ac:dyDescent="0.35">
      <c r="A106" s="18">
        <v>11202</v>
      </c>
      <c r="B106" s="10">
        <v>2025</v>
      </c>
      <c r="C106" s="10" t="s">
        <v>75</v>
      </c>
      <c r="D106" s="10">
        <v>247</v>
      </c>
      <c r="E106" s="10" t="s">
        <v>9</v>
      </c>
      <c r="F106" s="10">
        <v>300</v>
      </c>
      <c r="G106" s="11">
        <v>25313</v>
      </c>
      <c r="H106" s="12">
        <f t="shared" si="15"/>
        <v>1.1851617745822305E-2</v>
      </c>
      <c r="I106" s="10">
        <f>500*1000000</f>
        <v>500000000</v>
      </c>
      <c r="J106" s="10">
        <f t="shared" si="16"/>
        <v>14.285714285714286</v>
      </c>
      <c r="K106" s="10">
        <f t="shared" si="17"/>
        <v>1428.5714285714287</v>
      </c>
      <c r="L106" s="10">
        <f t="shared" si="18"/>
        <v>4285.7142857142862</v>
      </c>
      <c r="M106" s="19">
        <f t="shared" si="19"/>
        <v>0.16930882494031865</v>
      </c>
    </row>
    <row r="107" spans="1:13" x14ac:dyDescent="0.35">
      <c r="A107" s="18">
        <v>10231</v>
      </c>
      <c r="B107" s="10">
        <v>2024</v>
      </c>
      <c r="C107" s="10" t="s">
        <v>82</v>
      </c>
      <c r="D107" s="10">
        <v>41</v>
      </c>
      <c r="E107" s="10" t="s">
        <v>9</v>
      </c>
      <c r="F107" s="10">
        <v>250</v>
      </c>
      <c r="G107" s="10">
        <v>40103</v>
      </c>
      <c r="H107" s="12">
        <f t="shared" si="15"/>
        <v>6.2339475849687055E-3</v>
      </c>
      <c r="I107" s="10">
        <v>1000000000</v>
      </c>
      <c r="J107" s="10">
        <f t="shared" si="16"/>
        <v>28.571428571428573</v>
      </c>
      <c r="K107" s="10">
        <f t="shared" si="17"/>
        <v>2857.1428571428573</v>
      </c>
      <c r="L107" s="10">
        <f t="shared" si="18"/>
        <v>7142.8571428571431</v>
      </c>
      <c r="M107" s="19">
        <f t="shared" si="19"/>
        <v>0.17811278814196302</v>
      </c>
    </row>
    <row r="108" spans="1:13" x14ac:dyDescent="0.35">
      <c r="A108" s="18">
        <v>10837</v>
      </c>
      <c r="B108" s="10">
        <v>2025</v>
      </c>
      <c r="C108" s="10" t="s">
        <v>62</v>
      </c>
      <c r="D108" s="10">
        <v>174</v>
      </c>
      <c r="E108" s="10" t="s">
        <v>9</v>
      </c>
      <c r="F108" s="10">
        <v>200</v>
      </c>
      <c r="G108" s="10">
        <v>31094</v>
      </c>
      <c r="H108" s="12">
        <f t="shared" si="15"/>
        <v>6.4321090885701418E-3</v>
      </c>
      <c r="I108" s="10">
        <f>976*1000000</f>
        <v>976000000</v>
      </c>
      <c r="J108" s="10">
        <f t="shared" si="16"/>
        <v>27.88571428571429</v>
      </c>
      <c r="K108" s="10">
        <f t="shared" si="17"/>
        <v>2788.5714285714289</v>
      </c>
      <c r="L108" s="10">
        <f t="shared" si="18"/>
        <v>5577.1428571428578</v>
      </c>
      <c r="M108" s="19">
        <f t="shared" si="19"/>
        <v>0.17936395629841312</v>
      </c>
    </row>
    <row r="109" spans="1:13" x14ac:dyDescent="0.35">
      <c r="A109" s="18">
        <v>11040</v>
      </c>
      <c r="B109" s="10">
        <v>2025</v>
      </c>
      <c r="C109" s="10" t="s">
        <v>56</v>
      </c>
      <c r="D109" s="10">
        <v>55</v>
      </c>
      <c r="E109" s="10" t="s">
        <v>9</v>
      </c>
      <c r="F109" s="10">
        <v>500</v>
      </c>
      <c r="G109" s="10">
        <v>31605</v>
      </c>
      <c r="H109" s="12">
        <f t="shared" si="15"/>
        <v>1.5820281601012499E-2</v>
      </c>
      <c r="I109" s="10">
        <f>426*1000000</f>
        <v>426000000</v>
      </c>
      <c r="J109" s="10">
        <f t="shared" si="16"/>
        <v>12.171428571428573</v>
      </c>
      <c r="K109" s="10">
        <f t="shared" si="17"/>
        <v>1217.1428571428573</v>
      </c>
      <c r="L109" s="10">
        <f t="shared" si="18"/>
        <v>6085.7142857142862</v>
      </c>
      <c r="M109" s="19">
        <f t="shared" si="19"/>
        <v>0.19255542748660928</v>
      </c>
    </row>
    <row r="110" spans="1:13" x14ac:dyDescent="0.35">
      <c r="A110" s="18">
        <v>10806</v>
      </c>
      <c r="B110" s="10">
        <v>2025</v>
      </c>
      <c r="C110" s="10" t="s">
        <v>70</v>
      </c>
      <c r="D110" s="10">
        <v>213</v>
      </c>
      <c r="E110" s="10" t="s">
        <v>9</v>
      </c>
      <c r="F110" s="10">
        <v>200</v>
      </c>
      <c r="G110" s="10">
        <v>17168</v>
      </c>
      <c r="H110" s="12">
        <f t="shared" si="15"/>
        <v>1.1649580615097856E-2</v>
      </c>
      <c r="I110" s="10">
        <f>607*1000000</f>
        <v>607000000</v>
      </c>
      <c r="J110" s="10">
        <f t="shared" si="16"/>
        <v>17.342857142857142</v>
      </c>
      <c r="K110" s="10">
        <f t="shared" si="17"/>
        <v>1734.2857142857142</v>
      </c>
      <c r="L110" s="10">
        <f t="shared" si="18"/>
        <v>3468.5714285714284</v>
      </c>
      <c r="M110" s="19">
        <f t="shared" si="19"/>
        <v>0.20203701238183996</v>
      </c>
    </row>
    <row r="111" spans="1:13" x14ac:dyDescent="0.35">
      <c r="A111" s="18">
        <v>10230</v>
      </c>
      <c r="B111" s="10">
        <v>2024</v>
      </c>
      <c r="C111" s="10" t="s">
        <v>80</v>
      </c>
      <c r="D111" s="10">
        <v>56</v>
      </c>
      <c r="E111" s="10" t="s">
        <v>9</v>
      </c>
      <c r="F111" s="10">
        <v>300</v>
      </c>
      <c r="G111" s="10">
        <v>40908</v>
      </c>
      <c r="H111" s="12">
        <f t="shared" si="15"/>
        <v>7.3335288941038428E-3</v>
      </c>
      <c r="I111" s="10">
        <v>1000000000</v>
      </c>
      <c r="J111" s="10">
        <f t="shared" si="16"/>
        <v>28.571428571428573</v>
      </c>
      <c r="K111" s="10">
        <f t="shared" si="17"/>
        <v>2857.1428571428573</v>
      </c>
      <c r="L111" s="10">
        <f t="shared" si="18"/>
        <v>8571.4285714285725</v>
      </c>
      <c r="M111" s="19">
        <f t="shared" si="19"/>
        <v>0.20952939697439554</v>
      </c>
    </row>
    <row r="112" spans="1:13" x14ac:dyDescent="0.35">
      <c r="A112" s="18">
        <v>10847</v>
      </c>
      <c r="B112" s="10">
        <v>2025</v>
      </c>
      <c r="C112" s="10" t="s">
        <v>72</v>
      </c>
      <c r="D112" s="10">
        <v>257</v>
      </c>
      <c r="E112" s="10" t="s">
        <v>9</v>
      </c>
      <c r="F112" s="10">
        <v>250</v>
      </c>
      <c r="G112" s="11">
        <v>28193</v>
      </c>
      <c r="H112" s="12">
        <f t="shared" si="15"/>
        <v>8.8674493668641149E-3</v>
      </c>
      <c r="I112" s="10">
        <f>846*1000000</f>
        <v>846000000</v>
      </c>
      <c r="J112" s="10">
        <f t="shared" si="16"/>
        <v>24.171428571428574</v>
      </c>
      <c r="K112" s="10">
        <f t="shared" si="17"/>
        <v>2417.1428571428573</v>
      </c>
      <c r="L112" s="10">
        <f t="shared" si="18"/>
        <v>6042.857142857144</v>
      </c>
      <c r="M112" s="19">
        <f t="shared" si="19"/>
        <v>0.21433891898191551</v>
      </c>
    </row>
    <row r="113" spans="1:14" x14ac:dyDescent="0.35">
      <c r="A113" s="18">
        <v>10767</v>
      </c>
      <c r="B113" s="10">
        <v>2025</v>
      </c>
      <c r="C113" s="10" t="s">
        <v>62</v>
      </c>
      <c r="D113" s="10">
        <v>166</v>
      </c>
      <c r="E113" s="10" t="s">
        <v>9</v>
      </c>
      <c r="F113" s="10">
        <v>300</v>
      </c>
      <c r="G113" s="10">
        <v>28366</v>
      </c>
      <c r="H113" s="12">
        <f t="shared" si="15"/>
        <v>1.0576041740111401E-2</v>
      </c>
      <c r="I113" s="10">
        <f>728*1000000</f>
        <v>728000000</v>
      </c>
      <c r="J113" s="10">
        <f t="shared" si="16"/>
        <v>20.800000000000004</v>
      </c>
      <c r="K113" s="10">
        <f t="shared" si="17"/>
        <v>2080.0000000000005</v>
      </c>
      <c r="L113" s="10">
        <f t="shared" si="18"/>
        <v>6240.0000000000009</v>
      </c>
      <c r="M113" s="19">
        <f t="shared" si="19"/>
        <v>0.21998166819431716</v>
      </c>
    </row>
    <row r="114" spans="1:14" x14ac:dyDescent="0.35">
      <c r="A114" s="18">
        <v>10782</v>
      </c>
      <c r="B114" s="10">
        <v>2025</v>
      </c>
      <c r="C114" s="10" t="s">
        <v>68</v>
      </c>
      <c r="D114" s="10">
        <v>165</v>
      </c>
      <c r="E114" s="10" t="s">
        <v>9</v>
      </c>
      <c r="F114" s="10">
        <v>300</v>
      </c>
      <c r="G114" s="10">
        <v>26411</v>
      </c>
      <c r="H114" s="12">
        <f t="shared" si="15"/>
        <v>1.135890348718337E-2</v>
      </c>
      <c r="I114" s="10">
        <f>728*1000000</f>
        <v>728000000</v>
      </c>
      <c r="J114" s="10">
        <f t="shared" si="16"/>
        <v>20.800000000000004</v>
      </c>
      <c r="K114" s="10">
        <f t="shared" si="17"/>
        <v>2080.0000000000005</v>
      </c>
      <c r="L114" s="10">
        <f t="shared" si="18"/>
        <v>6240.0000000000009</v>
      </c>
      <c r="M114" s="19">
        <f t="shared" si="19"/>
        <v>0.23626519253341413</v>
      </c>
    </row>
    <row r="115" spans="1:14" x14ac:dyDescent="0.35">
      <c r="A115" s="18">
        <v>10987</v>
      </c>
      <c r="B115" s="10">
        <v>2025</v>
      </c>
      <c r="C115" s="10" t="s">
        <v>73</v>
      </c>
      <c r="D115" s="10">
        <v>235</v>
      </c>
      <c r="E115" s="10" t="s">
        <v>9</v>
      </c>
      <c r="F115" s="10">
        <v>250</v>
      </c>
      <c r="G115" s="11">
        <v>25721</v>
      </c>
      <c r="H115" s="12">
        <f t="shared" si="15"/>
        <v>9.7196843046537841E-3</v>
      </c>
      <c r="I115" s="10">
        <f>1090*1000000</f>
        <v>1090000000</v>
      </c>
      <c r="J115" s="10">
        <f t="shared" si="16"/>
        <v>31.142857142857146</v>
      </c>
      <c r="K115" s="10">
        <f t="shared" si="17"/>
        <v>3114.2857142857147</v>
      </c>
      <c r="L115" s="10">
        <f t="shared" si="18"/>
        <v>7785.7142857142862</v>
      </c>
      <c r="M115" s="19">
        <f t="shared" si="19"/>
        <v>0.30269873977350359</v>
      </c>
    </row>
    <row r="116" spans="1:14" ht="15" thickBot="1" x14ac:dyDescent="0.4">
      <c r="A116" s="20">
        <v>10987</v>
      </c>
      <c r="B116" s="21">
        <v>2025</v>
      </c>
      <c r="C116" s="21" t="s">
        <v>73</v>
      </c>
      <c r="D116" s="21">
        <v>235</v>
      </c>
      <c r="E116" s="21" t="s">
        <v>9</v>
      </c>
      <c r="F116" s="21">
        <v>250</v>
      </c>
      <c r="G116" s="22">
        <v>25721</v>
      </c>
      <c r="H116" s="23">
        <f t="shared" si="15"/>
        <v>9.7196843046537841E-3</v>
      </c>
      <c r="I116" s="21">
        <f>1090*1000000</f>
        <v>1090000000</v>
      </c>
      <c r="J116" s="21">
        <f t="shared" si="16"/>
        <v>31.142857142857146</v>
      </c>
      <c r="K116" s="21">
        <f t="shared" si="17"/>
        <v>3114.2857142857147</v>
      </c>
      <c r="L116" s="21">
        <f t="shared" si="18"/>
        <v>7785.7142857142862</v>
      </c>
      <c r="M116" s="24">
        <f t="shared" si="19"/>
        <v>0.30269873977350359</v>
      </c>
    </row>
    <row r="119" spans="1:14" x14ac:dyDescent="0.35">
      <c r="H119" s="1">
        <f>AVERAGE(H2:H116)</f>
        <v>5.7897919502378102E-3</v>
      </c>
      <c r="J119">
        <f>AVERAGE(J2:J116)</f>
        <v>14.871055900621121</v>
      </c>
      <c r="M119" s="6">
        <f>AVERAGE(M2:M116)</f>
        <v>8.7576832727102094E-2</v>
      </c>
      <c r="N119" t="s">
        <v>93</v>
      </c>
    </row>
    <row r="120" spans="1:14" x14ac:dyDescent="0.35">
      <c r="H120" s="1">
        <f>_xlfn.STDEV.S(H2:H116)</f>
        <v>2.4504388709443432E-3</v>
      </c>
      <c r="J120">
        <f>_xlfn.STDEV.S(J2:J116)</f>
        <v>6.9068969460827967</v>
      </c>
      <c r="M120">
        <f>_xlfn.STDEV.S(M2:M116)</f>
        <v>5.7340584645062413E-2</v>
      </c>
      <c r="N120" t="s">
        <v>94</v>
      </c>
    </row>
    <row r="121" spans="1:14" x14ac:dyDescent="0.35">
      <c r="M121" s="8">
        <f>MEDIAN(M2:M116)</f>
        <v>7.1705833986653159E-2</v>
      </c>
      <c r="N121" t="s">
        <v>98</v>
      </c>
    </row>
    <row r="122" spans="1:14" x14ac:dyDescent="0.35">
      <c r="M122">
        <f>_xlfn.QUARTILE.EXC(M2:M116,1)</f>
        <v>4.5108330474906144E-2</v>
      </c>
      <c r="N122" t="s">
        <v>99</v>
      </c>
    </row>
    <row r="123" spans="1:14" x14ac:dyDescent="0.35">
      <c r="M123">
        <f>_xlfn.QUARTILE.EXC(M2:M116,3)</f>
        <v>0.11242558193014283</v>
      </c>
      <c r="N123" t="s">
        <v>100</v>
      </c>
    </row>
  </sheetData>
  <autoFilter ref="A1:M46" xr:uid="{00000000-0001-0000-0000-000000000000}">
    <sortState xmlns:xlrd2="http://schemas.microsoft.com/office/spreadsheetml/2017/richdata2" ref="A2:M116">
      <sortCondition ref="M1:M46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3B6B-DDEB-4B62-AFFD-D43185E38194}">
  <dimension ref="A1:P60"/>
  <sheetViews>
    <sheetView topLeftCell="H59" zoomScale="70" zoomScaleNormal="70" workbookViewId="0">
      <selection activeCell="M2" sqref="M2"/>
    </sheetView>
  </sheetViews>
  <sheetFormatPr baseColWidth="10" defaultRowHeight="14.5" x14ac:dyDescent="0.35"/>
  <cols>
    <col min="2" max="2" width="7.36328125" bestFit="1" customWidth="1"/>
    <col min="3" max="3" width="20.08984375" bestFit="1" customWidth="1"/>
    <col min="4" max="4" width="8.1796875" bestFit="1" customWidth="1"/>
    <col min="5" max="5" width="28" bestFit="1" customWidth="1"/>
    <col min="6" max="6" width="21.54296875" bestFit="1" customWidth="1"/>
    <col min="7" max="7" width="17.08984375" bestFit="1" customWidth="1"/>
    <col min="8" max="8" width="11.54296875" bestFit="1" customWidth="1"/>
    <col min="9" max="9" width="22.26953125" bestFit="1" customWidth="1"/>
    <col min="10" max="10" width="20" bestFit="1" customWidth="1"/>
    <col min="11" max="11" width="21" bestFit="1" customWidth="1"/>
    <col min="12" max="12" width="19.453125" bestFit="1" customWidth="1"/>
    <col min="13" max="13" width="30.08984375" bestFit="1" customWidth="1"/>
    <col min="14" max="14" width="14.81640625" bestFit="1" customWidth="1"/>
    <col min="15" max="15" width="15.453125" bestFit="1" customWidth="1"/>
  </cols>
  <sheetData>
    <row r="1" spans="1:16" x14ac:dyDescent="0.35">
      <c r="A1" t="s">
        <v>0</v>
      </c>
      <c r="B1" t="s">
        <v>36</v>
      </c>
      <c r="C1" t="s">
        <v>2</v>
      </c>
      <c r="D1" t="s">
        <v>1</v>
      </c>
      <c r="E1" t="s">
        <v>8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14</v>
      </c>
      <c r="L1" t="s">
        <v>17</v>
      </c>
      <c r="M1" t="s">
        <v>79</v>
      </c>
      <c r="O1" t="s">
        <v>11</v>
      </c>
      <c r="P1">
        <f>0.00000000001</f>
        <v>9.9999999999999994E-12</v>
      </c>
    </row>
    <row r="2" spans="1:16" x14ac:dyDescent="0.35">
      <c r="A2">
        <v>10007</v>
      </c>
      <c r="B2">
        <v>2024</v>
      </c>
      <c r="C2" t="s">
        <v>44</v>
      </c>
      <c r="D2">
        <v>40</v>
      </c>
      <c r="E2" t="s">
        <v>28</v>
      </c>
      <c r="F2">
        <v>250</v>
      </c>
      <c r="G2">
        <v>48050</v>
      </c>
      <c r="H2" s="1">
        <f t="shared" ref="H2:H33" si="0">F2/G2</f>
        <v>5.2029136316337149E-3</v>
      </c>
      <c r="I2" s="3">
        <v>150000000</v>
      </c>
      <c r="J2">
        <f t="shared" ref="J2:J33" si="1">I2*$P$1*1000</f>
        <v>1.4999999999999998</v>
      </c>
      <c r="K2">
        <f t="shared" ref="K2:K33" si="2">J2*100</f>
        <v>149.99999999999997</v>
      </c>
      <c r="L2">
        <f t="shared" ref="L2:L33" si="3">J2*F2</f>
        <v>374.99999999999994</v>
      </c>
      <c r="M2" s="4">
        <f>L2/(G2)</f>
        <v>7.8043704474505711E-3</v>
      </c>
    </row>
    <row r="3" spans="1:16" x14ac:dyDescent="0.35">
      <c r="A3">
        <v>10006</v>
      </c>
      <c r="B3">
        <v>2024</v>
      </c>
      <c r="C3" t="s">
        <v>46</v>
      </c>
      <c r="D3">
        <v>51</v>
      </c>
      <c r="E3" t="s">
        <v>28</v>
      </c>
      <c r="F3">
        <v>250</v>
      </c>
      <c r="G3">
        <v>48133</v>
      </c>
      <c r="H3" s="1">
        <f t="shared" si="0"/>
        <v>5.1939417863004593E-3</v>
      </c>
      <c r="I3" s="3">
        <v>150000000</v>
      </c>
      <c r="J3">
        <f t="shared" si="1"/>
        <v>1.4999999999999998</v>
      </c>
      <c r="K3">
        <f t="shared" si="2"/>
        <v>149.99999999999997</v>
      </c>
      <c r="L3">
        <f t="shared" si="3"/>
        <v>374.99999999999994</v>
      </c>
      <c r="M3" s="4">
        <f t="shared" ref="M3:M55" si="4">L3/(G3)</f>
        <v>7.7909126794506872E-3</v>
      </c>
    </row>
    <row r="4" spans="1:16" x14ac:dyDescent="0.35">
      <c r="A4">
        <v>9997</v>
      </c>
      <c r="B4">
        <v>2024</v>
      </c>
      <c r="C4" t="s">
        <v>44</v>
      </c>
      <c r="D4">
        <v>48</v>
      </c>
      <c r="E4" t="s">
        <v>28</v>
      </c>
      <c r="F4">
        <v>250</v>
      </c>
      <c r="G4">
        <v>50664</v>
      </c>
      <c r="H4" s="1">
        <f t="shared" si="0"/>
        <v>4.9344702352755411E-3</v>
      </c>
      <c r="I4" s="3">
        <v>150000000</v>
      </c>
      <c r="J4">
        <f t="shared" si="1"/>
        <v>1.4999999999999998</v>
      </c>
      <c r="K4">
        <f t="shared" si="2"/>
        <v>149.99999999999997</v>
      </c>
      <c r="L4">
        <f t="shared" si="3"/>
        <v>374.99999999999994</v>
      </c>
      <c r="M4" s="4">
        <f t="shared" si="4"/>
        <v>7.4017053529133103E-3</v>
      </c>
    </row>
    <row r="5" spans="1:16" x14ac:dyDescent="0.35">
      <c r="A5">
        <v>9902</v>
      </c>
      <c r="B5">
        <v>2024</v>
      </c>
      <c r="C5" t="s">
        <v>44</v>
      </c>
      <c r="D5">
        <v>60</v>
      </c>
      <c r="E5" t="s">
        <v>28</v>
      </c>
      <c r="F5">
        <v>300</v>
      </c>
      <c r="G5">
        <v>61400</v>
      </c>
      <c r="H5" s="1">
        <f t="shared" si="0"/>
        <v>4.8859934853420191E-3</v>
      </c>
      <c r="I5" s="3">
        <v>150000000</v>
      </c>
      <c r="J5">
        <f t="shared" si="1"/>
        <v>1.4999999999999998</v>
      </c>
      <c r="K5">
        <f t="shared" si="2"/>
        <v>149.99999999999997</v>
      </c>
      <c r="L5">
        <f t="shared" si="3"/>
        <v>449.99999999999994</v>
      </c>
      <c r="M5" s="4">
        <f t="shared" si="4"/>
        <v>7.3289902280130282E-3</v>
      </c>
    </row>
    <row r="6" spans="1:16" x14ac:dyDescent="0.35">
      <c r="A6">
        <v>9906</v>
      </c>
      <c r="B6">
        <v>2024</v>
      </c>
      <c r="C6" t="s">
        <v>44</v>
      </c>
      <c r="D6">
        <v>64</v>
      </c>
      <c r="E6" t="s">
        <v>28</v>
      </c>
      <c r="F6">
        <v>300</v>
      </c>
      <c r="G6">
        <v>66663</v>
      </c>
      <c r="H6" s="1">
        <f t="shared" si="0"/>
        <v>4.5002475136132489E-3</v>
      </c>
      <c r="I6" s="3">
        <v>150000000</v>
      </c>
      <c r="J6">
        <f t="shared" si="1"/>
        <v>1.4999999999999998</v>
      </c>
      <c r="K6">
        <f t="shared" si="2"/>
        <v>149.99999999999997</v>
      </c>
      <c r="L6">
        <f t="shared" si="3"/>
        <v>449.99999999999994</v>
      </c>
      <c r="M6" s="4">
        <f t="shared" si="4"/>
        <v>6.7503712704198721E-3</v>
      </c>
    </row>
    <row r="7" spans="1:16" x14ac:dyDescent="0.35">
      <c r="A7">
        <v>9973</v>
      </c>
      <c r="B7">
        <v>2024</v>
      </c>
      <c r="C7" t="s">
        <v>44</v>
      </c>
      <c r="D7">
        <v>47</v>
      </c>
      <c r="E7" t="s">
        <v>28</v>
      </c>
      <c r="F7">
        <v>200</v>
      </c>
      <c r="G7">
        <v>43747</v>
      </c>
      <c r="H7" s="1">
        <f t="shared" si="0"/>
        <v>4.5717420623128443E-3</v>
      </c>
      <c r="I7" s="3">
        <v>200000000</v>
      </c>
      <c r="J7">
        <f t="shared" si="1"/>
        <v>2</v>
      </c>
      <c r="K7">
        <f t="shared" si="2"/>
        <v>200</v>
      </c>
      <c r="L7">
        <f t="shared" si="3"/>
        <v>400</v>
      </c>
      <c r="M7" s="4">
        <f t="shared" si="4"/>
        <v>9.1434841246256886E-3</v>
      </c>
    </row>
    <row r="8" spans="1:16" x14ac:dyDescent="0.35">
      <c r="A8">
        <v>10027</v>
      </c>
      <c r="B8">
        <v>2024</v>
      </c>
      <c r="C8" t="s">
        <v>44</v>
      </c>
      <c r="D8">
        <v>39</v>
      </c>
      <c r="E8" t="s">
        <v>28</v>
      </c>
      <c r="F8">
        <v>250</v>
      </c>
      <c r="G8">
        <v>45981</v>
      </c>
      <c r="H8" s="1">
        <f t="shared" si="0"/>
        <v>5.4370283377916965E-3</v>
      </c>
      <c r="I8" s="3">
        <v>200000000</v>
      </c>
      <c r="J8">
        <f t="shared" si="1"/>
        <v>2</v>
      </c>
      <c r="K8">
        <f t="shared" si="2"/>
        <v>200</v>
      </c>
      <c r="L8">
        <f t="shared" si="3"/>
        <v>500</v>
      </c>
      <c r="M8" s="4">
        <f t="shared" si="4"/>
        <v>1.0874056675583393E-2</v>
      </c>
    </row>
    <row r="9" spans="1:16" x14ac:dyDescent="0.35">
      <c r="A9">
        <v>10026</v>
      </c>
      <c r="B9">
        <v>2024</v>
      </c>
      <c r="C9" t="s">
        <v>44</v>
      </c>
      <c r="D9">
        <v>52</v>
      </c>
      <c r="E9" t="s">
        <v>28</v>
      </c>
      <c r="F9">
        <v>250</v>
      </c>
      <c r="G9">
        <v>46614</v>
      </c>
      <c r="H9" s="1">
        <f t="shared" si="0"/>
        <v>5.3631956064701591E-3</v>
      </c>
      <c r="I9" s="3">
        <v>200000000</v>
      </c>
      <c r="J9">
        <f t="shared" si="1"/>
        <v>2</v>
      </c>
      <c r="K9">
        <f t="shared" si="2"/>
        <v>200</v>
      </c>
      <c r="L9">
        <f t="shared" si="3"/>
        <v>500</v>
      </c>
      <c r="M9" s="4">
        <f t="shared" si="4"/>
        <v>1.0726391212940318E-2</v>
      </c>
    </row>
    <row r="10" spans="1:16" x14ac:dyDescent="0.35">
      <c r="A10">
        <v>10025</v>
      </c>
      <c r="B10">
        <v>2024</v>
      </c>
      <c r="C10" t="s">
        <v>44</v>
      </c>
      <c r="D10">
        <v>44</v>
      </c>
      <c r="E10" t="s">
        <v>28</v>
      </c>
      <c r="F10">
        <v>250</v>
      </c>
      <c r="G10">
        <v>47576</v>
      </c>
      <c r="H10" s="1">
        <f t="shared" si="0"/>
        <v>5.2547502942660168E-3</v>
      </c>
      <c r="I10" s="3">
        <v>200000000</v>
      </c>
      <c r="J10">
        <f t="shared" si="1"/>
        <v>2</v>
      </c>
      <c r="K10">
        <f t="shared" si="2"/>
        <v>200</v>
      </c>
      <c r="L10">
        <f t="shared" si="3"/>
        <v>500</v>
      </c>
      <c r="M10" s="4">
        <f t="shared" si="4"/>
        <v>1.0509500588532034E-2</v>
      </c>
    </row>
    <row r="11" spans="1:16" x14ac:dyDescent="0.35">
      <c r="A11">
        <v>10024</v>
      </c>
      <c r="B11">
        <v>2024</v>
      </c>
      <c r="C11" t="s">
        <v>44</v>
      </c>
      <c r="D11">
        <v>43</v>
      </c>
      <c r="E11" t="s">
        <v>28</v>
      </c>
      <c r="F11">
        <v>250</v>
      </c>
      <c r="G11">
        <v>47728</v>
      </c>
      <c r="H11" s="1">
        <f t="shared" si="0"/>
        <v>5.2380154207173988E-3</v>
      </c>
      <c r="I11" s="3">
        <v>200000000</v>
      </c>
      <c r="J11">
        <f t="shared" si="1"/>
        <v>2</v>
      </c>
      <c r="K11">
        <f t="shared" si="2"/>
        <v>200</v>
      </c>
      <c r="L11">
        <f t="shared" si="3"/>
        <v>500</v>
      </c>
      <c r="M11" s="4">
        <f t="shared" si="4"/>
        <v>1.0476030841434798E-2</v>
      </c>
    </row>
    <row r="12" spans="1:16" x14ac:dyDescent="0.35">
      <c r="A12">
        <v>10009</v>
      </c>
      <c r="B12">
        <v>2024</v>
      </c>
      <c r="C12" t="s">
        <v>44</v>
      </c>
      <c r="D12">
        <v>42</v>
      </c>
      <c r="E12" t="s">
        <v>28</v>
      </c>
      <c r="F12">
        <v>250</v>
      </c>
      <c r="G12">
        <v>48053</v>
      </c>
      <c r="H12" s="1">
        <f t="shared" si="0"/>
        <v>5.2025888081909562E-3</v>
      </c>
      <c r="I12" s="3">
        <v>200000000</v>
      </c>
      <c r="J12">
        <f t="shared" si="1"/>
        <v>2</v>
      </c>
      <c r="K12">
        <f t="shared" si="2"/>
        <v>200</v>
      </c>
      <c r="L12">
        <f t="shared" si="3"/>
        <v>500</v>
      </c>
      <c r="M12" s="4">
        <f t="shared" si="4"/>
        <v>1.0405177616381912E-2</v>
      </c>
    </row>
    <row r="13" spans="1:16" x14ac:dyDescent="0.35">
      <c r="A13">
        <v>10008</v>
      </c>
      <c r="B13">
        <v>2024</v>
      </c>
      <c r="C13" t="s">
        <v>44</v>
      </c>
      <c r="D13">
        <v>41</v>
      </c>
      <c r="E13" t="s">
        <v>28</v>
      </c>
      <c r="F13">
        <v>250</v>
      </c>
      <c r="G13">
        <v>48766</v>
      </c>
      <c r="H13" s="1">
        <f t="shared" si="0"/>
        <v>5.1265225772054298E-3</v>
      </c>
      <c r="I13" s="3">
        <v>200000000</v>
      </c>
      <c r="J13">
        <f t="shared" si="1"/>
        <v>2</v>
      </c>
      <c r="K13">
        <f t="shared" si="2"/>
        <v>200</v>
      </c>
      <c r="L13">
        <f t="shared" si="3"/>
        <v>500</v>
      </c>
      <c r="M13" s="4">
        <f t="shared" si="4"/>
        <v>1.025304515441086E-2</v>
      </c>
    </row>
    <row r="14" spans="1:16" x14ac:dyDescent="0.35">
      <c r="A14">
        <v>10044</v>
      </c>
      <c r="B14">
        <v>2024</v>
      </c>
      <c r="C14" t="s">
        <v>44</v>
      </c>
      <c r="D14">
        <v>68</v>
      </c>
      <c r="E14" t="s">
        <v>28</v>
      </c>
      <c r="F14">
        <v>300</v>
      </c>
      <c r="G14">
        <v>56870</v>
      </c>
      <c r="H14" s="1">
        <f t="shared" si="0"/>
        <v>5.2751890276068227E-3</v>
      </c>
      <c r="I14" s="3">
        <v>200000000</v>
      </c>
      <c r="J14">
        <f t="shared" si="1"/>
        <v>2</v>
      </c>
      <c r="K14">
        <f t="shared" si="2"/>
        <v>200</v>
      </c>
      <c r="L14">
        <f t="shared" si="3"/>
        <v>600</v>
      </c>
      <c r="M14" s="4">
        <f t="shared" si="4"/>
        <v>1.0550378055213645E-2</v>
      </c>
    </row>
    <row r="15" spans="1:16" x14ac:dyDescent="0.35">
      <c r="A15">
        <v>10046</v>
      </c>
      <c r="B15">
        <v>2024</v>
      </c>
      <c r="C15" t="s">
        <v>44</v>
      </c>
      <c r="D15">
        <v>64</v>
      </c>
      <c r="E15" t="s">
        <v>28</v>
      </c>
      <c r="F15">
        <v>300</v>
      </c>
      <c r="G15">
        <v>65131</v>
      </c>
      <c r="H15" s="1">
        <f t="shared" si="0"/>
        <v>4.6061015491854875E-3</v>
      </c>
      <c r="I15" s="3">
        <v>200000000</v>
      </c>
      <c r="J15">
        <f t="shared" si="1"/>
        <v>2</v>
      </c>
      <c r="K15">
        <f t="shared" si="2"/>
        <v>200</v>
      </c>
      <c r="L15">
        <f t="shared" si="3"/>
        <v>600</v>
      </c>
      <c r="M15" s="4">
        <f t="shared" si="4"/>
        <v>9.212203098370975E-3</v>
      </c>
    </row>
    <row r="16" spans="1:16" x14ac:dyDescent="0.35">
      <c r="A16">
        <v>10035</v>
      </c>
      <c r="B16">
        <v>2024</v>
      </c>
      <c r="C16" t="s">
        <v>44</v>
      </c>
      <c r="D16">
        <v>66</v>
      </c>
      <c r="E16" t="s">
        <v>28</v>
      </c>
      <c r="F16">
        <v>300</v>
      </c>
      <c r="G16">
        <v>69610</v>
      </c>
      <c r="H16" s="1">
        <f t="shared" si="0"/>
        <v>4.3097256141358996E-3</v>
      </c>
      <c r="I16" s="3">
        <v>200000000</v>
      </c>
      <c r="J16">
        <f t="shared" si="1"/>
        <v>2</v>
      </c>
      <c r="K16">
        <f t="shared" si="2"/>
        <v>200</v>
      </c>
      <c r="L16">
        <f t="shared" si="3"/>
        <v>600</v>
      </c>
      <c r="M16" s="4">
        <f t="shared" si="4"/>
        <v>8.6194512282717992E-3</v>
      </c>
    </row>
    <row r="17" spans="1:13" x14ac:dyDescent="0.35">
      <c r="A17">
        <v>10064</v>
      </c>
      <c r="B17">
        <v>2024</v>
      </c>
      <c r="C17" t="s">
        <v>44</v>
      </c>
      <c r="D17">
        <v>199</v>
      </c>
      <c r="E17" t="s">
        <v>47</v>
      </c>
      <c r="F17">
        <v>100</v>
      </c>
      <c r="G17">
        <v>8335</v>
      </c>
      <c r="H17" s="1">
        <f t="shared" si="0"/>
        <v>1.199760047990402E-2</v>
      </c>
      <c r="I17" s="3">
        <v>200000000</v>
      </c>
      <c r="J17">
        <f t="shared" si="1"/>
        <v>2</v>
      </c>
      <c r="K17">
        <f t="shared" si="2"/>
        <v>200</v>
      </c>
      <c r="L17">
        <f t="shared" si="3"/>
        <v>200</v>
      </c>
      <c r="M17" s="4">
        <f t="shared" si="4"/>
        <v>2.399520095980804E-2</v>
      </c>
    </row>
    <row r="18" spans="1:13" x14ac:dyDescent="0.35">
      <c r="A18">
        <v>10053</v>
      </c>
      <c r="B18">
        <v>2024</v>
      </c>
      <c r="C18" t="s">
        <v>44</v>
      </c>
      <c r="D18">
        <v>213</v>
      </c>
      <c r="E18" t="s">
        <v>47</v>
      </c>
      <c r="F18">
        <v>130</v>
      </c>
      <c r="G18">
        <v>15290</v>
      </c>
      <c r="H18" s="1">
        <f t="shared" si="0"/>
        <v>8.502289077828646E-3</v>
      </c>
      <c r="I18" s="3">
        <v>200000000</v>
      </c>
      <c r="J18">
        <f t="shared" si="1"/>
        <v>2</v>
      </c>
      <c r="K18">
        <f t="shared" si="2"/>
        <v>200</v>
      </c>
      <c r="L18">
        <f t="shared" si="3"/>
        <v>260</v>
      </c>
      <c r="M18" s="4">
        <f t="shared" si="4"/>
        <v>1.7004578155657292E-2</v>
      </c>
    </row>
    <row r="19" spans="1:13" x14ac:dyDescent="0.35">
      <c r="A19">
        <v>10000</v>
      </c>
      <c r="B19">
        <v>2024</v>
      </c>
      <c r="C19" t="s">
        <v>48</v>
      </c>
      <c r="D19">
        <v>223</v>
      </c>
      <c r="E19" t="s">
        <v>28</v>
      </c>
      <c r="F19">
        <v>150</v>
      </c>
      <c r="G19">
        <v>14287</v>
      </c>
      <c r="H19" s="1">
        <f t="shared" si="0"/>
        <v>1.0499055085042347E-2</v>
      </c>
      <c r="I19" s="3">
        <v>200000000</v>
      </c>
      <c r="J19">
        <f t="shared" si="1"/>
        <v>2</v>
      </c>
      <c r="K19">
        <f t="shared" si="2"/>
        <v>200</v>
      </c>
      <c r="L19">
        <f t="shared" si="3"/>
        <v>300</v>
      </c>
      <c r="M19" s="4">
        <f t="shared" si="4"/>
        <v>2.0998110170084693E-2</v>
      </c>
    </row>
    <row r="20" spans="1:13" x14ac:dyDescent="0.35">
      <c r="A20">
        <v>9995</v>
      </c>
      <c r="B20">
        <v>2024</v>
      </c>
      <c r="C20" t="s">
        <v>44</v>
      </c>
      <c r="D20">
        <v>225</v>
      </c>
      <c r="E20" t="s">
        <v>28</v>
      </c>
      <c r="F20">
        <v>150</v>
      </c>
      <c r="G20">
        <v>15679</v>
      </c>
      <c r="H20" s="1">
        <f t="shared" si="0"/>
        <v>9.5669366668792652E-3</v>
      </c>
      <c r="I20" s="3">
        <v>200000000</v>
      </c>
      <c r="J20">
        <f t="shared" si="1"/>
        <v>2</v>
      </c>
      <c r="K20">
        <f t="shared" si="2"/>
        <v>200</v>
      </c>
      <c r="L20">
        <f t="shared" si="3"/>
        <v>300</v>
      </c>
      <c r="M20" s="4">
        <f t="shared" si="4"/>
        <v>1.913387333375853E-2</v>
      </c>
    </row>
    <row r="21" spans="1:13" x14ac:dyDescent="0.35">
      <c r="A21">
        <v>10001</v>
      </c>
      <c r="B21">
        <v>2024</v>
      </c>
      <c r="C21" t="s">
        <v>48</v>
      </c>
      <c r="D21">
        <v>260</v>
      </c>
      <c r="E21" t="s">
        <v>28</v>
      </c>
      <c r="F21">
        <v>200</v>
      </c>
      <c r="G21">
        <v>27067</v>
      </c>
      <c r="H21" s="1">
        <f t="shared" si="0"/>
        <v>7.3890715631580893E-3</v>
      </c>
      <c r="I21" s="3">
        <v>200000000</v>
      </c>
      <c r="J21">
        <f t="shared" si="1"/>
        <v>2</v>
      </c>
      <c r="K21">
        <f t="shared" si="2"/>
        <v>200</v>
      </c>
      <c r="L21">
        <f t="shared" si="3"/>
        <v>400</v>
      </c>
      <c r="M21" s="4">
        <f t="shared" si="4"/>
        <v>1.4778143126316179E-2</v>
      </c>
    </row>
    <row r="22" spans="1:13" x14ac:dyDescent="0.35">
      <c r="A22">
        <v>10002</v>
      </c>
      <c r="B22">
        <v>2024</v>
      </c>
      <c r="C22" t="s">
        <v>48</v>
      </c>
      <c r="D22">
        <v>263</v>
      </c>
      <c r="E22" t="s">
        <v>28</v>
      </c>
      <c r="F22">
        <v>200</v>
      </c>
      <c r="G22">
        <v>24210</v>
      </c>
      <c r="H22" s="1">
        <f t="shared" si="0"/>
        <v>8.2610491532424616E-3</v>
      </c>
      <c r="I22" s="3">
        <v>200000000</v>
      </c>
      <c r="J22">
        <f t="shared" si="1"/>
        <v>2</v>
      </c>
      <c r="K22">
        <f t="shared" si="2"/>
        <v>200</v>
      </c>
      <c r="L22">
        <f t="shared" si="3"/>
        <v>400</v>
      </c>
      <c r="M22" s="4">
        <f t="shared" si="4"/>
        <v>1.6522098306484923E-2</v>
      </c>
    </row>
    <row r="23" spans="1:13" x14ac:dyDescent="0.35">
      <c r="A23">
        <v>10045</v>
      </c>
      <c r="B23">
        <v>2024</v>
      </c>
      <c r="C23" t="s">
        <v>44</v>
      </c>
      <c r="D23">
        <v>65</v>
      </c>
      <c r="E23" t="s">
        <v>28</v>
      </c>
      <c r="F23">
        <v>300</v>
      </c>
      <c r="G23">
        <v>65193</v>
      </c>
      <c r="H23" s="1">
        <f t="shared" si="0"/>
        <v>4.6017210436703326E-3</v>
      </c>
      <c r="I23" s="3">
        <v>300000000</v>
      </c>
      <c r="J23">
        <f t="shared" si="1"/>
        <v>2.9999999999999996</v>
      </c>
      <c r="K23">
        <f t="shared" si="2"/>
        <v>299.99999999999994</v>
      </c>
      <c r="L23">
        <f t="shared" si="3"/>
        <v>899.99999999999989</v>
      </c>
      <c r="M23" s="4">
        <f t="shared" si="4"/>
        <v>1.3805163131010996E-2</v>
      </c>
    </row>
    <row r="24" spans="1:13" x14ac:dyDescent="0.35">
      <c r="A24">
        <v>10680</v>
      </c>
      <c r="B24">
        <v>2025</v>
      </c>
      <c r="C24" t="s">
        <v>27</v>
      </c>
      <c r="D24">
        <v>62</v>
      </c>
      <c r="E24" t="s">
        <v>28</v>
      </c>
      <c r="F24">
        <v>300</v>
      </c>
      <c r="G24">
        <v>61116</v>
      </c>
      <c r="H24" s="1">
        <f t="shared" si="0"/>
        <v>4.9086982132338502E-3</v>
      </c>
      <c r="I24">
        <f>427*1000000</f>
        <v>427000000</v>
      </c>
      <c r="J24">
        <f t="shared" si="1"/>
        <v>4.2699999999999996</v>
      </c>
      <c r="K24">
        <f t="shared" si="2"/>
        <v>426.99999999999994</v>
      </c>
      <c r="L24">
        <f t="shared" si="3"/>
        <v>1280.9999999999998</v>
      </c>
      <c r="M24" s="4">
        <f t="shared" si="4"/>
        <v>2.0960141370508539E-2</v>
      </c>
    </row>
    <row r="25" spans="1:13" x14ac:dyDescent="0.35">
      <c r="A25">
        <v>11041</v>
      </c>
      <c r="B25">
        <v>2025</v>
      </c>
      <c r="C25" t="s">
        <v>27</v>
      </c>
      <c r="D25">
        <v>212</v>
      </c>
      <c r="E25" t="s">
        <v>28</v>
      </c>
      <c r="F25">
        <v>200</v>
      </c>
      <c r="G25">
        <v>16355</v>
      </c>
      <c r="H25" s="1">
        <f t="shared" si="0"/>
        <v>1.2228676245796393E-2</v>
      </c>
      <c r="I25">
        <f>440*1000000</f>
        <v>440000000</v>
      </c>
      <c r="J25">
        <f t="shared" si="1"/>
        <v>4.3999999999999995</v>
      </c>
      <c r="K25">
        <f t="shared" si="2"/>
        <v>439.99999999999994</v>
      </c>
      <c r="L25">
        <f t="shared" si="3"/>
        <v>879.99999999999989</v>
      </c>
      <c r="M25" s="4">
        <f t="shared" si="4"/>
        <v>5.3806175481504119E-2</v>
      </c>
    </row>
    <row r="26" spans="1:13" x14ac:dyDescent="0.35">
      <c r="A26">
        <v>11051</v>
      </c>
      <c r="B26">
        <v>2025</v>
      </c>
      <c r="C26" t="s">
        <v>27</v>
      </c>
      <c r="D26">
        <v>226</v>
      </c>
      <c r="E26" t="s">
        <v>28</v>
      </c>
      <c r="F26">
        <v>200</v>
      </c>
      <c r="G26">
        <v>16905</v>
      </c>
      <c r="H26" s="1">
        <f t="shared" si="0"/>
        <v>1.1830819284235433E-2</v>
      </c>
      <c r="I26">
        <f>440*1000000</f>
        <v>440000000</v>
      </c>
      <c r="J26">
        <f t="shared" si="1"/>
        <v>4.3999999999999995</v>
      </c>
      <c r="K26">
        <f t="shared" si="2"/>
        <v>439.99999999999994</v>
      </c>
      <c r="L26">
        <f t="shared" si="3"/>
        <v>879.99999999999989</v>
      </c>
      <c r="M26" s="4">
        <f t="shared" si="4"/>
        <v>5.20556048506359E-2</v>
      </c>
    </row>
    <row r="27" spans="1:13" x14ac:dyDescent="0.35">
      <c r="A27">
        <v>11052</v>
      </c>
      <c r="B27">
        <v>2025</v>
      </c>
      <c r="C27" t="s">
        <v>27</v>
      </c>
      <c r="D27">
        <v>213</v>
      </c>
      <c r="E27" t="s">
        <v>28</v>
      </c>
      <c r="F27">
        <v>200</v>
      </c>
      <c r="G27">
        <v>17065</v>
      </c>
      <c r="H27" s="1">
        <f t="shared" si="0"/>
        <v>1.1719894520949311E-2</v>
      </c>
      <c r="I27">
        <f>440*1000000</f>
        <v>440000000</v>
      </c>
      <c r="J27">
        <f t="shared" si="1"/>
        <v>4.3999999999999995</v>
      </c>
      <c r="K27">
        <f t="shared" si="2"/>
        <v>439.99999999999994</v>
      </c>
      <c r="L27">
        <f t="shared" si="3"/>
        <v>879.99999999999989</v>
      </c>
      <c r="M27" s="4">
        <f t="shared" si="4"/>
        <v>5.1567535892176962E-2</v>
      </c>
    </row>
    <row r="28" spans="1:13" x14ac:dyDescent="0.35">
      <c r="A28">
        <v>11005</v>
      </c>
      <c r="B28">
        <v>2025</v>
      </c>
      <c r="C28" t="s">
        <v>27</v>
      </c>
      <c r="D28">
        <v>224</v>
      </c>
      <c r="E28" t="s">
        <v>28</v>
      </c>
      <c r="F28">
        <v>200</v>
      </c>
      <c r="G28">
        <v>13135</v>
      </c>
      <c r="H28" s="1">
        <f t="shared" si="0"/>
        <v>1.5226494099733536E-2</v>
      </c>
      <c r="I28">
        <f>450*1000000</f>
        <v>450000000</v>
      </c>
      <c r="J28">
        <f t="shared" si="1"/>
        <v>4.5</v>
      </c>
      <c r="K28">
        <f t="shared" si="2"/>
        <v>450</v>
      </c>
      <c r="L28">
        <f t="shared" si="3"/>
        <v>900</v>
      </c>
      <c r="M28" s="4">
        <f t="shared" si="4"/>
        <v>6.8519223448800917E-2</v>
      </c>
    </row>
    <row r="29" spans="1:13" x14ac:dyDescent="0.35">
      <c r="A29">
        <v>11008</v>
      </c>
      <c r="B29">
        <v>2025</v>
      </c>
      <c r="C29" t="s">
        <v>27</v>
      </c>
      <c r="D29">
        <v>211</v>
      </c>
      <c r="E29" t="s">
        <v>28</v>
      </c>
      <c r="F29">
        <v>200</v>
      </c>
      <c r="G29">
        <v>13563</v>
      </c>
      <c r="H29" s="1">
        <f t="shared" si="0"/>
        <v>1.4746000147460001E-2</v>
      </c>
      <c r="I29">
        <f>450*1000000</f>
        <v>450000000</v>
      </c>
      <c r="J29">
        <f t="shared" si="1"/>
        <v>4.5</v>
      </c>
      <c r="K29">
        <f t="shared" si="2"/>
        <v>450</v>
      </c>
      <c r="L29">
        <f t="shared" si="3"/>
        <v>900</v>
      </c>
      <c r="M29" s="4">
        <f t="shared" si="4"/>
        <v>6.6357000663570004E-2</v>
      </c>
    </row>
    <row r="30" spans="1:13" x14ac:dyDescent="0.35">
      <c r="A30">
        <v>10975</v>
      </c>
      <c r="B30">
        <v>2025</v>
      </c>
      <c r="C30" t="s">
        <v>27</v>
      </c>
      <c r="D30">
        <v>133</v>
      </c>
      <c r="E30" t="s">
        <v>28</v>
      </c>
      <c r="F30">
        <v>150</v>
      </c>
      <c r="G30">
        <v>30656</v>
      </c>
      <c r="H30" s="1">
        <f t="shared" si="0"/>
        <v>4.8930062630480166E-3</v>
      </c>
      <c r="I30">
        <f>466*1000000</f>
        <v>466000000</v>
      </c>
      <c r="J30">
        <f t="shared" si="1"/>
        <v>4.66</v>
      </c>
      <c r="K30">
        <f t="shared" si="2"/>
        <v>466</v>
      </c>
      <c r="L30">
        <f t="shared" si="3"/>
        <v>699</v>
      </c>
      <c r="M30" s="4">
        <f t="shared" si="4"/>
        <v>2.2801409185803759E-2</v>
      </c>
    </row>
    <row r="31" spans="1:13" x14ac:dyDescent="0.35">
      <c r="A31">
        <v>10937</v>
      </c>
      <c r="B31">
        <v>2025</v>
      </c>
      <c r="C31" t="s">
        <v>27</v>
      </c>
      <c r="D31">
        <v>88</v>
      </c>
      <c r="E31" t="s">
        <v>28</v>
      </c>
      <c r="F31">
        <v>300</v>
      </c>
      <c r="G31">
        <v>63472</v>
      </c>
      <c r="H31" s="1">
        <f t="shared" si="0"/>
        <v>4.7264935719687423E-3</v>
      </c>
      <c r="I31">
        <f>466*1000000</f>
        <v>466000000</v>
      </c>
      <c r="J31">
        <f t="shared" si="1"/>
        <v>4.66</v>
      </c>
      <c r="K31">
        <f t="shared" si="2"/>
        <v>466</v>
      </c>
      <c r="L31">
        <f t="shared" si="3"/>
        <v>1398</v>
      </c>
      <c r="M31" s="4">
        <f t="shared" si="4"/>
        <v>2.202546004537434E-2</v>
      </c>
    </row>
    <row r="32" spans="1:13" x14ac:dyDescent="0.35">
      <c r="A32">
        <v>10730</v>
      </c>
      <c r="B32">
        <v>2025</v>
      </c>
      <c r="C32" t="s">
        <v>29</v>
      </c>
      <c r="D32">
        <v>152</v>
      </c>
      <c r="E32" t="s">
        <v>28</v>
      </c>
      <c r="F32">
        <v>150</v>
      </c>
      <c r="G32">
        <v>29877</v>
      </c>
      <c r="H32" s="1">
        <f t="shared" si="0"/>
        <v>5.0205843960236972E-3</v>
      </c>
      <c r="I32">
        <f>526*1000000</f>
        <v>526000000</v>
      </c>
      <c r="J32">
        <f t="shared" si="1"/>
        <v>5.26</v>
      </c>
      <c r="K32">
        <f t="shared" si="2"/>
        <v>526</v>
      </c>
      <c r="L32">
        <f t="shared" si="3"/>
        <v>789</v>
      </c>
      <c r="M32" s="4">
        <f t="shared" si="4"/>
        <v>2.6408273923084646E-2</v>
      </c>
    </row>
    <row r="33" spans="1:13" x14ac:dyDescent="0.35">
      <c r="A33">
        <v>9958</v>
      </c>
      <c r="B33">
        <v>2024</v>
      </c>
      <c r="C33" t="s">
        <v>43</v>
      </c>
      <c r="D33">
        <v>148</v>
      </c>
      <c r="E33" t="s">
        <v>42</v>
      </c>
      <c r="F33">
        <v>200</v>
      </c>
      <c r="G33" s="3">
        <v>35149</v>
      </c>
      <c r="H33" s="1">
        <f t="shared" si="0"/>
        <v>5.6900623061822524E-3</v>
      </c>
      <c r="I33" s="3">
        <v>550000000</v>
      </c>
      <c r="J33">
        <f t="shared" si="1"/>
        <v>5.5</v>
      </c>
      <c r="K33">
        <f t="shared" si="2"/>
        <v>550</v>
      </c>
      <c r="L33">
        <f t="shared" si="3"/>
        <v>1100</v>
      </c>
      <c r="M33" s="4">
        <f t="shared" si="4"/>
        <v>3.1295342684002393E-2</v>
      </c>
    </row>
    <row r="34" spans="1:13" x14ac:dyDescent="0.35">
      <c r="A34">
        <v>9941</v>
      </c>
      <c r="B34">
        <v>2024</v>
      </c>
      <c r="C34" t="s">
        <v>44</v>
      </c>
      <c r="D34">
        <v>31</v>
      </c>
      <c r="E34" t="s">
        <v>28</v>
      </c>
      <c r="F34">
        <v>300</v>
      </c>
      <c r="G34">
        <v>53299</v>
      </c>
      <c r="H34" s="1">
        <f t="shared" ref="H34:H55" si="5">F34/G34</f>
        <v>5.6286234263307E-3</v>
      </c>
      <c r="I34" s="3">
        <v>550000000</v>
      </c>
      <c r="J34">
        <f t="shared" ref="J34:J55" si="6">I34*$P$1*1000</f>
        <v>5.5</v>
      </c>
      <c r="K34">
        <f t="shared" ref="K34:K55" si="7">J34*100</f>
        <v>550</v>
      </c>
      <c r="L34">
        <f t="shared" ref="L34:L55" si="8">J34*F34</f>
        <v>1650</v>
      </c>
      <c r="M34" s="4">
        <f t="shared" si="4"/>
        <v>3.0957428844818852E-2</v>
      </c>
    </row>
    <row r="35" spans="1:13" x14ac:dyDescent="0.35">
      <c r="A35">
        <v>9940</v>
      </c>
      <c r="B35">
        <v>2024</v>
      </c>
      <c r="C35" t="s">
        <v>44</v>
      </c>
      <c r="D35">
        <v>30</v>
      </c>
      <c r="E35" t="s">
        <v>28</v>
      </c>
      <c r="F35">
        <v>300</v>
      </c>
      <c r="G35">
        <v>58536</v>
      </c>
      <c r="H35" s="1">
        <f t="shared" si="5"/>
        <v>5.1250512505125051E-3</v>
      </c>
      <c r="I35" s="3">
        <v>550000000</v>
      </c>
      <c r="J35">
        <f t="shared" si="6"/>
        <v>5.5</v>
      </c>
      <c r="K35">
        <f t="shared" si="7"/>
        <v>550</v>
      </c>
      <c r="L35">
        <f t="shared" si="8"/>
        <v>1650</v>
      </c>
      <c r="M35" s="4">
        <f t="shared" si="4"/>
        <v>2.8187781877818778E-2</v>
      </c>
    </row>
    <row r="36" spans="1:13" x14ac:dyDescent="0.35">
      <c r="A36">
        <v>9919</v>
      </c>
      <c r="B36">
        <v>2024</v>
      </c>
      <c r="C36" t="s">
        <v>44</v>
      </c>
      <c r="D36">
        <v>61</v>
      </c>
      <c r="E36" t="s">
        <v>28</v>
      </c>
      <c r="F36">
        <v>200</v>
      </c>
      <c r="G36">
        <v>62380</v>
      </c>
      <c r="H36" s="1">
        <f t="shared" si="5"/>
        <v>3.2061558191728116E-3</v>
      </c>
      <c r="I36" s="3">
        <v>600000000</v>
      </c>
      <c r="J36">
        <f t="shared" si="6"/>
        <v>5.9999999999999991</v>
      </c>
      <c r="K36">
        <f t="shared" si="7"/>
        <v>599.99999999999989</v>
      </c>
      <c r="L36">
        <f t="shared" si="8"/>
        <v>1199.9999999999998</v>
      </c>
      <c r="M36" s="4">
        <f t="shared" si="4"/>
        <v>1.9236934915036866E-2</v>
      </c>
    </row>
    <row r="37" spans="1:13" x14ac:dyDescent="0.35">
      <c r="A37">
        <v>9918</v>
      </c>
      <c r="B37">
        <v>2024</v>
      </c>
      <c r="C37" t="s">
        <v>44</v>
      </c>
      <c r="D37">
        <v>139</v>
      </c>
      <c r="E37" t="s">
        <v>28</v>
      </c>
      <c r="F37">
        <v>100</v>
      </c>
      <c r="G37">
        <v>34058</v>
      </c>
      <c r="H37" s="1">
        <f t="shared" si="5"/>
        <v>2.9361677138998181E-3</v>
      </c>
      <c r="I37" s="3">
        <v>600000000</v>
      </c>
      <c r="J37">
        <f t="shared" si="6"/>
        <v>5.9999999999999991</v>
      </c>
      <c r="K37">
        <f t="shared" si="7"/>
        <v>599.99999999999989</v>
      </c>
      <c r="L37">
        <f t="shared" si="8"/>
        <v>599.99999999999989</v>
      </c>
      <c r="M37" s="4">
        <f t="shared" si="4"/>
        <v>1.7617006283398906E-2</v>
      </c>
    </row>
    <row r="38" spans="1:13" x14ac:dyDescent="0.35">
      <c r="A38">
        <v>9910</v>
      </c>
      <c r="B38">
        <v>2024</v>
      </c>
      <c r="C38" t="s">
        <v>44</v>
      </c>
      <c r="D38">
        <v>154</v>
      </c>
      <c r="E38" t="s">
        <v>28</v>
      </c>
      <c r="F38">
        <v>100</v>
      </c>
      <c r="G38">
        <v>32145</v>
      </c>
      <c r="H38" s="1">
        <f t="shared" si="5"/>
        <v>3.1109037175299425E-3</v>
      </c>
      <c r="I38" s="3">
        <v>600000000</v>
      </c>
      <c r="J38">
        <f t="shared" si="6"/>
        <v>5.9999999999999991</v>
      </c>
      <c r="K38">
        <f t="shared" si="7"/>
        <v>599.99999999999989</v>
      </c>
      <c r="L38">
        <f t="shared" si="8"/>
        <v>599.99999999999989</v>
      </c>
      <c r="M38" s="4">
        <f t="shared" si="4"/>
        <v>1.866542230517965E-2</v>
      </c>
    </row>
    <row r="39" spans="1:13" x14ac:dyDescent="0.35">
      <c r="A39">
        <v>10809</v>
      </c>
      <c r="B39">
        <v>2025</v>
      </c>
      <c r="C39" t="s">
        <v>27</v>
      </c>
      <c r="D39">
        <v>153</v>
      </c>
      <c r="E39" t="s">
        <v>28</v>
      </c>
      <c r="F39">
        <v>120</v>
      </c>
      <c r="G39">
        <v>30006</v>
      </c>
      <c r="H39" s="1">
        <f t="shared" si="5"/>
        <v>3.9992001599680064E-3</v>
      </c>
      <c r="I39">
        <f>620*1000000</f>
        <v>620000000</v>
      </c>
      <c r="J39">
        <f t="shared" si="6"/>
        <v>6.2</v>
      </c>
      <c r="K39">
        <f t="shared" si="7"/>
        <v>620</v>
      </c>
      <c r="L39">
        <f t="shared" si="8"/>
        <v>744</v>
      </c>
      <c r="M39" s="4">
        <f t="shared" si="4"/>
        <v>2.4795040991801638E-2</v>
      </c>
    </row>
    <row r="40" spans="1:13" x14ac:dyDescent="0.35">
      <c r="A40">
        <v>10810</v>
      </c>
      <c r="B40">
        <v>2025</v>
      </c>
      <c r="C40" t="s">
        <v>27</v>
      </c>
      <c r="D40">
        <v>154</v>
      </c>
      <c r="E40" t="s">
        <v>28</v>
      </c>
      <c r="F40">
        <v>120</v>
      </c>
      <c r="G40">
        <v>30108</v>
      </c>
      <c r="H40" s="1">
        <f t="shared" si="5"/>
        <v>3.9856516540454365E-3</v>
      </c>
      <c r="I40">
        <f>620*1000000</f>
        <v>620000000</v>
      </c>
      <c r="J40">
        <f t="shared" si="6"/>
        <v>6.2</v>
      </c>
      <c r="K40">
        <f t="shared" si="7"/>
        <v>620</v>
      </c>
      <c r="L40">
        <f t="shared" si="8"/>
        <v>744</v>
      </c>
      <c r="M40" s="4">
        <f t="shared" si="4"/>
        <v>2.4711040255081706E-2</v>
      </c>
    </row>
    <row r="41" spans="1:13" x14ac:dyDescent="0.35">
      <c r="A41">
        <v>10808</v>
      </c>
      <c r="B41">
        <v>2025</v>
      </c>
      <c r="C41" t="s">
        <v>27</v>
      </c>
      <c r="D41">
        <v>66</v>
      </c>
      <c r="E41" t="s">
        <v>28</v>
      </c>
      <c r="F41">
        <v>250</v>
      </c>
      <c r="G41">
        <v>60966</v>
      </c>
      <c r="H41" s="1">
        <f t="shared" si="5"/>
        <v>4.1006462618508677E-3</v>
      </c>
      <c r="I41">
        <f>620*1000000</f>
        <v>620000000</v>
      </c>
      <c r="J41">
        <f t="shared" si="6"/>
        <v>6.2</v>
      </c>
      <c r="K41">
        <f t="shared" si="7"/>
        <v>620</v>
      </c>
      <c r="L41">
        <f t="shared" si="8"/>
        <v>1550</v>
      </c>
      <c r="M41" s="4">
        <f t="shared" si="4"/>
        <v>2.5424006823475381E-2</v>
      </c>
    </row>
    <row r="42" spans="1:13" x14ac:dyDescent="0.35">
      <c r="A42">
        <v>10807</v>
      </c>
      <c r="B42">
        <v>2025</v>
      </c>
      <c r="C42" t="s">
        <v>27</v>
      </c>
      <c r="D42">
        <v>64</v>
      </c>
      <c r="E42" t="s">
        <v>28</v>
      </c>
      <c r="F42">
        <v>250</v>
      </c>
      <c r="G42">
        <v>63395</v>
      </c>
      <c r="H42" s="1">
        <f t="shared" si="5"/>
        <v>3.9435286694534267E-3</v>
      </c>
      <c r="I42">
        <f>620*1000000</f>
        <v>620000000</v>
      </c>
      <c r="J42">
        <f t="shared" si="6"/>
        <v>6.2</v>
      </c>
      <c r="K42">
        <f t="shared" si="7"/>
        <v>620</v>
      </c>
      <c r="L42">
        <f t="shared" si="8"/>
        <v>1550</v>
      </c>
      <c r="M42" s="4">
        <f t="shared" si="4"/>
        <v>2.4449877750611249E-2</v>
      </c>
    </row>
    <row r="43" spans="1:13" x14ac:dyDescent="0.35">
      <c r="A43">
        <v>9888</v>
      </c>
      <c r="B43">
        <v>2024</v>
      </c>
      <c r="C43" t="s">
        <v>45</v>
      </c>
      <c r="D43">
        <v>47</v>
      </c>
      <c r="E43" t="s">
        <v>28</v>
      </c>
      <c r="F43">
        <v>150</v>
      </c>
      <c r="G43">
        <v>45246</v>
      </c>
      <c r="H43" s="1">
        <f t="shared" si="5"/>
        <v>3.3152101843256861E-3</v>
      </c>
      <c r="I43" s="3">
        <v>700000000</v>
      </c>
      <c r="J43">
        <f t="shared" si="6"/>
        <v>6.9999999999999991</v>
      </c>
      <c r="K43">
        <f t="shared" si="7"/>
        <v>699.99999999999989</v>
      </c>
      <c r="L43">
        <f t="shared" si="8"/>
        <v>1049.9999999999998</v>
      </c>
      <c r="M43" s="4">
        <f t="shared" si="4"/>
        <v>2.32064712902798E-2</v>
      </c>
    </row>
    <row r="44" spans="1:13" x14ac:dyDescent="0.35">
      <c r="A44">
        <v>9894</v>
      </c>
      <c r="B44">
        <v>2024</v>
      </c>
      <c r="C44" t="s">
        <v>41</v>
      </c>
      <c r="D44">
        <v>48</v>
      </c>
      <c r="E44" t="s">
        <v>42</v>
      </c>
      <c r="F44">
        <v>150</v>
      </c>
      <c r="G44">
        <v>45824</v>
      </c>
      <c r="H44" s="1">
        <f t="shared" si="5"/>
        <v>3.2733938547486034E-3</v>
      </c>
      <c r="I44" s="3">
        <v>700000000</v>
      </c>
      <c r="J44">
        <f t="shared" si="6"/>
        <v>6.9999999999999991</v>
      </c>
      <c r="K44">
        <f t="shared" si="7"/>
        <v>699.99999999999989</v>
      </c>
      <c r="L44">
        <f t="shared" si="8"/>
        <v>1049.9999999999998</v>
      </c>
      <c r="M44" s="4">
        <f t="shared" si="4"/>
        <v>2.2913756983240219E-2</v>
      </c>
    </row>
    <row r="45" spans="1:13" x14ac:dyDescent="0.35">
      <c r="A45">
        <v>9893</v>
      </c>
      <c r="B45">
        <v>2024</v>
      </c>
      <c r="C45" t="s">
        <v>44</v>
      </c>
      <c r="D45">
        <v>83</v>
      </c>
      <c r="E45" t="s">
        <v>28</v>
      </c>
      <c r="F45">
        <v>200</v>
      </c>
      <c r="G45">
        <v>66153</v>
      </c>
      <c r="H45" s="1">
        <f t="shared" si="5"/>
        <v>3.0232944839992141E-3</v>
      </c>
      <c r="I45" s="3">
        <v>700000000</v>
      </c>
      <c r="J45">
        <f t="shared" si="6"/>
        <v>6.9999999999999991</v>
      </c>
      <c r="K45">
        <f t="shared" si="7"/>
        <v>699.99999999999989</v>
      </c>
      <c r="L45">
        <f t="shared" si="8"/>
        <v>1399.9999999999998</v>
      </c>
      <c r="M45" s="4">
        <f t="shared" si="4"/>
        <v>2.1163061387994495E-2</v>
      </c>
    </row>
    <row r="46" spans="1:13" x14ac:dyDescent="0.35">
      <c r="A46">
        <v>9877</v>
      </c>
      <c r="B46">
        <v>2024</v>
      </c>
      <c r="C46" t="s">
        <v>44</v>
      </c>
      <c r="D46">
        <v>89</v>
      </c>
      <c r="E46" t="s">
        <v>28</v>
      </c>
      <c r="F46">
        <v>200</v>
      </c>
      <c r="G46">
        <v>63945</v>
      </c>
      <c r="H46" s="1">
        <f t="shared" si="5"/>
        <v>3.1276878567518961E-3</v>
      </c>
      <c r="I46" s="3">
        <v>700000000</v>
      </c>
      <c r="J46">
        <f t="shared" si="6"/>
        <v>6.9999999999999991</v>
      </c>
      <c r="K46">
        <f t="shared" si="7"/>
        <v>699.99999999999989</v>
      </c>
      <c r="L46">
        <f t="shared" si="8"/>
        <v>1399.9999999999998</v>
      </c>
      <c r="M46" s="4">
        <f t="shared" si="4"/>
        <v>2.189381499726327E-2</v>
      </c>
    </row>
    <row r="47" spans="1:13" x14ac:dyDescent="0.35">
      <c r="A47">
        <v>9878</v>
      </c>
      <c r="B47">
        <v>2024</v>
      </c>
      <c r="C47" t="s">
        <v>44</v>
      </c>
      <c r="D47">
        <v>90</v>
      </c>
      <c r="E47" t="s">
        <v>28</v>
      </c>
      <c r="F47">
        <v>200</v>
      </c>
      <c r="G47">
        <v>63122</v>
      </c>
      <c r="H47" s="1">
        <f t="shared" si="5"/>
        <v>3.1684674123126644E-3</v>
      </c>
      <c r="I47" s="3">
        <v>700000000</v>
      </c>
      <c r="J47">
        <f t="shared" si="6"/>
        <v>6.9999999999999991</v>
      </c>
      <c r="K47">
        <f t="shared" si="7"/>
        <v>699.99999999999989</v>
      </c>
      <c r="L47">
        <f t="shared" si="8"/>
        <v>1399.9999999999998</v>
      </c>
      <c r="M47" s="4">
        <f t="shared" si="4"/>
        <v>2.2179271886188647E-2</v>
      </c>
    </row>
    <row r="48" spans="1:13" x14ac:dyDescent="0.35">
      <c r="A48">
        <v>10777</v>
      </c>
      <c r="B48">
        <v>2025</v>
      </c>
      <c r="C48" t="s">
        <v>27</v>
      </c>
      <c r="D48">
        <v>48</v>
      </c>
      <c r="E48" t="s">
        <v>28</v>
      </c>
      <c r="F48">
        <v>250</v>
      </c>
      <c r="G48">
        <v>48233</v>
      </c>
      <c r="H48" s="1">
        <f t="shared" si="5"/>
        <v>5.1831733460493854E-3</v>
      </c>
      <c r="I48">
        <f>728*1000000</f>
        <v>728000000</v>
      </c>
      <c r="J48">
        <f t="shared" si="6"/>
        <v>7.2799999999999994</v>
      </c>
      <c r="K48">
        <f t="shared" si="7"/>
        <v>727.99999999999989</v>
      </c>
      <c r="L48">
        <f t="shared" si="8"/>
        <v>1819.9999999999998</v>
      </c>
      <c r="M48" s="4">
        <f t="shared" si="4"/>
        <v>3.7733501959239517E-2</v>
      </c>
    </row>
    <row r="49" spans="1:13" x14ac:dyDescent="0.35">
      <c r="A49">
        <v>10798</v>
      </c>
      <c r="B49">
        <v>2025</v>
      </c>
      <c r="C49" t="s">
        <v>27</v>
      </c>
      <c r="D49">
        <v>67</v>
      </c>
      <c r="E49" t="s">
        <v>28</v>
      </c>
      <c r="F49">
        <v>350</v>
      </c>
      <c r="G49">
        <v>59665</v>
      </c>
      <c r="H49" s="1">
        <f t="shared" si="5"/>
        <v>5.8660856448504144E-3</v>
      </c>
      <c r="I49">
        <f>728*1000000</f>
        <v>728000000</v>
      </c>
      <c r="J49">
        <f t="shared" si="6"/>
        <v>7.2799999999999994</v>
      </c>
      <c r="K49">
        <f t="shared" si="7"/>
        <v>727.99999999999989</v>
      </c>
      <c r="L49">
        <f t="shared" si="8"/>
        <v>2548</v>
      </c>
      <c r="M49" s="4">
        <f t="shared" si="4"/>
        <v>4.2705103494511017E-2</v>
      </c>
    </row>
    <row r="50" spans="1:13" x14ac:dyDescent="0.35">
      <c r="A50">
        <v>10856</v>
      </c>
      <c r="B50">
        <v>2025</v>
      </c>
      <c r="C50" t="s">
        <v>27</v>
      </c>
      <c r="D50">
        <v>84</v>
      </c>
      <c r="E50" t="s">
        <v>28</v>
      </c>
      <c r="F50">
        <v>300</v>
      </c>
      <c r="G50">
        <v>54374</v>
      </c>
      <c r="H50" s="1">
        <f t="shared" si="5"/>
        <v>5.5173428476845551E-3</v>
      </c>
      <c r="I50">
        <f>960*1000000</f>
        <v>960000000</v>
      </c>
      <c r="J50">
        <f t="shared" si="6"/>
        <v>9.6</v>
      </c>
      <c r="K50">
        <f t="shared" si="7"/>
        <v>960</v>
      </c>
      <c r="L50">
        <f t="shared" si="8"/>
        <v>2880</v>
      </c>
      <c r="M50" s="4">
        <f t="shared" si="4"/>
        <v>5.2966491337771732E-2</v>
      </c>
    </row>
    <row r="51" spans="1:13" x14ac:dyDescent="0.35">
      <c r="A51">
        <v>10857</v>
      </c>
      <c r="B51">
        <v>2025</v>
      </c>
      <c r="C51" t="s">
        <v>27</v>
      </c>
      <c r="D51">
        <v>85</v>
      </c>
      <c r="E51" t="s">
        <v>28</v>
      </c>
      <c r="F51">
        <v>300</v>
      </c>
      <c r="G51">
        <v>60521</v>
      </c>
      <c r="H51" s="1">
        <f t="shared" si="5"/>
        <v>4.9569570892747973E-3</v>
      </c>
      <c r="I51">
        <f>960*1000000</f>
        <v>960000000</v>
      </c>
      <c r="J51">
        <f t="shared" si="6"/>
        <v>9.6</v>
      </c>
      <c r="K51">
        <f t="shared" si="7"/>
        <v>960</v>
      </c>
      <c r="L51">
        <f t="shared" si="8"/>
        <v>2880</v>
      </c>
      <c r="M51" s="4">
        <f t="shared" si="4"/>
        <v>4.7586788057038053E-2</v>
      </c>
    </row>
    <row r="52" spans="1:13" x14ac:dyDescent="0.35">
      <c r="A52">
        <v>10877</v>
      </c>
      <c r="B52">
        <v>2025</v>
      </c>
      <c r="C52" t="s">
        <v>27</v>
      </c>
      <c r="D52">
        <v>87</v>
      </c>
      <c r="E52" t="s">
        <v>28</v>
      </c>
      <c r="F52">
        <v>300</v>
      </c>
      <c r="G52">
        <v>59159</v>
      </c>
      <c r="H52" s="1">
        <f t="shared" si="5"/>
        <v>5.0710796328538345E-3</v>
      </c>
      <c r="I52">
        <f>976*1000000</f>
        <v>976000000</v>
      </c>
      <c r="J52">
        <f t="shared" si="6"/>
        <v>9.76</v>
      </c>
      <c r="K52">
        <f t="shared" si="7"/>
        <v>976</v>
      </c>
      <c r="L52">
        <f t="shared" si="8"/>
        <v>2928</v>
      </c>
      <c r="M52" s="4">
        <f t="shared" si="4"/>
        <v>4.9493737216653427E-2</v>
      </c>
    </row>
    <row r="53" spans="1:13" x14ac:dyDescent="0.35">
      <c r="A53">
        <v>10928</v>
      </c>
      <c r="B53">
        <v>2025</v>
      </c>
      <c r="C53" t="s">
        <v>27</v>
      </c>
      <c r="D53">
        <v>86</v>
      </c>
      <c r="E53" t="s">
        <v>28</v>
      </c>
      <c r="F53">
        <v>300</v>
      </c>
      <c r="G53">
        <v>60293</v>
      </c>
      <c r="H53" s="1">
        <f t="shared" si="5"/>
        <v>4.9757019886222283E-3</v>
      </c>
      <c r="I53">
        <f>976*1000000</f>
        <v>976000000</v>
      </c>
      <c r="J53">
        <f t="shared" si="6"/>
        <v>9.76</v>
      </c>
      <c r="K53">
        <f t="shared" si="7"/>
        <v>976</v>
      </c>
      <c r="L53">
        <f t="shared" si="8"/>
        <v>2928</v>
      </c>
      <c r="M53" s="4">
        <f t="shared" si="4"/>
        <v>4.8562851408952945E-2</v>
      </c>
    </row>
    <row r="54" spans="1:13" x14ac:dyDescent="0.35">
      <c r="A54">
        <v>9936</v>
      </c>
      <c r="B54">
        <v>2024</v>
      </c>
      <c r="C54" t="s">
        <v>44</v>
      </c>
      <c r="D54">
        <v>29</v>
      </c>
      <c r="E54" t="s">
        <v>28</v>
      </c>
      <c r="F54">
        <v>300</v>
      </c>
      <c r="G54">
        <v>51545</v>
      </c>
      <c r="H54" s="1">
        <f t="shared" si="5"/>
        <v>5.8201571442428948E-3</v>
      </c>
      <c r="I54" s="3">
        <v>1000000000</v>
      </c>
      <c r="J54">
        <f t="shared" si="6"/>
        <v>10</v>
      </c>
      <c r="K54">
        <f t="shared" si="7"/>
        <v>1000</v>
      </c>
      <c r="L54">
        <f t="shared" si="8"/>
        <v>3000</v>
      </c>
      <c r="M54" s="4">
        <f t="shared" si="4"/>
        <v>5.8201571442428948E-2</v>
      </c>
    </row>
    <row r="55" spans="1:13" x14ac:dyDescent="0.35">
      <c r="A55">
        <v>9935</v>
      </c>
      <c r="B55">
        <v>2024</v>
      </c>
      <c r="C55" t="s">
        <v>44</v>
      </c>
      <c r="D55">
        <v>53</v>
      </c>
      <c r="E55" t="s">
        <v>28</v>
      </c>
      <c r="F55">
        <v>200</v>
      </c>
      <c r="G55">
        <v>69237</v>
      </c>
      <c r="H55" s="1">
        <f t="shared" si="5"/>
        <v>2.8886289122867829E-3</v>
      </c>
      <c r="I55" s="3">
        <v>1000000000</v>
      </c>
      <c r="J55">
        <f t="shared" si="6"/>
        <v>10</v>
      </c>
      <c r="K55">
        <f t="shared" si="7"/>
        <v>1000</v>
      </c>
      <c r="L55">
        <f t="shared" si="8"/>
        <v>2000</v>
      </c>
      <c r="M55" s="4">
        <f t="shared" si="4"/>
        <v>2.888628912286783E-2</v>
      </c>
    </row>
    <row r="56" spans="1:13" x14ac:dyDescent="0.35">
      <c r="H56" s="1"/>
      <c r="M56" s="4"/>
    </row>
    <row r="59" spans="1:13" x14ac:dyDescent="0.35">
      <c r="H59" s="2">
        <f>AVERAGE(H2:H55)</f>
        <v>5.9098886507253819E-3</v>
      </c>
      <c r="J59">
        <f>AVERAGE(J2:J55)</f>
        <v>4.6505555555555542</v>
      </c>
      <c r="M59">
        <f>AVERAGE(M2:M55)</f>
        <v>2.5396604702486072E-2</v>
      </c>
    </row>
    <row r="60" spans="1:13" x14ac:dyDescent="0.35">
      <c r="H60" s="2">
        <f>_xlfn.STDEV.S(H2:H55)</f>
        <v>2.9723815776013089E-3</v>
      </c>
      <c r="J60">
        <f>_xlfn.STDEV.S(J2:J55)</f>
        <v>2.6868291030377849</v>
      </c>
      <c r="M60" s="4">
        <f>_xlfn.STDEV.S(M2:M55)</f>
        <v>1.6475235242362132E-2</v>
      </c>
    </row>
  </sheetData>
  <autoFilter ref="A1:M45" xr:uid="{DBC93B6B-DDEB-4B62-AFFD-D43185E38194}">
    <sortState xmlns:xlrd2="http://schemas.microsoft.com/office/spreadsheetml/2017/richdata2" ref="A2:M56">
      <sortCondition ref="I1:I45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44D8-7C26-4194-9118-8FBDDFC5DF31}">
  <dimension ref="A1:P45"/>
  <sheetViews>
    <sheetView topLeftCell="F41" zoomScale="70" zoomScaleNormal="70" workbookViewId="0">
      <selection activeCell="M2" sqref="M2"/>
    </sheetView>
  </sheetViews>
  <sheetFormatPr baseColWidth="10" defaultRowHeight="14.5" x14ac:dyDescent="0.35"/>
  <cols>
    <col min="3" max="3" width="22.90625" bestFit="1" customWidth="1"/>
    <col min="4" max="4" width="8.1796875" bestFit="1" customWidth="1"/>
    <col min="5" max="5" width="13.36328125" bestFit="1" customWidth="1"/>
    <col min="6" max="6" width="21.54296875" bestFit="1" customWidth="1"/>
    <col min="7" max="7" width="17.08984375" bestFit="1" customWidth="1"/>
    <col min="8" max="8" width="11.54296875" bestFit="1" customWidth="1"/>
    <col min="9" max="9" width="22.26953125" bestFit="1" customWidth="1"/>
    <col min="10" max="10" width="20" bestFit="1" customWidth="1"/>
    <col min="11" max="11" width="21" bestFit="1" customWidth="1"/>
    <col min="12" max="12" width="19.453125" bestFit="1" customWidth="1"/>
    <col min="13" max="13" width="30.08984375" bestFit="1" customWidth="1"/>
    <col min="14" max="14" width="18" bestFit="1" customWidth="1"/>
    <col min="15" max="15" width="17.08984375" bestFit="1" customWidth="1"/>
  </cols>
  <sheetData>
    <row r="1" spans="1:16" x14ac:dyDescent="0.35">
      <c r="A1" t="s">
        <v>0</v>
      </c>
      <c r="B1" t="s">
        <v>36</v>
      </c>
      <c r="C1" t="s">
        <v>2</v>
      </c>
      <c r="D1" t="s">
        <v>1</v>
      </c>
      <c r="E1" t="s">
        <v>8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14</v>
      </c>
      <c r="L1" t="s">
        <v>17</v>
      </c>
      <c r="M1" t="s">
        <v>79</v>
      </c>
      <c r="O1" t="s">
        <v>11</v>
      </c>
      <c r="P1">
        <f>0.00000000001</f>
        <v>9.9999999999999994E-12</v>
      </c>
    </row>
    <row r="2" spans="1:16" x14ac:dyDescent="0.35">
      <c r="A2">
        <v>9837</v>
      </c>
      <c r="B2">
        <v>2024</v>
      </c>
      <c r="C2" t="s">
        <v>49</v>
      </c>
      <c r="D2">
        <v>35</v>
      </c>
      <c r="E2" t="s">
        <v>31</v>
      </c>
      <c r="F2">
        <v>200</v>
      </c>
      <c r="G2" s="4">
        <v>62873</v>
      </c>
      <c r="H2" s="1">
        <f t="shared" ref="H2:H42" si="0">F2/G2</f>
        <v>3.1810156983124714E-3</v>
      </c>
      <c r="I2" s="5">
        <v>70000000</v>
      </c>
      <c r="J2">
        <f t="shared" ref="J2:J42" si="1">I2*$P$1*1000</f>
        <v>0.7</v>
      </c>
      <c r="K2">
        <f t="shared" ref="K2:K42" si="2">J2*100</f>
        <v>70</v>
      </c>
      <c r="L2">
        <f t="shared" ref="L2:L42" si="3">J2*F2</f>
        <v>140</v>
      </c>
      <c r="M2" s="4">
        <f>L2/(G2)</f>
        <v>2.2267109888187298E-3</v>
      </c>
    </row>
    <row r="3" spans="1:16" x14ac:dyDescent="0.35">
      <c r="A3">
        <v>9901</v>
      </c>
      <c r="B3">
        <v>2024</v>
      </c>
      <c r="C3" t="s">
        <v>49</v>
      </c>
      <c r="D3">
        <v>54</v>
      </c>
      <c r="E3" t="s">
        <v>31</v>
      </c>
      <c r="F3">
        <v>200</v>
      </c>
      <c r="G3" s="4">
        <v>61399</v>
      </c>
      <c r="H3" s="1">
        <f t="shared" si="0"/>
        <v>3.2573820420528023E-3</v>
      </c>
      <c r="I3" s="3">
        <v>150000000</v>
      </c>
      <c r="J3">
        <f t="shared" si="1"/>
        <v>1.4999999999999998</v>
      </c>
      <c r="K3">
        <f t="shared" si="2"/>
        <v>149.99999999999997</v>
      </c>
      <c r="L3">
        <f t="shared" si="3"/>
        <v>299.99999999999994</v>
      </c>
      <c r="M3" s="4">
        <f t="shared" ref="M3:M42" si="4">L3/(G3)</f>
        <v>4.8860730630792019E-3</v>
      </c>
    </row>
    <row r="4" spans="1:16" x14ac:dyDescent="0.35">
      <c r="A4">
        <v>9903</v>
      </c>
      <c r="B4">
        <v>2024</v>
      </c>
      <c r="C4" t="s">
        <v>49</v>
      </c>
      <c r="D4">
        <v>58</v>
      </c>
      <c r="E4" t="s">
        <v>31</v>
      </c>
      <c r="F4">
        <v>300</v>
      </c>
      <c r="G4" s="4">
        <v>59574</v>
      </c>
      <c r="H4" s="1">
        <f t="shared" si="0"/>
        <v>5.0357538523516966E-3</v>
      </c>
      <c r="I4" s="3">
        <v>150000000</v>
      </c>
      <c r="J4">
        <f t="shared" si="1"/>
        <v>1.4999999999999998</v>
      </c>
      <c r="K4">
        <f t="shared" si="2"/>
        <v>149.99999999999997</v>
      </c>
      <c r="L4">
        <f t="shared" si="3"/>
        <v>449.99999999999994</v>
      </c>
      <c r="M4" s="4">
        <f t="shared" si="4"/>
        <v>7.5536307785275449E-3</v>
      </c>
    </row>
    <row r="5" spans="1:16" x14ac:dyDescent="0.35">
      <c r="A5">
        <v>9750</v>
      </c>
      <c r="B5">
        <v>2024</v>
      </c>
      <c r="C5" t="s">
        <v>49</v>
      </c>
      <c r="D5">
        <v>61</v>
      </c>
      <c r="E5" t="s">
        <v>31</v>
      </c>
      <c r="F5">
        <v>300</v>
      </c>
      <c r="G5" s="4">
        <v>57203</v>
      </c>
      <c r="H5" s="1">
        <f t="shared" si="0"/>
        <v>5.2444801846057024E-3</v>
      </c>
      <c r="I5" s="3">
        <v>150000000</v>
      </c>
      <c r="J5">
        <f t="shared" si="1"/>
        <v>1.4999999999999998</v>
      </c>
      <c r="K5">
        <f t="shared" si="2"/>
        <v>149.99999999999997</v>
      </c>
      <c r="L5">
        <f t="shared" si="3"/>
        <v>449.99999999999994</v>
      </c>
      <c r="M5" s="4">
        <f t="shared" si="4"/>
        <v>7.8667202769085523E-3</v>
      </c>
    </row>
    <row r="6" spans="1:16" x14ac:dyDescent="0.35">
      <c r="A6">
        <v>9753</v>
      </c>
      <c r="B6">
        <v>2024</v>
      </c>
      <c r="C6" t="s">
        <v>49</v>
      </c>
      <c r="D6">
        <v>64</v>
      </c>
      <c r="E6" t="s">
        <v>31</v>
      </c>
      <c r="F6">
        <v>400</v>
      </c>
      <c r="G6" s="4">
        <v>56558</v>
      </c>
      <c r="H6" s="1">
        <f t="shared" si="0"/>
        <v>7.0723858693730332E-3</v>
      </c>
      <c r="I6" s="3">
        <v>150000000</v>
      </c>
      <c r="J6">
        <f t="shared" si="1"/>
        <v>1.4999999999999998</v>
      </c>
      <c r="K6">
        <f t="shared" si="2"/>
        <v>149.99999999999997</v>
      </c>
      <c r="L6">
        <f t="shared" si="3"/>
        <v>599.99999999999989</v>
      </c>
      <c r="M6" s="4">
        <f t="shared" si="4"/>
        <v>1.0608578804059547E-2</v>
      </c>
    </row>
    <row r="7" spans="1:16" x14ac:dyDescent="0.35">
      <c r="A7">
        <v>9647</v>
      </c>
      <c r="B7">
        <v>2024</v>
      </c>
      <c r="C7" t="s">
        <v>49</v>
      </c>
      <c r="D7">
        <v>84</v>
      </c>
      <c r="E7" t="s">
        <v>31</v>
      </c>
      <c r="F7">
        <v>300</v>
      </c>
      <c r="G7" s="4">
        <v>71172</v>
      </c>
      <c r="H7" s="1">
        <f t="shared" si="0"/>
        <v>4.2151407857022429E-3</v>
      </c>
      <c r="I7" s="3">
        <v>150000000</v>
      </c>
      <c r="J7">
        <f t="shared" si="1"/>
        <v>1.4999999999999998</v>
      </c>
      <c r="K7">
        <f t="shared" si="2"/>
        <v>149.99999999999997</v>
      </c>
      <c r="L7">
        <f t="shared" si="3"/>
        <v>449.99999999999994</v>
      </c>
      <c r="M7" s="4">
        <f t="shared" si="4"/>
        <v>6.322711178553363E-3</v>
      </c>
    </row>
    <row r="8" spans="1:16" x14ac:dyDescent="0.35">
      <c r="A8">
        <v>9648</v>
      </c>
      <c r="B8">
        <v>2024</v>
      </c>
      <c r="C8" t="s">
        <v>49</v>
      </c>
      <c r="D8">
        <v>85</v>
      </c>
      <c r="E8" t="s">
        <v>31</v>
      </c>
      <c r="F8">
        <v>300</v>
      </c>
      <c r="G8" s="4">
        <v>68295</v>
      </c>
      <c r="H8" s="1">
        <f t="shared" si="0"/>
        <v>4.3927081045464526E-3</v>
      </c>
      <c r="I8" s="3">
        <v>150000000</v>
      </c>
      <c r="J8">
        <f t="shared" si="1"/>
        <v>1.4999999999999998</v>
      </c>
      <c r="K8">
        <f t="shared" si="2"/>
        <v>149.99999999999997</v>
      </c>
      <c r="L8">
        <f t="shared" si="3"/>
        <v>449.99999999999994</v>
      </c>
      <c r="M8" s="4">
        <f t="shared" si="4"/>
        <v>6.5890621568196785E-3</v>
      </c>
    </row>
    <row r="9" spans="1:16" x14ac:dyDescent="0.35">
      <c r="A9">
        <v>9649</v>
      </c>
      <c r="B9">
        <v>2024</v>
      </c>
      <c r="C9" t="s">
        <v>49</v>
      </c>
      <c r="D9">
        <v>86</v>
      </c>
      <c r="E9" t="s">
        <v>31</v>
      </c>
      <c r="F9">
        <v>400</v>
      </c>
      <c r="G9" s="4">
        <v>50320</v>
      </c>
      <c r="H9" s="1">
        <f t="shared" si="0"/>
        <v>7.9491255961844191E-3</v>
      </c>
      <c r="I9" s="3">
        <v>150000000</v>
      </c>
      <c r="J9">
        <f t="shared" si="1"/>
        <v>1.4999999999999998</v>
      </c>
      <c r="K9">
        <f t="shared" si="2"/>
        <v>149.99999999999997</v>
      </c>
      <c r="L9">
        <f t="shared" si="3"/>
        <v>599.99999999999989</v>
      </c>
      <c r="M9" s="4">
        <f t="shared" si="4"/>
        <v>1.1923688394276627E-2</v>
      </c>
    </row>
    <row r="10" spans="1:16" x14ac:dyDescent="0.35">
      <c r="A10">
        <v>9650</v>
      </c>
      <c r="B10">
        <v>2024</v>
      </c>
      <c r="C10" t="s">
        <v>49</v>
      </c>
      <c r="D10">
        <v>87</v>
      </c>
      <c r="E10" t="s">
        <v>31</v>
      </c>
      <c r="F10">
        <v>250</v>
      </c>
      <c r="G10" s="4">
        <v>44973</v>
      </c>
      <c r="H10" s="1">
        <f t="shared" si="0"/>
        <v>5.5588908900896091E-3</v>
      </c>
      <c r="I10" s="3">
        <v>150000000</v>
      </c>
      <c r="J10">
        <f t="shared" si="1"/>
        <v>1.4999999999999998</v>
      </c>
      <c r="K10">
        <f t="shared" si="2"/>
        <v>149.99999999999997</v>
      </c>
      <c r="L10">
        <f t="shared" si="3"/>
        <v>374.99999999999994</v>
      </c>
      <c r="M10" s="4">
        <f t="shared" si="4"/>
        <v>8.3383363351344133E-3</v>
      </c>
    </row>
    <row r="11" spans="1:16" x14ac:dyDescent="0.35">
      <c r="A11">
        <v>9681</v>
      </c>
      <c r="B11">
        <v>2024</v>
      </c>
      <c r="C11" t="s">
        <v>49</v>
      </c>
      <c r="D11">
        <v>88</v>
      </c>
      <c r="E11" t="s">
        <v>31</v>
      </c>
      <c r="F11">
        <v>300</v>
      </c>
      <c r="G11" s="4">
        <v>50311</v>
      </c>
      <c r="H11" s="1">
        <f t="shared" si="0"/>
        <v>5.9629106954741506E-3</v>
      </c>
      <c r="I11" s="3">
        <v>150000000</v>
      </c>
      <c r="J11">
        <f t="shared" si="1"/>
        <v>1.4999999999999998</v>
      </c>
      <c r="K11">
        <f t="shared" si="2"/>
        <v>149.99999999999997</v>
      </c>
      <c r="L11">
        <f t="shared" si="3"/>
        <v>449.99999999999994</v>
      </c>
      <c r="M11" s="4">
        <f t="shared" si="4"/>
        <v>8.944366043211225E-3</v>
      </c>
    </row>
    <row r="12" spans="1:16" x14ac:dyDescent="0.35">
      <c r="A12">
        <v>9685</v>
      </c>
      <c r="B12">
        <v>2024</v>
      </c>
      <c r="C12" t="s">
        <v>52</v>
      </c>
      <c r="D12">
        <v>89</v>
      </c>
      <c r="E12" t="s">
        <v>31</v>
      </c>
      <c r="F12">
        <v>300</v>
      </c>
      <c r="G12" s="4">
        <v>73303</v>
      </c>
      <c r="H12" s="1">
        <f t="shared" si="0"/>
        <v>4.0926019398933198E-3</v>
      </c>
      <c r="I12" s="3">
        <v>150000000</v>
      </c>
      <c r="J12">
        <f t="shared" si="1"/>
        <v>1.4999999999999998</v>
      </c>
      <c r="K12">
        <f t="shared" si="2"/>
        <v>149.99999999999997</v>
      </c>
      <c r="L12">
        <f t="shared" si="3"/>
        <v>449.99999999999994</v>
      </c>
      <c r="M12" s="4">
        <f t="shared" si="4"/>
        <v>6.1389029098399784E-3</v>
      </c>
    </row>
    <row r="13" spans="1:16" x14ac:dyDescent="0.35">
      <c r="A13">
        <v>9686</v>
      </c>
      <c r="B13">
        <v>2024</v>
      </c>
      <c r="C13" t="s">
        <v>53</v>
      </c>
      <c r="D13">
        <v>90</v>
      </c>
      <c r="E13" t="s">
        <v>31</v>
      </c>
      <c r="F13">
        <v>300</v>
      </c>
      <c r="G13" s="4">
        <v>50270</v>
      </c>
      <c r="H13" s="1">
        <f t="shared" si="0"/>
        <v>5.967774020290432E-3</v>
      </c>
      <c r="I13" s="3">
        <v>150000000</v>
      </c>
      <c r="J13">
        <f t="shared" si="1"/>
        <v>1.4999999999999998</v>
      </c>
      <c r="K13">
        <f t="shared" si="2"/>
        <v>149.99999999999997</v>
      </c>
      <c r="L13">
        <f t="shared" si="3"/>
        <v>449.99999999999994</v>
      </c>
      <c r="M13" s="4">
        <f t="shared" si="4"/>
        <v>8.9516610304356467E-3</v>
      </c>
    </row>
    <row r="14" spans="1:16" x14ac:dyDescent="0.35">
      <c r="A14">
        <v>9896</v>
      </c>
      <c r="B14">
        <v>2024</v>
      </c>
      <c r="C14" t="s">
        <v>49</v>
      </c>
      <c r="D14">
        <v>153</v>
      </c>
      <c r="E14" t="s">
        <v>31</v>
      </c>
      <c r="F14">
        <v>150</v>
      </c>
      <c r="G14" s="4">
        <v>32055</v>
      </c>
      <c r="H14" s="1">
        <f t="shared" si="0"/>
        <v>4.679457182966776E-3</v>
      </c>
      <c r="I14" s="3">
        <v>150000000</v>
      </c>
      <c r="J14">
        <f t="shared" si="1"/>
        <v>1.4999999999999998</v>
      </c>
      <c r="K14">
        <f t="shared" si="2"/>
        <v>149.99999999999997</v>
      </c>
      <c r="L14">
        <f t="shared" si="3"/>
        <v>224.99999999999997</v>
      </c>
      <c r="M14" s="4">
        <f t="shared" si="4"/>
        <v>7.0191857744501627E-3</v>
      </c>
    </row>
    <row r="15" spans="1:16" x14ac:dyDescent="0.35">
      <c r="A15">
        <v>9646</v>
      </c>
      <c r="B15">
        <v>2024</v>
      </c>
      <c r="C15" t="s">
        <v>49</v>
      </c>
      <c r="D15">
        <v>83</v>
      </c>
      <c r="E15" t="s">
        <v>31</v>
      </c>
      <c r="F15">
        <v>300</v>
      </c>
      <c r="G15" s="4">
        <v>54838</v>
      </c>
      <c r="H15" s="1">
        <f t="shared" si="0"/>
        <v>5.470659032058062E-3</v>
      </c>
      <c r="I15">
        <f>170*1000000</f>
        <v>170000000</v>
      </c>
      <c r="J15">
        <f t="shared" si="1"/>
        <v>1.7</v>
      </c>
      <c r="K15">
        <f t="shared" si="2"/>
        <v>170</v>
      </c>
      <c r="L15">
        <f t="shared" si="3"/>
        <v>510</v>
      </c>
      <c r="M15" s="4">
        <f t="shared" si="4"/>
        <v>9.300120354498705E-3</v>
      </c>
    </row>
    <row r="16" spans="1:16" x14ac:dyDescent="0.35">
      <c r="A16">
        <v>9947</v>
      </c>
      <c r="B16">
        <v>2024</v>
      </c>
      <c r="C16" t="s">
        <v>49</v>
      </c>
      <c r="D16">
        <v>248</v>
      </c>
      <c r="E16" t="s">
        <v>31</v>
      </c>
      <c r="F16">
        <v>150</v>
      </c>
      <c r="G16" s="4">
        <v>16335</v>
      </c>
      <c r="H16" s="1">
        <f t="shared" si="0"/>
        <v>9.1827364554637279E-3</v>
      </c>
      <c r="I16" s="3">
        <v>200000000</v>
      </c>
      <c r="J16">
        <f t="shared" si="1"/>
        <v>2</v>
      </c>
      <c r="K16">
        <f t="shared" si="2"/>
        <v>200</v>
      </c>
      <c r="L16">
        <f t="shared" si="3"/>
        <v>300</v>
      </c>
      <c r="M16" s="4">
        <f t="shared" si="4"/>
        <v>1.8365472910927456E-2</v>
      </c>
    </row>
    <row r="17" spans="1:13" x14ac:dyDescent="0.35">
      <c r="A17">
        <v>10438</v>
      </c>
      <c r="B17">
        <v>2025</v>
      </c>
      <c r="C17" t="s">
        <v>34</v>
      </c>
      <c r="D17">
        <v>55</v>
      </c>
      <c r="E17" t="s">
        <v>35</v>
      </c>
      <c r="F17">
        <v>300</v>
      </c>
      <c r="G17">
        <v>64346</v>
      </c>
      <c r="H17" s="1">
        <f t="shared" si="0"/>
        <v>4.6622944705187576E-3</v>
      </c>
      <c r="I17">
        <f>406*1000000</f>
        <v>406000000</v>
      </c>
      <c r="J17">
        <f t="shared" si="1"/>
        <v>4.0599999999999996</v>
      </c>
      <c r="K17">
        <f t="shared" si="2"/>
        <v>405.99999999999994</v>
      </c>
      <c r="L17">
        <f t="shared" si="3"/>
        <v>1217.9999999999998</v>
      </c>
      <c r="M17" s="4">
        <f t="shared" si="4"/>
        <v>1.8928915550306152E-2</v>
      </c>
    </row>
    <row r="18" spans="1:13" x14ac:dyDescent="0.35">
      <c r="A18">
        <v>10992</v>
      </c>
      <c r="B18">
        <v>2025</v>
      </c>
      <c r="C18" t="s">
        <v>30</v>
      </c>
      <c r="D18">
        <v>29</v>
      </c>
      <c r="E18" t="s">
        <v>31</v>
      </c>
      <c r="F18">
        <v>300</v>
      </c>
      <c r="G18">
        <v>68814</v>
      </c>
      <c r="H18" s="1">
        <f t="shared" si="0"/>
        <v>4.3595779928502923E-3</v>
      </c>
      <c r="I18">
        <f>426*1000000</f>
        <v>426000000</v>
      </c>
      <c r="J18">
        <f t="shared" si="1"/>
        <v>4.26</v>
      </c>
      <c r="K18">
        <f t="shared" si="2"/>
        <v>426</v>
      </c>
      <c r="L18">
        <f t="shared" si="3"/>
        <v>1278</v>
      </c>
      <c r="M18" s="4">
        <f t="shared" si="4"/>
        <v>1.8571802249542243E-2</v>
      </c>
    </row>
    <row r="19" spans="1:13" x14ac:dyDescent="0.35">
      <c r="A19">
        <v>10876</v>
      </c>
      <c r="B19">
        <v>2025</v>
      </c>
      <c r="C19" t="s">
        <v>30</v>
      </c>
      <c r="D19">
        <v>55</v>
      </c>
      <c r="E19" t="s">
        <v>31</v>
      </c>
      <c r="F19">
        <v>300</v>
      </c>
      <c r="G19">
        <v>70787</v>
      </c>
      <c r="H19" s="1">
        <f t="shared" si="0"/>
        <v>4.2380663116108894E-3</v>
      </c>
      <c r="I19">
        <f>426*1000000</f>
        <v>426000000</v>
      </c>
      <c r="J19">
        <f t="shared" si="1"/>
        <v>4.26</v>
      </c>
      <c r="K19">
        <f t="shared" si="2"/>
        <v>426</v>
      </c>
      <c r="L19">
        <f t="shared" si="3"/>
        <v>1278</v>
      </c>
      <c r="M19" s="4">
        <f t="shared" si="4"/>
        <v>1.8054162487462388E-2</v>
      </c>
    </row>
    <row r="20" spans="1:13" x14ac:dyDescent="0.35">
      <c r="A20">
        <v>10993</v>
      </c>
      <c r="B20">
        <v>2025</v>
      </c>
      <c r="C20" t="s">
        <v>30</v>
      </c>
      <c r="D20">
        <v>30</v>
      </c>
      <c r="E20" t="s">
        <v>31</v>
      </c>
      <c r="F20">
        <v>300</v>
      </c>
      <c r="G20">
        <v>71047</v>
      </c>
      <c r="H20" s="1">
        <f t="shared" si="0"/>
        <v>4.2225568989542137E-3</v>
      </c>
      <c r="I20">
        <f>426*1000000</f>
        <v>426000000</v>
      </c>
      <c r="J20">
        <f t="shared" si="1"/>
        <v>4.26</v>
      </c>
      <c r="K20">
        <f t="shared" si="2"/>
        <v>426</v>
      </c>
      <c r="L20">
        <f t="shared" si="3"/>
        <v>1278</v>
      </c>
      <c r="M20" s="4">
        <f t="shared" si="4"/>
        <v>1.7988092389544949E-2</v>
      </c>
    </row>
    <row r="21" spans="1:13" x14ac:dyDescent="0.35">
      <c r="A21">
        <v>10935</v>
      </c>
      <c r="B21">
        <v>2025</v>
      </c>
      <c r="C21" t="s">
        <v>30</v>
      </c>
      <c r="D21">
        <v>54</v>
      </c>
      <c r="E21" t="s">
        <v>31</v>
      </c>
      <c r="F21">
        <v>300</v>
      </c>
      <c r="G21">
        <v>62300</v>
      </c>
      <c r="H21" s="1">
        <f t="shared" si="0"/>
        <v>4.815409309791332E-3</v>
      </c>
      <c r="I21">
        <f>466*1000000</f>
        <v>466000000</v>
      </c>
      <c r="J21">
        <f t="shared" si="1"/>
        <v>4.66</v>
      </c>
      <c r="K21">
        <f t="shared" si="2"/>
        <v>466</v>
      </c>
      <c r="L21">
        <f t="shared" si="3"/>
        <v>1398</v>
      </c>
      <c r="M21" s="4">
        <f t="shared" si="4"/>
        <v>2.2439807383627608E-2</v>
      </c>
    </row>
    <row r="22" spans="1:13" x14ac:dyDescent="0.35">
      <c r="A22">
        <v>11152</v>
      </c>
      <c r="B22">
        <v>2025</v>
      </c>
      <c r="C22" t="s">
        <v>30</v>
      </c>
      <c r="D22">
        <v>47</v>
      </c>
      <c r="E22" t="s">
        <v>31</v>
      </c>
      <c r="F22">
        <v>250</v>
      </c>
      <c r="G22">
        <v>46608</v>
      </c>
      <c r="H22" s="1">
        <f t="shared" si="0"/>
        <v>5.3638860281496736E-3</v>
      </c>
      <c r="I22">
        <f>502*1000000</f>
        <v>502000000</v>
      </c>
      <c r="J22">
        <f t="shared" si="1"/>
        <v>5.0199999999999996</v>
      </c>
      <c r="K22">
        <f t="shared" si="2"/>
        <v>501.99999999999994</v>
      </c>
      <c r="L22">
        <f t="shared" si="3"/>
        <v>1255</v>
      </c>
      <c r="M22" s="4">
        <f t="shared" si="4"/>
        <v>2.6926707861311364E-2</v>
      </c>
    </row>
    <row r="23" spans="1:13" x14ac:dyDescent="0.35">
      <c r="A23">
        <v>11159</v>
      </c>
      <c r="B23">
        <v>2025</v>
      </c>
      <c r="C23" t="s">
        <v>32</v>
      </c>
      <c r="D23">
        <v>48</v>
      </c>
      <c r="E23" t="s">
        <v>33</v>
      </c>
      <c r="F23">
        <v>250</v>
      </c>
      <c r="G23">
        <v>48612</v>
      </c>
      <c r="H23" s="1">
        <f t="shared" si="0"/>
        <v>5.1427631037603882E-3</v>
      </c>
      <c r="I23">
        <f>502*1000000</f>
        <v>502000000</v>
      </c>
      <c r="J23">
        <f t="shared" si="1"/>
        <v>5.0199999999999996</v>
      </c>
      <c r="K23">
        <f t="shared" si="2"/>
        <v>501.99999999999994</v>
      </c>
      <c r="L23">
        <f t="shared" si="3"/>
        <v>1255</v>
      </c>
      <c r="M23" s="4">
        <f t="shared" si="4"/>
        <v>2.5816670780877151E-2</v>
      </c>
    </row>
    <row r="24" spans="1:13" x14ac:dyDescent="0.35">
      <c r="A24">
        <v>10727</v>
      </c>
      <c r="B24">
        <v>2025</v>
      </c>
      <c r="C24" t="s">
        <v>30</v>
      </c>
      <c r="D24">
        <v>51</v>
      </c>
      <c r="E24" t="s">
        <v>31</v>
      </c>
      <c r="F24">
        <v>250</v>
      </c>
      <c r="G24">
        <v>47773</v>
      </c>
      <c r="H24" s="1">
        <f t="shared" si="0"/>
        <v>5.2330814476796517E-3</v>
      </c>
      <c r="I24">
        <f>524*1000000</f>
        <v>524000000</v>
      </c>
      <c r="J24">
        <f t="shared" si="1"/>
        <v>5.24</v>
      </c>
      <c r="K24">
        <f t="shared" si="2"/>
        <v>524</v>
      </c>
      <c r="L24">
        <f t="shared" si="3"/>
        <v>1310</v>
      </c>
      <c r="M24" s="4">
        <f t="shared" si="4"/>
        <v>2.7421346785841374E-2</v>
      </c>
    </row>
    <row r="25" spans="1:13" x14ac:dyDescent="0.35">
      <c r="A25">
        <v>9922</v>
      </c>
      <c r="B25">
        <v>2024</v>
      </c>
      <c r="C25" t="s">
        <v>51</v>
      </c>
      <c r="D25">
        <v>44</v>
      </c>
      <c r="E25" t="s">
        <v>31</v>
      </c>
      <c r="F25">
        <v>150</v>
      </c>
      <c r="G25" s="4">
        <v>51360</v>
      </c>
      <c r="H25" s="1">
        <f t="shared" si="0"/>
        <v>2.9205607476635513E-3</v>
      </c>
      <c r="I25" s="3">
        <v>600000000</v>
      </c>
      <c r="J25">
        <f t="shared" si="1"/>
        <v>5.9999999999999991</v>
      </c>
      <c r="K25">
        <f t="shared" si="2"/>
        <v>599.99999999999989</v>
      </c>
      <c r="L25">
        <f t="shared" si="3"/>
        <v>899.99999999999989</v>
      </c>
      <c r="M25" s="4">
        <f t="shared" si="4"/>
        <v>1.7523364485981307E-2</v>
      </c>
    </row>
    <row r="26" spans="1:13" x14ac:dyDescent="0.35">
      <c r="A26">
        <v>9914</v>
      </c>
      <c r="B26">
        <v>2024</v>
      </c>
      <c r="C26" t="s">
        <v>49</v>
      </c>
      <c r="D26">
        <v>51</v>
      </c>
      <c r="E26" t="s">
        <v>31</v>
      </c>
      <c r="F26">
        <v>150</v>
      </c>
      <c r="G26" s="4">
        <v>49712</v>
      </c>
      <c r="H26" s="1">
        <f t="shared" si="0"/>
        <v>3.0173801094303186E-3</v>
      </c>
      <c r="I26" s="3">
        <v>600000000</v>
      </c>
      <c r="J26">
        <f t="shared" si="1"/>
        <v>5.9999999999999991</v>
      </c>
      <c r="K26">
        <f t="shared" si="2"/>
        <v>599.99999999999989</v>
      </c>
      <c r="L26">
        <f t="shared" si="3"/>
        <v>899.99999999999989</v>
      </c>
      <c r="M26" s="4">
        <f t="shared" si="4"/>
        <v>1.8104280656581911E-2</v>
      </c>
    </row>
    <row r="27" spans="1:13" x14ac:dyDescent="0.35">
      <c r="A27">
        <v>9916</v>
      </c>
      <c r="B27">
        <v>2024</v>
      </c>
      <c r="C27" t="s">
        <v>49</v>
      </c>
      <c r="D27">
        <v>62</v>
      </c>
      <c r="E27" t="s">
        <v>31</v>
      </c>
      <c r="F27">
        <v>300</v>
      </c>
      <c r="G27" s="4">
        <v>63553</v>
      </c>
      <c r="H27" s="1">
        <f t="shared" si="0"/>
        <v>4.7204695293691879E-3</v>
      </c>
      <c r="I27" s="3">
        <v>600000000</v>
      </c>
      <c r="J27">
        <f t="shared" si="1"/>
        <v>5.9999999999999991</v>
      </c>
      <c r="K27">
        <f t="shared" si="2"/>
        <v>599.99999999999989</v>
      </c>
      <c r="L27">
        <f t="shared" si="3"/>
        <v>1799.9999999999998</v>
      </c>
      <c r="M27" s="4">
        <f t="shared" si="4"/>
        <v>2.8322817176215122E-2</v>
      </c>
    </row>
    <row r="28" spans="1:13" x14ac:dyDescent="0.35">
      <c r="A28">
        <v>9915</v>
      </c>
      <c r="B28">
        <v>2024</v>
      </c>
      <c r="C28" t="s">
        <v>49</v>
      </c>
      <c r="D28">
        <v>41</v>
      </c>
      <c r="E28" t="s">
        <v>31</v>
      </c>
      <c r="F28">
        <v>150</v>
      </c>
      <c r="G28" s="4">
        <v>48763</v>
      </c>
      <c r="H28" s="1">
        <f t="shared" si="0"/>
        <v>3.0761027828476507E-3</v>
      </c>
      <c r="I28">
        <v>650000000</v>
      </c>
      <c r="J28">
        <f t="shared" si="1"/>
        <v>6.5</v>
      </c>
      <c r="K28">
        <f t="shared" si="2"/>
        <v>650</v>
      </c>
      <c r="L28">
        <f t="shared" si="3"/>
        <v>975</v>
      </c>
      <c r="M28" s="4">
        <f t="shared" si="4"/>
        <v>1.9994668088509731E-2</v>
      </c>
    </row>
    <row r="29" spans="1:13" x14ac:dyDescent="0.35">
      <c r="A29">
        <v>9917</v>
      </c>
      <c r="B29">
        <v>2024</v>
      </c>
      <c r="C29" t="s">
        <v>49</v>
      </c>
      <c r="D29">
        <v>129</v>
      </c>
      <c r="E29" t="s">
        <v>31</v>
      </c>
      <c r="F29">
        <v>100</v>
      </c>
      <c r="G29" s="4">
        <v>31848</v>
      </c>
      <c r="H29" s="1">
        <f t="shared" si="0"/>
        <v>3.1399145943230345E-3</v>
      </c>
      <c r="I29" s="3">
        <v>650000000</v>
      </c>
      <c r="J29">
        <f t="shared" si="1"/>
        <v>6.5</v>
      </c>
      <c r="K29">
        <f t="shared" si="2"/>
        <v>650</v>
      </c>
      <c r="L29">
        <f t="shared" si="3"/>
        <v>650</v>
      </c>
      <c r="M29" s="4">
        <f t="shared" si="4"/>
        <v>2.0409444863099722E-2</v>
      </c>
    </row>
    <row r="30" spans="1:13" x14ac:dyDescent="0.35">
      <c r="A30">
        <v>9828</v>
      </c>
      <c r="B30">
        <v>2024</v>
      </c>
      <c r="C30" t="s">
        <v>50</v>
      </c>
      <c r="D30">
        <v>36</v>
      </c>
      <c r="E30" t="s">
        <v>31</v>
      </c>
      <c r="F30">
        <v>200</v>
      </c>
      <c r="G30" s="4">
        <v>62448</v>
      </c>
      <c r="H30" s="1">
        <f t="shared" si="0"/>
        <v>3.2026646169613119E-3</v>
      </c>
      <c r="I30" s="4">
        <v>700000000</v>
      </c>
      <c r="J30">
        <f t="shared" si="1"/>
        <v>6.9999999999999991</v>
      </c>
      <c r="K30">
        <f t="shared" si="2"/>
        <v>699.99999999999989</v>
      </c>
      <c r="L30">
        <f t="shared" si="3"/>
        <v>1399.9999999999998</v>
      </c>
      <c r="M30" s="4">
        <f t="shared" si="4"/>
        <v>2.2418652318729179E-2</v>
      </c>
    </row>
    <row r="31" spans="1:13" x14ac:dyDescent="0.35">
      <c r="A31">
        <v>9832</v>
      </c>
      <c r="B31">
        <v>2024</v>
      </c>
      <c r="C31" t="s">
        <v>49</v>
      </c>
      <c r="D31">
        <v>37</v>
      </c>
      <c r="E31" t="s">
        <v>31</v>
      </c>
      <c r="F31">
        <v>180</v>
      </c>
      <c r="G31" s="4">
        <v>39029</v>
      </c>
      <c r="H31" s="1">
        <f t="shared" si="0"/>
        <v>4.6119552127904893E-3</v>
      </c>
      <c r="I31" s="4">
        <v>700000000</v>
      </c>
      <c r="J31">
        <f t="shared" si="1"/>
        <v>6.9999999999999991</v>
      </c>
      <c r="K31">
        <f t="shared" si="2"/>
        <v>699.99999999999989</v>
      </c>
      <c r="L31">
        <f t="shared" si="3"/>
        <v>1259.9999999999998</v>
      </c>
      <c r="M31" s="4">
        <f t="shared" si="4"/>
        <v>3.228368648953342E-2</v>
      </c>
    </row>
    <row r="32" spans="1:13" x14ac:dyDescent="0.35">
      <c r="A32">
        <v>9835</v>
      </c>
      <c r="B32">
        <v>2024</v>
      </c>
      <c r="C32" t="s">
        <v>49</v>
      </c>
      <c r="D32">
        <v>55</v>
      </c>
      <c r="E32" t="s">
        <v>31</v>
      </c>
      <c r="F32">
        <v>200</v>
      </c>
      <c r="G32" s="4">
        <v>56815</v>
      </c>
      <c r="H32" s="1">
        <f t="shared" si="0"/>
        <v>3.5201971310393383E-3</v>
      </c>
      <c r="I32" s="3">
        <v>700000000</v>
      </c>
      <c r="J32">
        <f t="shared" si="1"/>
        <v>6.9999999999999991</v>
      </c>
      <c r="K32">
        <f t="shared" si="2"/>
        <v>699.99999999999989</v>
      </c>
      <c r="L32">
        <f t="shared" si="3"/>
        <v>1399.9999999999998</v>
      </c>
      <c r="M32" s="4">
        <f t="shared" si="4"/>
        <v>2.4641379917275365E-2</v>
      </c>
    </row>
    <row r="33" spans="1:13" x14ac:dyDescent="0.35">
      <c r="A33">
        <v>9836</v>
      </c>
      <c r="B33">
        <v>2024</v>
      </c>
      <c r="C33" t="s">
        <v>49</v>
      </c>
      <c r="D33">
        <v>56</v>
      </c>
      <c r="E33" t="s">
        <v>31</v>
      </c>
      <c r="F33">
        <v>200</v>
      </c>
      <c r="G33" s="4">
        <v>56748</v>
      </c>
      <c r="H33" s="1">
        <f t="shared" si="0"/>
        <v>3.5243532811729049E-3</v>
      </c>
      <c r="I33" s="3">
        <v>700000000</v>
      </c>
      <c r="J33">
        <f t="shared" si="1"/>
        <v>6.9999999999999991</v>
      </c>
      <c r="K33">
        <f t="shared" si="2"/>
        <v>699.99999999999989</v>
      </c>
      <c r="L33">
        <f t="shared" si="3"/>
        <v>1399.9999999999998</v>
      </c>
      <c r="M33" s="4">
        <f t="shared" si="4"/>
        <v>2.467047296821033E-2</v>
      </c>
    </row>
    <row r="34" spans="1:13" x14ac:dyDescent="0.35">
      <c r="A34">
        <v>9812</v>
      </c>
      <c r="B34">
        <v>2024</v>
      </c>
      <c r="C34" t="s">
        <v>51</v>
      </c>
      <c r="D34">
        <v>84</v>
      </c>
      <c r="E34" t="s">
        <v>31</v>
      </c>
      <c r="F34">
        <v>300</v>
      </c>
      <c r="G34" s="4">
        <v>60243</v>
      </c>
      <c r="H34" s="1">
        <f t="shared" si="0"/>
        <v>4.9798316816891588E-3</v>
      </c>
      <c r="I34" s="3">
        <v>700000000</v>
      </c>
      <c r="J34">
        <f t="shared" si="1"/>
        <v>6.9999999999999991</v>
      </c>
      <c r="K34">
        <f t="shared" si="2"/>
        <v>699.99999999999989</v>
      </c>
      <c r="L34">
        <f t="shared" si="3"/>
        <v>2099.9999999999995</v>
      </c>
      <c r="M34" s="4">
        <f t="shared" si="4"/>
        <v>3.4858821771824103E-2</v>
      </c>
    </row>
    <row r="35" spans="1:13" x14ac:dyDescent="0.35">
      <c r="A35">
        <v>9831</v>
      </c>
      <c r="B35">
        <v>2024</v>
      </c>
      <c r="C35" t="s">
        <v>49</v>
      </c>
      <c r="D35">
        <v>148</v>
      </c>
      <c r="E35" t="s">
        <v>31</v>
      </c>
      <c r="F35">
        <v>100</v>
      </c>
      <c r="G35" s="4">
        <v>25914</v>
      </c>
      <c r="H35" s="1">
        <f t="shared" si="0"/>
        <v>3.8589179594041832E-3</v>
      </c>
      <c r="I35" s="3">
        <v>700000000</v>
      </c>
      <c r="J35">
        <f t="shared" si="1"/>
        <v>6.9999999999999991</v>
      </c>
      <c r="K35">
        <f t="shared" si="2"/>
        <v>699.99999999999989</v>
      </c>
      <c r="L35">
        <f t="shared" si="3"/>
        <v>699.99999999999989</v>
      </c>
      <c r="M35" s="4">
        <f t="shared" si="4"/>
        <v>2.7012425715829277E-2</v>
      </c>
    </row>
    <row r="36" spans="1:13" x14ac:dyDescent="0.35">
      <c r="A36">
        <v>9833</v>
      </c>
      <c r="B36">
        <v>2024</v>
      </c>
      <c r="C36" t="s">
        <v>49</v>
      </c>
      <c r="D36">
        <v>151</v>
      </c>
      <c r="E36" t="s">
        <v>31</v>
      </c>
      <c r="F36">
        <v>100</v>
      </c>
      <c r="G36" s="4">
        <v>36746</v>
      </c>
      <c r="H36" s="1">
        <f t="shared" si="0"/>
        <v>2.7213846405050889E-3</v>
      </c>
      <c r="I36" s="3">
        <v>700000000</v>
      </c>
      <c r="J36">
        <f t="shared" si="1"/>
        <v>6.9999999999999991</v>
      </c>
      <c r="K36">
        <f t="shared" si="2"/>
        <v>699.99999999999989</v>
      </c>
      <c r="L36">
        <f t="shared" si="3"/>
        <v>699.99999999999989</v>
      </c>
      <c r="M36" s="4">
        <f t="shared" si="4"/>
        <v>1.9049692483535621E-2</v>
      </c>
    </row>
    <row r="37" spans="1:13" x14ac:dyDescent="0.35">
      <c r="A37">
        <v>9834</v>
      </c>
      <c r="B37">
        <v>2024</v>
      </c>
      <c r="C37" t="s">
        <v>49</v>
      </c>
      <c r="D37">
        <v>152</v>
      </c>
      <c r="E37" t="s">
        <v>31</v>
      </c>
      <c r="F37">
        <v>100</v>
      </c>
      <c r="G37" s="4">
        <v>25967</v>
      </c>
      <c r="H37" s="1">
        <f t="shared" si="0"/>
        <v>3.8510417067816843E-3</v>
      </c>
      <c r="I37" s="3">
        <v>700000000</v>
      </c>
      <c r="J37">
        <f t="shared" si="1"/>
        <v>6.9999999999999991</v>
      </c>
      <c r="K37">
        <f t="shared" si="2"/>
        <v>699.99999999999989</v>
      </c>
      <c r="L37">
        <f t="shared" si="3"/>
        <v>699.99999999999989</v>
      </c>
      <c r="M37" s="4">
        <f t="shared" si="4"/>
        <v>2.6957291947471786E-2</v>
      </c>
    </row>
    <row r="38" spans="1:13" x14ac:dyDescent="0.35">
      <c r="A38">
        <v>10779</v>
      </c>
      <c r="B38">
        <v>2025</v>
      </c>
      <c r="C38" t="s">
        <v>30</v>
      </c>
      <c r="D38">
        <v>37</v>
      </c>
      <c r="E38" t="s">
        <v>31</v>
      </c>
      <c r="F38">
        <v>250</v>
      </c>
      <c r="G38">
        <v>51661</v>
      </c>
      <c r="H38" s="1">
        <f t="shared" si="0"/>
        <v>4.8392404328216647E-3</v>
      </c>
      <c r="I38">
        <f>728*1000000</f>
        <v>728000000</v>
      </c>
      <c r="J38">
        <f t="shared" si="1"/>
        <v>7.2799999999999994</v>
      </c>
      <c r="K38">
        <f t="shared" si="2"/>
        <v>727.99999999999989</v>
      </c>
      <c r="L38">
        <f t="shared" si="3"/>
        <v>1819.9999999999998</v>
      </c>
      <c r="M38" s="4">
        <f t="shared" si="4"/>
        <v>3.5229670350941711E-2</v>
      </c>
    </row>
    <row r="39" spans="1:13" x14ac:dyDescent="0.35">
      <c r="A39">
        <v>10855</v>
      </c>
      <c r="B39">
        <v>2025</v>
      </c>
      <c r="C39" t="s">
        <v>30</v>
      </c>
      <c r="D39">
        <v>35</v>
      </c>
      <c r="E39" t="s">
        <v>31</v>
      </c>
      <c r="F39">
        <v>300</v>
      </c>
      <c r="G39">
        <v>65270</v>
      </c>
      <c r="H39" s="1">
        <f t="shared" si="0"/>
        <v>4.5962923241918184E-3</v>
      </c>
      <c r="I39">
        <f>960*1000000</f>
        <v>960000000</v>
      </c>
      <c r="J39">
        <f t="shared" si="1"/>
        <v>9.6</v>
      </c>
      <c r="K39">
        <f t="shared" si="2"/>
        <v>960</v>
      </c>
      <c r="L39">
        <f t="shared" si="3"/>
        <v>2880</v>
      </c>
      <c r="M39" s="4">
        <f t="shared" si="4"/>
        <v>4.412440631224146E-2</v>
      </c>
    </row>
    <row r="40" spans="1:13" x14ac:dyDescent="0.35">
      <c r="A40">
        <v>10854</v>
      </c>
      <c r="B40">
        <v>2025</v>
      </c>
      <c r="C40" t="s">
        <v>30</v>
      </c>
      <c r="D40">
        <v>33</v>
      </c>
      <c r="E40" t="s">
        <v>31</v>
      </c>
      <c r="F40">
        <v>300</v>
      </c>
      <c r="G40">
        <v>65296</v>
      </c>
      <c r="H40" s="1">
        <f t="shared" si="0"/>
        <v>4.5944621416319532E-3</v>
      </c>
      <c r="I40">
        <f>960*1000000</f>
        <v>960000000</v>
      </c>
      <c r="J40">
        <f t="shared" si="1"/>
        <v>9.6</v>
      </c>
      <c r="K40">
        <f t="shared" si="2"/>
        <v>960</v>
      </c>
      <c r="L40">
        <f t="shared" si="3"/>
        <v>2880</v>
      </c>
      <c r="M40" s="4">
        <f t="shared" si="4"/>
        <v>4.4106836559666747E-2</v>
      </c>
    </row>
    <row r="41" spans="1:13" x14ac:dyDescent="0.35">
      <c r="A41">
        <v>9925</v>
      </c>
      <c r="B41">
        <v>2024</v>
      </c>
      <c r="C41" t="s">
        <v>51</v>
      </c>
      <c r="D41">
        <v>130</v>
      </c>
      <c r="E41" t="s">
        <v>31</v>
      </c>
      <c r="F41">
        <v>100</v>
      </c>
      <c r="G41" s="4">
        <v>28689</v>
      </c>
      <c r="H41" s="1">
        <f t="shared" si="0"/>
        <v>3.4856565234061836E-3</v>
      </c>
      <c r="I41" s="3">
        <v>1000000000</v>
      </c>
      <c r="J41">
        <f t="shared" si="1"/>
        <v>10</v>
      </c>
      <c r="K41">
        <f t="shared" si="2"/>
        <v>1000</v>
      </c>
      <c r="L41">
        <f t="shared" si="3"/>
        <v>1000</v>
      </c>
      <c r="M41" s="4">
        <f t="shared" si="4"/>
        <v>3.4856565234061838E-2</v>
      </c>
    </row>
    <row r="42" spans="1:13" x14ac:dyDescent="0.35">
      <c r="A42">
        <v>9924</v>
      </c>
      <c r="B42">
        <v>2024</v>
      </c>
      <c r="C42" t="s">
        <v>54</v>
      </c>
      <c r="D42">
        <v>146</v>
      </c>
      <c r="E42" t="s">
        <v>31</v>
      </c>
      <c r="F42">
        <v>100</v>
      </c>
      <c r="G42" s="4">
        <v>32864</v>
      </c>
      <c r="H42" s="1">
        <f t="shared" si="0"/>
        <v>3.0428432327166506E-3</v>
      </c>
      <c r="I42" s="3">
        <v>1000000000</v>
      </c>
      <c r="J42">
        <f t="shared" si="1"/>
        <v>10</v>
      </c>
      <c r="K42">
        <f t="shared" si="2"/>
        <v>1000</v>
      </c>
      <c r="L42">
        <f t="shared" si="3"/>
        <v>1000</v>
      </c>
      <c r="M42" s="4">
        <f t="shared" si="4"/>
        <v>3.0428432327166504E-2</v>
      </c>
    </row>
    <row r="43" spans="1:13" x14ac:dyDescent="0.35">
      <c r="H43" s="1"/>
      <c r="M43" s="2"/>
    </row>
    <row r="44" spans="1:13" x14ac:dyDescent="0.35">
      <c r="H44" s="1">
        <f>AVERAGE(H2:H42)</f>
        <v>4.5610713795469814E-3</v>
      </c>
      <c r="L44">
        <f>AVERAGE(L2:L42)</f>
        <v>998.41463414634143</v>
      </c>
      <c r="M44" s="4">
        <f>AVERAGE(M2:M42)</f>
        <v>1.9662820394022663E-2</v>
      </c>
    </row>
    <row r="45" spans="1:13" x14ac:dyDescent="0.35">
      <c r="H45" s="1">
        <f>_xlfn.STDEV.S(H2:H42)</f>
        <v>1.3489634611734888E-3</v>
      </c>
      <c r="L45">
        <f>_xlfn.STDEV.S(L2:L42)</f>
        <v>644.2864648434637</v>
      </c>
      <c r="M45" s="4">
        <f>_xlfn.STDEV.S(M2:M42)</f>
        <v>1.0836442792248406E-2</v>
      </c>
    </row>
  </sheetData>
  <autoFilter ref="A1:M1" xr:uid="{A62F44D8-7C26-4194-9118-8FBDDFC5DF31}">
    <sortState xmlns:xlrd2="http://schemas.microsoft.com/office/spreadsheetml/2017/richdata2" ref="A2:M42">
      <sortCondition ref="I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Cabernet Sauvignon</vt:lpstr>
      <vt:lpstr>Cot Malbec</vt:lpstr>
      <vt:lpstr>Syrah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</dc:creator>
  <cp:lastModifiedBy>María Fernanda Folch Díaz</cp:lastModifiedBy>
  <dcterms:created xsi:type="dcterms:W3CDTF">2015-06-05T18:19:34Z</dcterms:created>
  <dcterms:modified xsi:type="dcterms:W3CDTF">2026-01-28T15:24:45Z</dcterms:modified>
</cp:coreProperties>
</file>