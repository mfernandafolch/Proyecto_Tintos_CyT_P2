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_model2\optimizacion_pymoo\resultados_cv_pymoo_100k_20260525_153533\"/>
    </mc:Choice>
  </mc:AlternateContent>
  <xr:revisionPtr revIDLastSave="0" documentId="13_ncr:1_{041A4947-48D6-4EA8-B67C-B9EFC4BD7DE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ltados" sheetId="1" r:id="rId1"/>
    <sheet name="resultados (2)" sheetId="3" r:id="rId2"/>
  </sheets>
  <definedNames>
    <definedName name="_xlchart.v1.0" hidden="1">resultados!$A$2:$N$2</definedName>
    <definedName name="_xlchart.v1.1" hidden="1">resultados!$A$3:$N$3</definedName>
    <definedName name="_xlchart.v1.10" hidden="1">resultados!$O$6:$Y$6</definedName>
    <definedName name="_xlchart.v1.11" hidden="1">resultados!$Y$2:$Y$6</definedName>
    <definedName name="_xlchart.v1.12" hidden="1">resultados!$X$2:$X$6</definedName>
    <definedName name="_xlchart.v1.13" hidden="1">resultados!$W$2:$W$6</definedName>
    <definedName name="_xlchart.v1.14" hidden="1">resultados!$X$2:$X$6</definedName>
    <definedName name="_xlchart.v1.15" hidden="1">resultados!$V$2:$V$6</definedName>
    <definedName name="_xlchart.v1.16" hidden="1">'resultados (2)'!$W$2:$W$6</definedName>
    <definedName name="_xlchart.v1.17" hidden="1">'resultados (2)'!$V$2:$V$6</definedName>
    <definedName name="_xlchart.v1.18" hidden="1">'resultados (2)'!$X$2:$X$6</definedName>
    <definedName name="_xlchart.v1.19" hidden="1">'resultados (2)'!$Y$2:$Y$6</definedName>
    <definedName name="_xlchart.v1.2" hidden="1">resultados!$A$4:$N$4</definedName>
    <definedName name="_xlchart.v1.3" hidden="1">resultados!$A$5:$N$5</definedName>
    <definedName name="_xlchart.v1.4" hidden="1">resultados!$A$6:$N$6</definedName>
    <definedName name="_xlchart.v1.5" hidden="1">resultados!$O$1:$Y$1</definedName>
    <definedName name="_xlchart.v1.6" hidden="1">resultados!$O$2:$Y$2</definedName>
    <definedName name="_xlchart.v1.7" hidden="1">resultados!$O$3:$Y$3</definedName>
    <definedName name="_xlchart.v1.8" hidden="1">resultados!$O$4:$Y$4</definedName>
    <definedName name="_xlchart.v1.9" hidden="1">resultados!$O$5:$Y$5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3" l="1"/>
  <c r="X8" i="3"/>
  <c r="Y8" i="3"/>
  <c r="W9" i="3"/>
  <c r="X9" i="3"/>
  <c r="Y9" i="3"/>
  <c r="W10" i="3"/>
  <c r="X10" i="3"/>
  <c r="Y10" i="3"/>
  <c r="V10" i="3"/>
  <c r="V9" i="3"/>
  <c r="V8" i="3"/>
</calcChain>
</file>

<file path=xl/sharedStrings.xml><?xml version="1.0" encoding="utf-8"?>
<sst xmlns="http://schemas.openxmlformats.org/spreadsheetml/2006/main" count="110" uniqueCount="42">
  <si>
    <t>iteracion</t>
  </si>
  <si>
    <t>hora_fin</t>
  </si>
  <si>
    <t>duracion_s</t>
  </si>
  <si>
    <t>duracion_min</t>
  </si>
  <si>
    <t>ids_ajuste</t>
  </si>
  <si>
    <t>ids_validacion</t>
  </si>
  <si>
    <t>ids_separados</t>
  </si>
  <si>
    <t>nombres_ajuste</t>
  </si>
  <si>
    <t>nombres_validacion</t>
  </si>
  <si>
    <t>nombres_separados</t>
  </si>
  <si>
    <t>costo_ajuste</t>
  </si>
  <si>
    <t>costo_validacion</t>
  </si>
  <si>
    <t>costo_total</t>
  </si>
  <si>
    <t>stop_reason</t>
  </si>
  <si>
    <t>stop_iteration</t>
  </si>
  <si>
    <t>final_ratio</t>
  </si>
  <si>
    <t>umbral_relativo</t>
  </si>
  <si>
    <t>max_epoch</t>
  </si>
  <si>
    <t>mu0</t>
  </si>
  <si>
    <t>kd0</t>
  </si>
  <si>
    <t>betaS0</t>
  </si>
  <si>
    <t>Kn</t>
  </si>
  <si>
    <t>Yxn</t>
  </si>
  <si>
    <t>Yes</t>
  </si>
  <si>
    <t>Ks</t>
  </si>
  <si>
    <t>2026-05-25 19:53:35</t>
  </si>
  <si>
    <t>2,6,7,9,12</t>
  </si>
  <si>
    <t>3,4,11,14</t>
  </si>
  <si>
    <t>Data CS 24 LOU estanque 54.xlsx | Data SY 24 VAL+STARAQ estanque 56.xlsx | Data SY 24 LOU estanque 62.xlsx | Data ME 25 Q. AGUA estanque 85.xlsx | Data ME 25 STA MARTA estanque 62.xlsx</t>
  </si>
  <si>
    <t>Data CS 25 EL BOLDO estanque 55.xlsx | Data CS 25 LOU estanque 61.xlsx | Data ME 25 AURORA + STA MARTA estanque 57.xlsx | Data CA 24 VAL estanque 59.xlsx</t>
  </si>
  <si>
    <t>2026-05-25 20:33:53</t>
  </si>
  <si>
    <t>1,2,6,10,15</t>
  </si>
  <si>
    <t>Data CS 24 EL BOLDO estanque 30.xlsx | Data CS 24 LOU estanque 54.xlsx | Data SY 24 VAL+STARAQ estanque 56.xlsx | Data ME 24 QAGUA estanque 54.xlsx | Data CA 24 VAL estanque 62.xlsx</t>
  </si>
  <si>
    <t>2026-05-25 19:32:02</t>
  </si>
  <si>
    <t>5,7,13,15,16</t>
  </si>
  <si>
    <t>Data SY 24 LOU+VAL+FN estanque 36.xlsx | Data SY 24 LOU estanque 62.xlsx | Data CA 24 VAL estanque 31.xlsx | Data CA 24 VAL estanque 62.xlsx | Data CA 25 F.N. estanque 68.xlsx</t>
  </si>
  <si>
    <t>2026-05-25 19:09:45</t>
  </si>
  <si>
    <t>9,12,13,15,16</t>
  </si>
  <si>
    <t>Data ME 25 Q. AGUA estanque 85.xlsx | Data ME 25 STA MARTA estanque 62.xlsx | Data CA 24 VAL estanque 31.xlsx | Data CA 24 VAL estanque 62.xlsx | Data CA 25 F.N. estanque 68.xlsx</t>
  </si>
  <si>
    <t>2026-05-25 19:46:10</t>
  </si>
  <si>
    <t>1,6,8,10,16</t>
  </si>
  <si>
    <t>Data CS 24 EL BOLDO estanque 30.xlsx | Data SY 24 VAL+STARAQ estanque 56.xlsx | Data SY 25 LOU estanque 30.xlsx | Data ME 24 QAGUA estanque 54.xlsx | Data CA 25 F.N. estanque 68.xlsx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</si>
</sst>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/>
    <cx:plotArea>
      <cx:plotAreaRegion>
        <cx:series layoutId="boxWhisker" uniqueId="{525DB755-ED5E-4FD6-B1CB-F4CE4B6DF4A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/>
    <cx:plotArea>
      <cx:plotAreaRegion>
        <cx:series layoutId="boxWhisker" uniqueId="{D8BA3A23-3280-4AE2-993C-DA80D35BDF6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/>
    <cx:plotArea>
      <cx:plotAreaRegion>
        <cx:series layoutId="boxWhisker" uniqueId="{938C8C0C-3573-4301-9632-A1A9696F3A9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boxWhisker" uniqueId="{BCF6D170-5853-4408-BB81-5C4B8EE9663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/>
    <cx:plotArea>
      <cx:plotAreaRegion>
        <cx:series layoutId="boxWhisker" uniqueId="{525DB755-ED5E-4FD6-B1CB-F4CE4B6DF4A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/>
    <cx:plotArea>
      <cx:plotAreaRegion>
        <cx:series layoutId="boxWhisker" uniqueId="{D8BA3A23-3280-4AE2-993C-DA80D35BDF6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/>
    <cx:plotArea>
      <cx:plotAreaRegion>
        <cx:series layoutId="boxWhisker" uniqueId="{938C8C0C-3573-4301-9632-A1A9696F3A9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/>
    <cx:plotArea>
      <cx:plotAreaRegion>
        <cx:series layoutId="boxWhisker" uniqueId="{BCF6D170-5853-4408-BB81-5C4B8EE9663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441960</xdr:colOff>
      <xdr:row>7</xdr:row>
      <xdr:rowOff>64770</xdr:rowOff>
    </xdr:from>
    <xdr:to>
      <xdr:col>21</xdr:col>
      <xdr:colOff>594360</xdr:colOff>
      <xdr:row>22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E500FD9-DF81-20C1-2E2A-1C7DF075A0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5160" y="1344930"/>
              <a:ext cx="2590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91440</xdr:colOff>
      <xdr:row>7</xdr:row>
      <xdr:rowOff>49530</xdr:rowOff>
    </xdr:from>
    <xdr:to>
      <xdr:col>25</xdr:col>
      <xdr:colOff>457200</xdr:colOff>
      <xdr:row>22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AD89F26-916B-EBB6-2ECC-3897F98AB0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02640" y="132969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502920</xdr:colOff>
      <xdr:row>7</xdr:row>
      <xdr:rowOff>34290</xdr:rowOff>
    </xdr:from>
    <xdr:to>
      <xdr:col>29</xdr:col>
      <xdr:colOff>487680</xdr:colOff>
      <xdr:row>22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3C9FD85-773C-D51D-08FE-C78034A2E7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42920" y="1314450"/>
              <a:ext cx="24231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502920</xdr:colOff>
      <xdr:row>6</xdr:row>
      <xdr:rowOff>171450</xdr:rowOff>
    </xdr:from>
    <xdr:to>
      <xdr:col>33</xdr:col>
      <xdr:colOff>266700</xdr:colOff>
      <xdr:row>21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D3DEA80-2E0F-1B70-7575-44C77AE2A3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81320" y="1268730"/>
              <a:ext cx="22021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350520</xdr:colOff>
      <xdr:row>10</xdr:row>
      <xdr:rowOff>102870</xdr:rowOff>
    </xdr:from>
    <xdr:to>
      <xdr:col>21</xdr:col>
      <xdr:colOff>502920</xdr:colOff>
      <xdr:row>25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5DBBB16-690F-418F-875A-1DA62227EA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3720" y="1931670"/>
              <a:ext cx="2590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571500</xdr:colOff>
      <xdr:row>10</xdr:row>
      <xdr:rowOff>118110</xdr:rowOff>
    </xdr:from>
    <xdr:to>
      <xdr:col>25</xdr:col>
      <xdr:colOff>327660</xdr:colOff>
      <xdr:row>25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DE20B71-EAA6-43DA-8015-0814D46002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73100" y="1946910"/>
              <a:ext cx="2194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388620</xdr:colOff>
      <xdr:row>10</xdr:row>
      <xdr:rowOff>102870</xdr:rowOff>
    </xdr:from>
    <xdr:to>
      <xdr:col>29</xdr:col>
      <xdr:colOff>373380</xdr:colOff>
      <xdr:row>25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043876A-3993-4BE1-AC99-7145CD5779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28620" y="1931670"/>
              <a:ext cx="24231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426720</xdr:colOff>
      <xdr:row>10</xdr:row>
      <xdr:rowOff>125730</xdr:rowOff>
    </xdr:from>
    <xdr:to>
      <xdr:col>33</xdr:col>
      <xdr:colOff>190500</xdr:colOff>
      <xdr:row>25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8B498FC-F99C-48D1-94B8-813E9DFC9B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05120" y="1954530"/>
              <a:ext cx="22021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opLeftCell="L1" workbookViewId="0">
      <selection activeCell="N28" sqref="N28"/>
    </sheetView>
  </sheetViews>
  <sheetFormatPr baseColWidth="10" defaultColWidth="8.88671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>
        <v>15471.3633562</v>
      </c>
      <c r="D2">
        <v>257.85605593666668</v>
      </c>
      <c r="E2" t="s">
        <v>26</v>
      </c>
      <c r="G2" t="s">
        <v>27</v>
      </c>
      <c r="H2" t="s">
        <v>28</v>
      </c>
      <c r="J2" t="s">
        <v>29</v>
      </c>
      <c r="K2">
        <v>3.4002488435168607E-2</v>
      </c>
      <c r="L2">
        <v>0</v>
      </c>
      <c r="M2">
        <v>3.4002488435168607E-2</v>
      </c>
      <c r="N2" t="s">
        <v>17</v>
      </c>
      <c r="O2">
        <v>3001</v>
      </c>
      <c r="P2">
        <v>1.160065340932191E-4</v>
      </c>
      <c r="Q2">
        <v>1E-4</v>
      </c>
      <c r="R2">
        <v>3000</v>
      </c>
      <c r="S2">
        <v>1</v>
      </c>
      <c r="T2">
        <v>1</v>
      </c>
      <c r="U2">
        <v>1</v>
      </c>
      <c r="V2">
        <v>1.000651355853685E-3</v>
      </c>
      <c r="W2">
        <v>17.682107447162458</v>
      </c>
      <c r="X2">
        <v>0.38841017229671182</v>
      </c>
      <c r="Y2">
        <v>14.93618506337028</v>
      </c>
    </row>
    <row r="3" spans="1:25" x14ac:dyDescent="0.3">
      <c r="A3">
        <v>2</v>
      </c>
      <c r="B3" t="s">
        <v>30</v>
      </c>
      <c r="C3">
        <v>17889.761337200001</v>
      </c>
      <c r="D3">
        <v>298.16268895333332</v>
      </c>
      <c r="E3" t="s">
        <v>31</v>
      </c>
      <c r="G3" t="s">
        <v>27</v>
      </c>
      <c r="H3" t="s">
        <v>32</v>
      </c>
      <c r="J3" t="s">
        <v>29</v>
      </c>
      <c r="K3">
        <v>2.3094880861104609E-2</v>
      </c>
      <c r="L3">
        <v>0</v>
      </c>
      <c r="M3">
        <v>2.3094880861104609E-2</v>
      </c>
      <c r="N3" t="s">
        <v>17</v>
      </c>
      <c r="O3">
        <v>3001</v>
      </c>
      <c r="P3">
        <v>1.2644160368509799E-3</v>
      </c>
      <c r="Q3">
        <v>1E-4</v>
      </c>
      <c r="R3">
        <v>3000</v>
      </c>
      <c r="S3">
        <v>1</v>
      </c>
      <c r="T3">
        <v>1</v>
      </c>
      <c r="U3">
        <v>1</v>
      </c>
      <c r="V3">
        <v>1.0008337586269931E-3</v>
      </c>
      <c r="W3">
        <v>19.601667329061218</v>
      </c>
      <c r="X3">
        <v>0.36124594824033468</v>
      </c>
      <c r="Y3">
        <v>19.60016406926405</v>
      </c>
    </row>
    <row r="4" spans="1:25" x14ac:dyDescent="0.3">
      <c r="A4">
        <v>3</v>
      </c>
      <c r="B4" t="s">
        <v>33</v>
      </c>
      <c r="C4">
        <v>14178.406961999999</v>
      </c>
      <c r="D4">
        <v>236.30678270000001</v>
      </c>
      <c r="E4" t="s">
        <v>34</v>
      </c>
      <c r="G4" t="s">
        <v>27</v>
      </c>
      <c r="H4" t="s">
        <v>35</v>
      </c>
      <c r="J4" t="s">
        <v>29</v>
      </c>
      <c r="K4">
        <v>1.8587351559349461E-2</v>
      </c>
      <c r="L4">
        <v>0</v>
      </c>
      <c r="M4">
        <v>1.8587351559349461E-2</v>
      </c>
      <c r="N4" t="s">
        <v>17</v>
      </c>
      <c r="O4">
        <v>3001</v>
      </c>
      <c r="P4">
        <v>3.6184124588156201E-3</v>
      </c>
      <c r="Q4">
        <v>1E-4</v>
      </c>
      <c r="R4">
        <v>3000</v>
      </c>
      <c r="S4">
        <v>1</v>
      </c>
      <c r="T4">
        <v>1</v>
      </c>
      <c r="U4">
        <v>1</v>
      </c>
      <c r="V4">
        <v>2.4123827886609662E-3</v>
      </c>
      <c r="W4">
        <v>19.252693145524649</v>
      </c>
      <c r="X4">
        <v>0.40080816565356953</v>
      </c>
      <c r="Y4">
        <v>10.6680880074773</v>
      </c>
    </row>
    <row r="5" spans="1:25" x14ac:dyDescent="0.3">
      <c r="A5">
        <v>4</v>
      </c>
      <c r="B5" t="s">
        <v>36</v>
      </c>
      <c r="C5">
        <v>12841.259337400001</v>
      </c>
      <c r="D5">
        <v>214.02098895666671</v>
      </c>
      <c r="E5" t="s">
        <v>37</v>
      </c>
      <c r="G5" t="s">
        <v>27</v>
      </c>
      <c r="H5" t="s">
        <v>38</v>
      </c>
      <c r="J5" t="s">
        <v>29</v>
      </c>
      <c r="K5">
        <v>3.4816466573594891E-2</v>
      </c>
      <c r="L5">
        <v>0</v>
      </c>
      <c r="M5">
        <v>3.4816466573594891E-2</v>
      </c>
      <c r="N5" t="s">
        <v>17</v>
      </c>
      <c r="O5">
        <v>3001</v>
      </c>
      <c r="P5">
        <v>9.1055496747257704E-4</v>
      </c>
      <c r="Q5">
        <v>1E-4</v>
      </c>
      <c r="R5">
        <v>3000</v>
      </c>
      <c r="S5">
        <v>1</v>
      </c>
      <c r="T5">
        <v>1</v>
      </c>
      <c r="U5">
        <v>1</v>
      </c>
      <c r="V5">
        <v>1.0335477701724661E-3</v>
      </c>
      <c r="W5">
        <v>18.682946752608238</v>
      </c>
      <c r="X5">
        <v>0.37300020271814849</v>
      </c>
      <c r="Y5">
        <v>13.75091922923596</v>
      </c>
    </row>
    <row r="6" spans="1:25" x14ac:dyDescent="0.3">
      <c r="A6">
        <v>5</v>
      </c>
      <c r="B6" t="s">
        <v>39</v>
      </c>
      <c r="C6">
        <v>15026.699616899999</v>
      </c>
      <c r="D6">
        <v>250.44499361499999</v>
      </c>
      <c r="E6" t="s">
        <v>40</v>
      </c>
      <c r="G6" t="s">
        <v>27</v>
      </c>
      <c r="H6" t="s">
        <v>41</v>
      </c>
      <c r="J6" t="s">
        <v>29</v>
      </c>
      <c r="K6">
        <v>4.0462251333287368E-2</v>
      </c>
      <c r="L6">
        <v>0</v>
      </c>
      <c r="M6">
        <v>4.0462251333287368E-2</v>
      </c>
      <c r="N6" t="s">
        <v>17</v>
      </c>
      <c r="O6">
        <v>3001</v>
      </c>
      <c r="P6">
        <v>1.9559020197923928E-3</v>
      </c>
      <c r="Q6">
        <v>1E-4</v>
      </c>
      <c r="R6">
        <v>3000</v>
      </c>
      <c r="S6">
        <v>1</v>
      </c>
      <c r="T6">
        <v>1</v>
      </c>
      <c r="U6">
        <v>1</v>
      </c>
      <c r="V6">
        <v>1.480080621464585E-3</v>
      </c>
      <c r="W6">
        <v>23.414167201547048</v>
      </c>
      <c r="X6">
        <v>0.38070424318982288</v>
      </c>
      <c r="Y6">
        <v>12.3747262770157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69A2-B2A8-492E-B0DE-C6B4A60F83D6}">
  <dimension ref="A1:Y10"/>
  <sheetViews>
    <sheetView tabSelected="1" topLeftCell="L1" workbookViewId="0">
      <selection activeCell="AC9" sqref="AC9"/>
    </sheetView>
  </sheetViews>
  <sheetFormatPr baseColWidth="10" defaultColWidth="8.88671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>
        <v>15471.3633562</v>
      </c>
      <c r="D2">
        <v>257.85605593666668</v>
      </c>
      <c r="E2" t="s">
        <v>26</v>
      </c>
      <c r="G2" t="s">
        <v>27</v>
      </c>
      <c r="H2" t="s">
        <v>28</v>
      </c>
      <c r="J2" t="s">
        <v>29</v>
      </c>
      <c r="K2">
        <v>3.4002488435168607E-2</v>
      </c>
      <c r="L2">
        <v>0</v>
      </c>
      <c r="M2">
        <v>3.4002488435168607E-2</v>
      </c>
      <c r="N2" t="s">
        <v>17</v>
      </c>
      <c r="O2">
        <v>3001</v>
      </c>
      <c r="P2">
        <v>1.160065340932191E-4</v>
      </c>
      <c r="Q2">
        <v>1E-4</v>
      </c>
      <c r="R2">
        <v>3000</v>
      </c>
      <c r="S2">
        <v>1</v>
      </c>
      <c r="T2">
        <v>1</v>
      </c>
      <c r="U2">
        <v>1</v>
      </c>
      <c r="V2">
        <v>1.000651355853685E-3</v>
      </c>
      <c r="W2">
        <v>17.682107447162458</v>
      </c>
      <c r="X2">
        <v>0.38841017229671182</v>
      </c>
      <c r="Y2">
        <v>14.93618506337028</v>
      </c>
    </row>
    <row r="3" spans="1:25" x14ac:dyDescent="0.3">
      <c r="A3">
        <v>2</v>
      </c>
      <c r="B3" t="s">
        <v>30</v>
      </c>
      <c r="C3">
        <v>17889.761337200001</v>
      </c>
      <c r="D3">
        <v>298.16268895333332</v>
      </c>
      <c r="E3" t="s">
        <v>31</v>
      </c>
      <c r="G3" t="s">
        <v>27</v>
      </c>
      <c r="H3" t="s">
        <v>32</v>
      </c>
      <c r="J3" t="s">
        <v>29</v>
      </c>
      <c r="K3">
        <v>2.3094880861104609E-2</v>
      </c>
      <c r="L3">
        <v>0</v>
      </c>
      <c r="M3">
        <v>2.3094880861104609E-2</v>
      </c>
      <c r="N3" t="s">
        <v>17</v>
      </c>
      <c r="O3">
        <v>3001</v>
      </c>
      <c r="P3">
        <v>1.2644160368509799E-3</v>
      </c>
      <c r="Q3">
        <v>1E-4</v>
      </c>
      <c r="R3">
        <v>3000</v>
      </c>
      <c r="S3">
        <v>1</v>
      </c>
      <c r="T3">
        <v>1</v>
      </c>
      <c r="U3">
        <v>1</v>
      </c>
      <c r="V3">
        <v>1.0008337586269931E-3</v>
      </c>
      <c r="W3">
        <v>19.601667329061218</v>
      </c>
      <c r="X3">
        <v>0.36124594824033468</v>
      </c>
      <c r="Y3">
        <v>19.60016406926405</v>
      </c>
    </row>
    <row r="4" spans="1:25" x14ac:dyDescent="0.3">
      <c r="A4">
        <v>3</v>
      </c>
      <c r="B4" t="s">
        <v>33</v>
      </c>
      <c r="C4">
        <v>14178.406961999999</v>
      </c>
      <c r="D4">
        <v>236.30678270000001</v>
      </c>
      <c r="E4" t="s">
        <v>34</v>
      </c>
      <c r="G4" t="s">
        <v>27</v>
      </c>
      <c r="H4" t="s">
        <v>35</v>
      </c>
      <c r="J4" t="s">
        <v>29</v>
      </c>
      <c r="K4">
        <v>1.8587351559349461E-2</v>
      </c>
      <c r="L4">
        <v>0</v>
      </c>
      <c r="M4">
        <v>1.8587351559349461E-2</v>
      </c>
      <c r="N4" t="s">
        <v>17</v>
      </c>
      <c r="O4">
        <v>3001</v>
      </c>
      <c r="P4">
        <v>3.6184124588156201E-3</v>
      </c>
      <c r="Q4">
        <v>1E-4</v>
      </c>
      <c r="R4">
        <v>3000</v>
      </c>
      <c r="S4">
        <v>1</v>
      </c>
      <c r="T4">
        <v>1</v>
      </c>
      <c r="U4">
        <v>1</v>
      </c>
      <c r="V4">
        <v>2.4123827886609662E-3</v>
      </c>
      <c r="W4">
        <v>19.252693145524649</v>
      </c>
      <c r="X4">
        <v>0.40080816565356953</v>
      </c>
      <c r="Y4">
        <v>10.6680880074773</v>
      </c>
    </row>
    <row r="5" spans="1:25" x14ac:dyDescent="0.3">
      <c r="A5">
        <v>4</v>
      </c>
      <c r="B5" t="s">
        <v>36</v>
      </c>
      <c r="C5">
        <v>12841.259337400001</v>
      </c>
      <c r="D5">
        <v>214.02098895666671</v>
      </c>
      <c r="E5" t="s">
        <v>37</v>
      </c>
      <c r="G5" t="s">
        <v>27</v>
      </c>
      <c r="H5" t="s">
        <v>38</v>
      </c>
      <c r="J5" t="s">
        <v>29</v>
      </c>
      <c r="K5">
        <v>3.4816466573594891E-2</v>
      </c>
      <c r="L5">
        <v>0</v>
      </c>
      <c r="M5">
        <v>3.4816466573594891E-2</v>
      </c>
      <c r="N5" t="s">
        <v>17</v>
      </c>
      <c r="O5">
        <v>3001</v>
      </c>
      <c r="P5">
        <v>9.1055496747257704E-4</v>
      </c>
      <c r="Q5">
        <v>1E-4</v>
      </c>
      <c r="R5">
        <v>3000</v>
      </c>
      <c r="S5">
        <v>1</v>
      </c>
      <c r="T5">
        <v>1</v>
      </c>
      <c r="U5">
        <v>1</v>
      </c>
      <c r="V5">
        <v>1.0335477701724661E-3</v>
      </c>
      <c r="W5">
        <v>18.682946752608238</v>
      </c>
      <c r="X5">
        <v>0.37300020271814849</v>
      </c>
      <c r="Y5">
        <v>13.75091922923596</v>
      </c>
    </row>
    <row r="6" spans="1:25" x14ac:dyDescent="0.3">
      <c r="A6">
        <v>5</v>
      </c>
      <c r="B6" t="s">
        <v>39</v>
      </c>
      <c r="C6">
        <v>15026.699616899999</v>
      </c>
      <c r="D6">
        <v>250.44499361499999</v>
      </c>
      <c r="E6" t="s">
        <v>40</v>
      </c>
      <c r="G6" t="s">
        <v>27</v>
      </c>
      <c r="H6" t="s">
        <v>41</v>
      </c>
      <c r="J6" t="s">
        <v>29</v>
      </c>
      <c r="K6">
        <v>4.0462251333287368E-2</v>
      </c>
      <c r="L6">
        <v>0</v>
      </c>
      <c r="M6">
        <v>4.0462251333287368E-2</v>
      </c>
      <c r="N6" t="s">
        <v>17</v>
      </c>
      <c r="O6">
        <v>3001</v>
      </c>
      <c r="P6">
        <v>1.9559020197923928E-3</v>
      </c>
      <c r="Q6">
        <v>1E-4</v>
      </c>
      <c r="R6">
        <v>3000</v>
      </c>
      <c r="S6">
        <v>1</v>
      </c>
      <c r="T6">
        <v>1</v>
      </c>
      <c r="U6">
        <v>1</v>
      </c>
      <c r="V6" s="1">
        <v>1.480080621464585E-3</v>
      </c>
      <c r="W6">
        <v>23.414167201547048</v>
      </c>
      <c r="X6">
        <v>0.38070424318982288</v>
      </c>
      <c r="Y6">
        <v>12.3747262770157</v>
      </c>
    </row>
    <row r="8" spans="1:25" x14ac:dyDescent="0.3">
      <c r="V8">
        <f>AVERAGE(V2:V6)</f>
        <v>1.3854992589557393E-3</v>
      </c>
      <c r="W8">
        <f t="shared" ref="W8:Y8" si="0">AVERAGE(W2:W6)</f>
        <v>19.726716375180722</v>
      </c>
      <c r="X8">
        <f t="shared" si="0"/>
        <v>0.38083374641971746</v>
      </c>
      <c r="Y8">
        <f t="shared" si="0"/>
        <v>14.266016529272658</v>
      </c>
    </row>
    <row r="9" spans="1:25" x14ac:dyDescent="0.3">
      <c r="V9">
        <f>MEDIAN(V2:V6)</f>
        <v>1.0335477701724661E-3</v>
      </c>
      <c r="W9">
        <f t="shared" ref="W9:Y9" si="1">MEDIAN(W2:W6)</f>
        <v>19.252693145524649</v>
      </c>
      <c r="X9">
        <f t="shared" si="1"/>
        <v>0.38070424318982288</v>
      </c>
      <c r="Y9">
        <f t="shared" si="1"/>
        <v>13.75091922923596</v>
      </c>
    </row>
    <row r="10" spans="1:25" x14ac:dyDescent="0.3">
      <c r="V10">
        <f>STDEVA(V2:V6)</f>
        <v>6.0897059121025514E-4</v>
      </c>
      <c r="W10">
        <f t="shared" ref="W10:Y10" si="2">STDEVA(W2:W6)</f>
        <v>2.1856068709054113</v>
      </c>
      <c r="X10">
        <f t="shared" si="2"/>
        <v>1.5012017422105901E-2</v>
      </c>
      <c r="Y10">
        <f t="shared" si="2"/>
        <v>3.3797059612200875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resultados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2026-05-26T00:33:54Z</dcterms:created>
  <dcterms:modified xsi:type="dcterms:W3CDTF">2026-05-26T12:45:42Z</dcterms:modified>
</cp:coreProperties>
</file>