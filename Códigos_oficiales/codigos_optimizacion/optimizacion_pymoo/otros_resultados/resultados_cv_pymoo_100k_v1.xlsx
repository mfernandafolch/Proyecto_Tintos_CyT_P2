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optimizacion_pymoo\"/>
    </mc:Choice>
  </mc:AlternateContent>
  <xr:revisionPtr revIDLastSave="0" documentId="13_ncr:1_{89FC7595-7981-4F1E-AEDD-2998F246C53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sultados" sheetId="1" r:id="rId1"/>
    <sheet name="parametr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" l="1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B2" i="2"/>
  <c r="B24" i="2" s="1"/>
  <c r="C2" i="2"/>
  <c r="C23" i="2" s="1"/>
  <c r="D2" i="2"/>
  <c r="D23" i="2" s="1"/>
  <c r="E2" i="2"/>
  <c r="E23" i="2" s="1"/>
  <c r="F2" i="2"/>
  <c r="F23" i="2" s="1"/>
  <c r="G2" i="2"/>
  <c r="G23" i="2" s="1"/>
  <c r="H2" i="2"/>
  <c r="H23" i="2" s="1"/>
  <c r="I2" i="2"/>
  <c r="I23" i="2" s="1"/>
  <c r="J2" i="2"/>
  <c r="J23" i="2" s="1"/>
  <c r="K2" i="2"/>
  <c r="K23" i="2" s="1"/>
  <c r="L2" i="2"/>
  <c r="L23" i="2" s="1"/>
  <c r="M2" i="2"/>
  <c r="M23" i="2" s="1"/>
  <c r="N2" i="2"/>
  <c r="N24" i="2" s="1"/>
  <c r="O2" i="2"/>
  <c r="O23" i="2" s="1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B4" i="2"/>
  <c r="C4" i="2"/>
  <c r="C24" i="2" s="1"/>
  <c r="D4" i="2"/>
  <c r="E4" i="2"/>
  <c r="F4" i="2"/>
  <c r="G4" i="2"/>
  <c r="H4" i="2"/>
  <c r="H24" i="2" s="1"/>
  <c r="I4" i="2"/>
  <c r="J4" i="2"/>
  <c r="K4" i="2"/>
  <c r="L4" i="2"/>
  <c r="M4" i="2"/>
  <c r="N4" i="2"/>
  <c r="O4" i="2"/>
  <c r="O24" i="2" s="1"/>
  <c r="B5" i="2"/>
  <c r="C5" i="2"/>
  <c r="D5" i="2"/>
  <c r="E5" i="2"/>
  <c r="F5" i="2"/>
  <c r="G5" i="2"/>
  <c r="H5" i="2"/>
  <c r="I5" i="2"/>
  <c r="J5" i="2"/>
  <c r="J24" i="2" s="1"/>
  <c r="K5" i="2"/>
  <c r="L5" i="2"/>
  <c r="M5" i="2"/>
  <c r="N5" i="2"/>
  <c r="O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O1" i="2"/>
  <c r="N1" i="2"/>
  <c r="K1" i="2"/>
  <c r="L1" i="2"/>
  <c r="M1" i="2"/>
  <c r="C1" i="2"/>
  <c r="D1" i="2"/>
  <c r="E1" i="2"/>
  <c r="F1" i="2"/>
  <c r="G1" i="2"/>
  <c r="H1" i="2"/>
  <c r="I1" i="2"/>
  <c r="J1" i="2"/>
  <c r="B1" i="2"/>
  <c r="M24" i="2" l="1"/>
  <c r="N23" i="2"/>
  <c r="L24" i="2"/>
  <c r="K24" i="2"/>
  <c r="I24" i="2"/>
  <c r="F24" i="2"/>
  <c r="B23" i="2"/>
  <c r="E24" i="2"/>
  <c r="D24" i="2"/>
</calcChain>
</file>

<file path=xl/sharedStrings.xml><?xml version="1.0" encoding="utf-8"?>
<sst xmlns="http://schemas.openxmlformats.org/spreadsheetml/2006/main" count="151" uniqueCount="132">
  <si>
    <t>iteracion</t>
  </si>
  <si>
    <t>hora_fin</t>
  </si>
  <si>
    <t>duracion_s</t>
  </si>
  <si>
    <t>duracion_min</t>
  </si>
  <si>
    <t>ids_ajuste</t>
  </si>
  <si>
    <t>ids_validacion</t>
  </si>
  <si>
    <t>nombres_ajuste</t>
  </si>
  <si>
    <t>nombres_validacion</t>
  </si>
  <si>
    <t>costo_ajuste</t>
  </si>
  <si>
    <t>costo_validacion</t>
  </si>
  <si>
    <t>costo_total</t>
  </si>
  <si>
    <t>stop_reason</t>
  </si>
  <si>
    <t>stop_iteration</t>
  </si>
  <si>
    <t>final_ratio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</si>
  <si>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</si>
  <si>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</si>
  <si>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</si>
  <si>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</si>
  <si>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</si>
  <si>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</si>
  <si>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</si>
  <si>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</si>
  <si>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</si>
  <si>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</si>
  <si>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Yxg</t>
  </si>
  <si>
    <t>Yxf</t>
  </si>
  <si>
    <t>Yeg</t>
  </si>
  <si>
    <t>Yef</t>
  </si>
  <si>
    <t>2026-04-13 22:17:35</t>
  </si>
  <si>
    <t>1,3,4,5,6,7,10,12,13,14,15,16</t>
  </si>
  <si>
    <t>2,8,9,11</t>
  </si>
  <si>
    <t>Data CS 24 EL BOLDO estanque 30.xlsx | Data CS 25 EL BOLDO estanque 55.xlsx | Data CS 25 LOU estanque 61.xlsx | Data SY 24 LOU+VAL+FN estanque 36.xlsx | Data SY 24 VAL+STARAQ estanque 56.xlsx | Data SY 24 LOU estanque 62.xlsx | Data ME 24 QAGUA estanque 54.xlsx | Data ME 25 STA MARTA estanque 62.xlsx | Data CA 24 VAL estanque 31.xlsx | Data CA 24 VAL estanque 59.xlsx | Data CA 24 VAL estanque 62.xlsx | Data CA 25 F.N. estanque 68.xlsx</t>
  </si>
  <si>
    <t>Data CS 24 LOU estanque 54.xlsx | Data SY 25 LOU estanque 30.xlsx | Data ME 25 Q. AGUA estanque 85.xlsx | Data ME 25 AURORA + STA MARTA estanque 57.xlsx</t>
  </si>
  <si>
    <t>max_epoch</t>
  </si>
  <si>
    <t>2026-04-13 18:59:29</t>
  </si>
  <si>
    <t>1,2,3,5,7,8,11,12,13,14,15,16</t>
  </si>
  <si>
    <t>4,6,9,10</t>
  </si>
  <si>
    <t>Data CS 24 EL BOLDO estanque 30.xlsx | Data CS 24 LOU estanque 54.xlsx | Data CS 25 EL BOLDO estanque 55.xlsx | Data SY 24 LOU+VAL+FN estanque 36.xlsx | Data SY 24 LOU estanque 62.xlsx | Data SY 25 LOU estanque 30.xlsx | Data ME 25 AURORA + STA MARTA estanque 57.xlsx | Data ME 25 STA MARTA estanque 62.xlsx | Data CA 24 VAL estanque 31.xlsx | Data CA 24 VAL estanque 59.xlsx | Data CA 24 VAL estanque 62.xlsx | Data CA 25 F.N. estanque 68.xlsx</t>
  </si>
  <si>
    <t>Data CS 25 LOU estanque 61.xlsx | Data SY 24 VAL+STARAQ estanque 56.xlsx | Data ME 25 Q. AGUA estanque 85.xlsx | Data ME 24 QAGUA estanque 54.xlsx</t>
  </si>
  <si>
    <t>2026-04-13 17:07:09</t>
  </si>
  <si>
    <t>1,2,4,5,7,9,11,12,13,14,15,16</t>
  </si>
  <si>
    <t>3,6,8,10</t>
  </si>
  <si>
    <t>Data CS 24 EL BOLDO estanque 30.xlsx | Data CS 24 LOU estanque 54.xlsx | Data CS 25 LOU estanque 61.xlsx | Data SY 24 LOU+VAL+FN estanque 36.xlsx | Data SY 24 LOU estanque 62.xlsx | Data ME 25 Q. AGUA estanque 85.xlsx | Data ME 25 AURORA + STA MARTA estanque 57.xlsx | Data ME 25 STA MARTA estanque 62.xlsx | Data CA 24 VAL estanque 31.xlsx | Data CA 24 VAL estanque 59.xlsx | Data CA 24 VAL estanque 62.xlsx | Data CA 25 F.N. estanque 68.xlsx</t>
  </si>
  <si>
    <t>Data CS 25 EL BOLDO estanque 55.xlsx | Data SY 24 VAL+STARAQ estanque 56.xlsx | Data SY 25 LOU estanque 30.xlsx | Data ME 24 QAGUA estanque 54.xlsx</t>
  </si>
  <si>
    <t>2026-04-13 21:16:14</t>
  </si>
  <si>
    <t>1,3,4,5,6,7,9,10,12,13,14,16</t>
  </si>
  <si>
    <t>2,8,11,15</t>
  </si>
  <si>
    <t>Data CS 24 EL BOLDO estanque 30.xlsx | Data CS 25 EL BOLDO estanque 55.xlsx | Data CS 25 LOU estanque 61.xlsx | Data SY 24 LOU+VAL+FN estanque 36.xlsx | Data SY 24 VAL+STARAQ estanque 56.xlsx | Data SY 24 LOU estanque 62.xlsx | Data ME 25 Q. AGUA estanque 85.xlsx | Data ME 24 QAGUA estanque 54.xlsx | Data ME 25 STA MARTA estanque 62.xlsx | Data CA 24 VAL estanque 31.xlsx | Data CA 24 VAL estanque 59.xlsx | Data CA 25 F.N. estanque 68.xlsx</t>
  </si>
  <si>
    <t>Data CS 24 LOU estanque 54.xlsx | Data SY 25 LOU estanque 30.xlsx | Data ME 25 AURORA + STA MARTA estanque 57.xlsx | Data CA 24 VAL estanque 62.xlsx</t>
  </si>
  <si>
    <t>2026-04-13 17:09:39</t>
  </si>
  <si>
    <t>2,3,4,5,8,10,11,12,13,14,15,16</t>
  </si>
  <si>
    <t>1,6,7,9</t>
  </si>
  <si>
    <t>Data CS 24 LOU estanque 54.xlsx | Data CS 25 EL BOLDO estanque 55.xlsx | Data CS 25 LOU estanque 61.xlsx | Data SY 24 LOU+VAL+FN estanque 36.xlsx | Data SY 25 LOU estanque 30.xlsx | Data ME 24 QAGUA estanque 54.xlsx | Data ME 25 AURORA + STA MARTA estanque 57.xlsx | Data ME 25 STA MARTA estanque 62.xlsx | Data CA 24 VAL estanque 31.xlsx | Data CA 24 VAL estanque 59.xlsx | Data CA 24 VAL estanque 62.xlsx | Data CA 25 F.N. estanque 68.xlsx</t>
  </si>
  <si>
    <t>Data CS 24 EL BOLDO estanque 30.xlsx | Data SY 24 VAL+STARAQ estanque 56.xlsx | Data SY 24 LOU estanque 62.xlsx | Data ME 25 Q. AGUA estanque 85.xlsx</t>
  </si>
  <si>
    <t>2026-04-13 18:31:27</t>
  </si>
  <si>
    <t>1,2,4,6,7,8,9,10,12,13,14,15</t>
  </si>
  <si>
    <t>3,5,11,16</t>
  </si>
  <si>
    <t>Data CS 24 EL BOLDO estanque 30.xlsx | Data CS 24 LOU estanque 54.xlsx | Data CS 25 LOU estanque 61.xlsx | Data SY 24 VAL+STARAQ estanque 56.xlsx | Data SY 24 LOU estanque 62.xlsx | Data SY 25 LOU estanque 30.xlsx | Data ME 25 Q. AGUA estanque 85.xlsx | Data ME 24 QAGUA estanque 54.xlsx | Data ME 25 STA MARTA estanque 62.xlsx | Data CA 24 VAL estanque 31.xlsx | Data CA 24 VAL estanque 59.xlsx | Data CA 24 VAL estanque 62.xlsx</t>
  </si>
  <si>
    <t>Data CS 25 EL BOLDO estanque 55.xlsx | Data SY 24 LOU+VAL+FN estanque 36.xlsx | Data ME 25 AURORA + STA MARTA estanque 57.xlsx | Data CA 25 F.N. estanque 68.xlsx</t>
  </si>
  <si>
    <t>2026-04-13 18:28:54</t>
  </si>
  <si>
    <t>1,2,3,5,6,8,9,10,11,12,14,15</t>
  </si>
  <si>
    <t>4,7,13,16</t>
  </si>
  <si>
    <t>Data CS 24 EL BOLDO estanque 30.xlsx | Data CS 24 LOU estanque 54.xlsx | Data CS 25 EL BOLDO estanque 55.xlsx | Data SY 24 LOU+VAL+FN estanque 36.xlsx | Data SY 24 VAL+STARAQ estanque 56.xlsx | Data SY 25 LOU estanque 30.xlsx | Data ME 25 Q. AGUA estanque 85.xlsx | Data ME 24 QAGUA estanque 54.xlsx | Data ME 25 AURORA + STA MARTA estanque 57.xlsx | Data ME 25 STA MARTA estanque 62.xlsx | Data CA 24 VAL estanque 59.xlsx | Data CA 24 VAL estanque 62.xlsx</t>
  </si>
  <si>
    <t>Data CS 25 LOU estanque 61.xlsx | Data SY 24 LOU estanque 62.xlsx | Data CA 24 VAL estanque 31.xlsx | Data CA 25 F.N. estanque 68.xlsx</t>
  </si>
  <si>
    <t>2026-04-13 18:54:12</t>
  </si>
  <si>
    <t>3,4,5,7,8,9,10,11,12,13,14,16</t>
  </si>
  <si>
    <t>1,2,6,15</t>
  </si>
  <si>
    <t>Data CS 25 EL BOLDO estanque 55.xlsx | Data CS 25 LOU estanque 61.xlsx | Data SY 24 LOU+VAL+FN estanque 36.xlsx | Data SY 24 LOU estanque 62.xlsx | Data SY 25 LOU estanque 30.xlsx | Data ME 25 Q. AGUA estanque 85.xlsx | Data ME 24 QAGUA estanque 54.xlsx | Data ME 25 AURORA + STA MARTA estanque 57.xlsx | Data ME 25 STA MARTA estanque 62.xlsx | Data CA 24 VAL estanque 31.xlsx | Data CA 24 VAL estanque 59.xlsx | Data CA 25 F.N. estanque 68.xlsx</t>
  </si>
  <si>
    <t>Data CS 24 EL BOLDO estanque 30.xlsx | Data CS 24 LOU estanque 54.xlsx | Data SY 24 VAL+STARAQ estanque 56.xlsx | Data CA 24 VAL estanque 62.xlsx</t>
  </si>
  <si>
    <t>2026-04-13 20:07:52</t>
  </si>
  <si>
    <t>2,3,4,5,6,7,8,9,11,13,15,16</t>
  </si>
  <si>
    <t>1,10,12,14</t>
  </si>
  <si>
    <t>Data CS 24 LOU estanque 54.xlsx | Data CS 25 EL BOLDO estanque 55.xlsx | Data CS 25 LOU estanque 61.xlsx | Data SY 24 LOU+VAL+FN estanque 36.xlsx | Data SY 24 VAL+STARAQ estanque 56.xlsx | Data SY 24 LOU estanque 62.xlsx | Data SY 25 LOU estanque 30.xlsx | Data ME 25 Q. AGUA estanque 85.xlsx | Data ME 25 AURORA + STA MARTA estanque 57.xlsx | Data CA 24 VAL estanque 31.xlsx | Data CA 24 VAL estanque 62.xlsx | Data CA 25 F.N. estanque 68.xlsx</t>
  </si>
  <si>
    <t>Data CS 24 EL BOLDO estanque 30.xlsx | Data ME 24 QAGUA estanque 54.xlsx | Data ME 25 STA MARTA estanque 62.xlsx | Data CA 24 VAL estanque 59.xlsx</t>
  </si>
  <si>
    <t>2026-04-13 20:33:50</t>
  </si>
  <si>
    <t>1,2,3,4,5,9,10,11,13,14,15,16</t>
  </si>
  <si>
    <t>6,7,8,12</t>
  </si>
  <si>
    <t>Data CS 24 EL BOLDO estanque 30.xlsx | Data CS 24 LOU estanque 54.xlsx | Data CS 25 EL BOLDO estanque 55.xlsx | Data CS 25 LOU estanque 61.xlsx | Data SY 24 LOU+VAL+FN estanque 36.xlsx | Data ME 25 Q. AGUA estanque 85.xlsx | Data ME 24 QAGUA estanque 54.xlsx | Data ME 25 AURORA + STA MARTA estanque 57.xlsx | Data CA 24 VAL estanque 31.xlsx | Data CA 24 VAL estanque 59.xlsx | Data CA 24 VAL estanque 62.xlsx | Data CA 25 F.N. estanque 68.xlsx</t>
  </si>
  <si>
    <t>Data SY 24 VAL+STARAQ estanque 56.xlsx | Data SY 24 LOU estanque 62.xlsx | Data SY 25 LOU estanque 30.xlsx | Data ME 25 STA MARTA estanque 62.xlsx</t>
  </si>
  <si>
    <t>2026-04-13 20:40:39</t>
  </si>
  <si>
    <t>1,2,4,5,9,10,11,12,13,14,15,16</t>
  </si>
  <si>
    <t>3,6,7,8</t>
  </si>
  <si>
    <t>Data CS 24 EL BOLDO estanque 30.xlsx | Data CS 24 LOU estanque 54.xlsx | Data CS 25 LOU estanque 61.xlsx | Data SY 24 LOU+VAL+FN estanque 36.xlsx | Data ME 25 Q. AGUA estanque 85.xlsx | Data ME 24 QAGUA estanque 54.xlsx | Data ME 25 AURORA + STA MARTA estanque 57.xlsx | Data ME 25 STA MARTA estanque 62.xlsx | Data CA 24 VAL estanque 31.xlsx | Data CA 24 VAL estanque 59.xlsx | Data CA 24 VAL estanque 62.xlsx | Data CA 25 F.N. estanque 68.xlsx</t>
  </si>
  <si>
    <t>Data CS 25 EL BOLDO estanque 55.xlsx | Data SY 24 VAL+STARAQ estanque 56.xlsx | Data SY 24 LOU estanque 62.xlsx | Data SY 25 LOU estanque 30.xlsx</t>
  </si>
  <si>
    <t>2026-04-13 21:35:45</t>
  </si>
  <si>
    <t>1,2,4,5,6,8,9,11,13,14,15,16</t>
  </si>
  <si>
    <t>3,7,10,12</t>
  </si>
  <si>
    <t>Data CS 24 EL BOLDO estanque 30.xlsx | Data CS 24 LOU estanque 54.xlsx | Data CS 25 LOU estanque 61.xlsx | Data SY 24 LOU+VAL+FN estanque 36.xlsx | Data SY 24 VAL+STARAQ estanque 56.xlsx | Data SY 25 LOU estanque 30.xlsx | Data ME 25 Q. AGUA estanque 85.xlsx | Data ME 25 AURORA + STA MARTA estanque 57.xlsx | Data CA 24 VAL estanque 31.xlsx | Data CA 24 VAL estanque 59.xlsx | Data CA 24 VAL estanque 62.xlsx | Data CA 25 F.N. estanque 68.xlsx</t>
  </si>
  <si>
    <t>Data CS 25 EL BOLDO estanque 55.xlsx | Data SY 24 LOU estanque 62.xlsx | Data ME 24 QAGUA estanque 54.xlsx | Data ME 25 STA MARTA estanque 62.xlsx</t>
  </si>
  <si>
    <t>2026-04-13 22:25:43</t>
  </si>
  <si>
    <t>1,2,3,6,7,8,9,11,12,13,14,15</t>
  </si>
  <si>
    <t>4,5,10,16</t>
  </si>
  <si>
    <t>Data CS 24 EL BOLDO estanque 30.xlsx | Data CS 24 LOU estanque 54.xlsx | Data CS 25 EL BOLDO estanque 55.xlsx | Data SY 24 VAL+STARAQ estanque 56.xlsx | Data SY 24 LOU estanque 62.xlsx | Data SY 25 LOU estanque 30.xlsx | Data ME 25 Q. AGUA estanque 85.xlsx | Data ME 25 AURORA + STA MARTA estanque 57.xlsx | Data ME 25 STA MARTA estanque 62.xlsx | Data CA 24 VAL estanque 31.xlsx | Data CA 24 VAL estanque 59.xlsx | Data CA 24 VAL estanque 62.xlsx</t>
  </si>
  <si>
    <t>Data CS 25 LOU estanque 61.xlsx | Data SY 24 LOU+VAL+FN estanque 36.xlsx | Data ME 24 QAGUA estanque 54.xlsx | Data CA 25 F.N. estanque 68.xlsx</t>
  </si>
  <si>
    <t>2026-04-13 21:11:20</t>
  </si>
  <si>
    <t>1,2,3,4,5,6,8,10,11,12,13,14</t>
  </si>
  <si>
    <t>7,9,15,16</t>
  </si>
  <si>
    <t>Data CS 24 EL BOLDO estanque 30.xlsx | Data CS 24 LOU estanque 54.xlsx | Data CS 25 EL BOLDO estanque 55.xlsx | Data CS 25 LOU estanque 61.xlsx | Data SY 24 LOU+VAL+FN estanque 36.xlsx | Data SY 24 VAL+STARAQ estanque 56.xlsx | Data SY 25 LOU estanque 30.xlsx | Data ME 24 QAGUA estanque 54.xlsx | Data ME 25 AURORA + STA MARTA estanque 57.xlsx | Data ME 25 STA MARTA estanque 62.xlsx | Data CA 24 VAL estanque 31.xlsx | Data CA 24 VAL estanque 59.xlsx</t>
  </si>
  <si>
    <t>Data SY 24 LOU estanque 62.xlsx | Data ME 25 Q. AGUA estanque 85.xlsx | Data CA 24 VAL estanque 62.xlsx | Data CA 25 F.N. estanque 68.xlsx</t>
  </si>
  <si>
    <t>2026-04-13 21:59:15</t>
  </si>
  <si>
    <t>1,2,4,6,7,8,9,10,11,13,15,16</t>
  </si>
  <si>
    <t>3,5,12,14</t>
  </si>
  <si>
    <t>Data CS 24 EL BOLDO estanque 30.xlsx | Data CS 24 LOU estanque 54.xlsx | Data CS 25 LOU estanque 61.xlsx | Data SY 24 VAL+STARAQ estanque 56.xlsx | Data SY 24 LOU estanque 62.xlsx | Data SY 25 LOU estanque 30.xlsx | Data ME 25 Q. AGUA estanque 85.xlsx | Data ME 24 QAGUA estanque 54.xlsx | Data ME 25 AURORA + STA MARTA estanque 57.xlsx | Data CA 24 VAL estanque 31.xlsx | Data CA 24 VAL estanque 62.xlsx | Data CA 25 F.N. estanque 68.xlsx</t>
  </si>
  <si>
    <t>Data CS 25 EL BOLDO estanque 55.xlsx | Data SY 24 LOU+VAL+FN estanque 36.xlsx | Data ME 25 STA MARTA estanque 62.xlsx | Data CA 24 VAL estanque 59.xlsx</t>
  </si>
  <si>
    <t>2026-04-13 23:01:41</t>
  </si>
  <si>
    <t>1,2,5,7,8,9,10,12,13,14,15,16</t>
  </si>
  <si>
    <t>3,4,6,11</t>
  </si>
  <si>
    <t>Data CS 24 EL BOLDO estanque 30.xlsx | Data CS 24 LOU estanque 54.xlsx | Data SY 24 LOU+VAL+FN estanque 36.xlsx | Data SY 24 LOU estanque 62.xlsx | Data SY 25 LOU estanque 30.xlsx | Data ME 25 Q. AGUA estanque 85.xlsx | Data ME 24 QAGUA estanque 54.xlsx | Data ME 25 STA MARTA estanque 62.xlsx | Data CA 24 VAL estanque 31.xlsx | Data CA 24 VAL estanque 59.xlsx | Data CA 24 VAL estanque 62.xlsx | Data CA 25 F.N. estanque 68.xlsx</t>
  </si>
  <si>
    <t>Data CS 25 EL BOLDO estanque 55.xlsx | Data CS 25 LOU estanque 61.xlsx | Data SY 24 VAL+STARAQ estanque 56.xlsx | Data ME 25 AURORA + STA MARTA estanque 57.xlsx</t>
  </si>
  <si>
    <t>2026-04-14 03:35:44</t>
  </si>
  <si>
    <t>1,2,3,6,7,10,11,12,13,14,15,16</t>
  </si>
  <si>
    <t>4,5,8,9</t>
  </si>
  <si>
    <t>Data CS 24 EL BOLDO estanque 30.xlsx | Data CS 24 LOU estanque 54.xlsx | Data CS 25 EL BOLDO estanque 55.xlsx | Data SY 24 VAL+STARAQ estanque 56.xlsx | Data SY 24 LOU estanque 62.xlsx | Data ME 24 QAGUA estanque 54.xlsx | Data ME 25 AURORA + STA MARTA estanque 57.xlsx | Data ME 25 STA MARTA estanque 62.xlsx | Data CA 24 VAL estanque 31.xlsx | Data CA 24 VAL estanque 59.xlsx | Data CA 24 VAL estanque 62.xlsx | Data CA 25 F.N. estanque 68.xlsx</t>
  </si>
  <si>
    <t>Data CS 25 LOU estanque 61.xlsx | Data SY 24 LOU+VAL+FN estanque 36.xlsx | Data SY 25 LOU estanque 30.xlsx | Data ME 25 Q. AGUA estanque 85.xlsx</t>
  </si>
  <si>
    <t>2026-04-13 23:25:28</t>
  </si>
  <si>
    <t>1,2,4,6,7,8,9,10,12,14,15,16</t>
  </si>
  <si>
    <t>3,5,11,13</t>
  </si>
  <si>
    <t>Data CS 24 EL BOLDO estanque 30.xlsx | Data CS 24 LOU estanque 54.xlsx | Data CS 25 LOU estanque 61.xlsx | Data SY 24 VAL+STARAQ estanque 56.xlsx | Data SY 24 LOU estanque 62.xlsx | Data SY 25 LOU estanque 30.xlsx | Data ME 25 Q. AGUA estanque 85.xlsx | Data ME 24 QAGUA estanque 54.xlsx | Data ME 25 STA MARTA estanque 62.xlsx | Data CA 24 VAL estanque 59.xlsx | Data CA 24 VAL estanque 62.xlsx | Data CA 25 F.N. estanque 68.xlsx</t>
  </si>
  <si>
    <t>Data CS 25 EL BOLDO estanque 55.xlsx | Data SY 24 LOU+VAL+FN estanque 36.xlsx | Data ME 25 AURORA + STA MARTA estanque 57.xlsx | Data CA 24 VAL estanque 31.xlsx</t>
  </si>
  <si>
    <t>2026-04-13 23:47:16</t>
  </si>
  <si>
    <t>1,3,4,5,6,7,8,9,10,13,14,15</t>
  </si>
  <si>
    <t>2,11,12,16</t>
  </si>
  <si>
    <t>Data CS 24 EL BOLDO estanque 30.xlsx | Data CS 25 EL BOLDO estanque 55.xlsx | Data CS 25 LOU estanque 61.xlsx | Data SY 24 LOU+VAL+FN estanque 36.xlsx | Data SY 24 VAL+STARAQ estanque 56.xlsx | Data SY 24 LOU estanque 62.xlsx | Data SY 25 LOU estanque 30.xlsx | Data ME 25 Q. AGUA estanque 85.xlsx | Data ME 24 QAGUA estanque 54.xlsx | Data CA 24 VAL estanque 31.xlsx | Data CA 24 VAL estanque 59.xlsx | Data CA 24 VAL estanque 62.xlsx</t>
  </si>
  <si>
    <t>Data CS 24 LOU estanque 54.xlsx | Data ME 25 AURORA + STA MARTA estanque 57.xlsx | Data ME 25 STA MARTA estanque 62.xlsx | Data CA 25 F.N. estanque 68.xlsx</t>
  </si>
  <si>
    <t>2026-04-13 22:59:09</t>
  </si>
  <si>
    <t>1,2,3,6,7,9,10,11,12,13,15,16</t>
  </si>
  <si>
    <t>4,5,8,14</t>
  </si>
  <si>
    <t>Data CS 24 EL BOLDO estanque 30.xlsx | Data CS 24 LOU estanque 54.xlsx | Data CS 25 EL BOLDO estanque 55.xlsx | Data SY 24 VAL+STARAQ estanque 56.xlsx | Data SY 24 LOU estanque 62.xlsx | Data ME 25 Q. AGUA estanque 85.xlsx | Data ME 24 QAGUA estanque 54.xlsx | Data ME 25 AURORA + STA MARTA estanque 57.xlsx | Data ME 25 STA MARTA estanque 62.xlsx | Data CA 24 VAL estanque 31.xlsx | Data CA 24 VAL estanque 62.xlsx | Data CA 25 F.N. estanque 68.xlsx</t>
  </si>
  <si>
    <t>Data CS 25 LOU estanque 61.xlsx | Data SY 24 LOU+VAL+FN estanque 36.xlsx | Data SY 25 LOU estanque 30.xlsx | Data CA 24 VAL estanque 59.xlsx</t>
  </si>
  <si>
    <t>Promedio</t>
  </si>
  <si>
    <t>Iteración</t>
  </si>
  <si>
    <t>Desv.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</si>
</sst>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opLeftCell="B1" workbookViewId="0">
      <selection activeCell="E28" sqref="E28"/>
    </sheetView>
  </sheetViews>
  <sheetFormatPr baseColWidth="10" defaultColWidth="8.88671875" defaultRowHeight="14.4" x14ac:dyDescent="0.3"/>
  <cols>
    <col min="2" max="2" width="18" bestFit="1" customWidth="1"/>
    <col min="3" max="3" width="12" bestFit="1" customWidth="1"/>
    <col min="4" max="4" width="12.6640625" bestFit="1" customWidth="1"/>
    <col min="5" max="5" width="25.109375" bestFit="1" customWidth="1"/>
    <col min="6" max="6" width="12.88671875" bestFit="1" customWidth="1"/>
    <col min="7" max="7" width="255.77734375" hidden="1" customWidth="1"/>
    <col min="8" max="8" width="143.21875" hidden="1" customWidth="1"/>
    <col min="9" max="9" width="12" bestFit="1" customWidth="1"/>
    <col min="10" max="10" width="15.109375" bestFit="1" customWidth="1"/>
    <col min="11" max="11" width="12" bestFit="1" customWidth="1"/>
    <col min="12" max="12" width="11.33203125" bestFit="1" customWidth="1"/>
    <col min="13" max="13" width="12.77734375" bestFit="1" customWidth="1"/>
    <col min="14" max="17" width="12" bestFit="1" customWidth="1"/>
    <col min="18" max="18" width="9" bestFit="1" customWidth="1"/>
    <col min="24" max="25" width="12" bestFit="1" customWidth="1"/>
    <col min="26" max="26" width="9" bestFit="1" customWidth="1"/>
    <col min="27" max="28" width="12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1</v>
      </c>
      <c r="B2" t="s">
        <v>28</v>
      </c>
      <c r="C2">
        <v>21355.620179099998</v>
      </c>
      <c r="D2">
        <v>355.927002985</v>
      </c>
      <c r="E2" t="s">
        <v>29</v>
      </c>
      <c r="F2" t="s">
        <v>30</v>
      </c>
      <c r="G2" t="s">
        <v>31</v>
      </c>
      <c r="H2" t="s">
        <v>32</v>
      </c>
      <c r="I2">
        <v>0.4181831086608338</v>
      </c>
      <c r="J2">
        <v>0.24043369167794559</v>
      </c>
      <c r="K2">
        <v>0.65861680033877945</v>
      </c>
      <c r="L2" t="s">
        <v>33</v>
      </c>
      <c r="M2">
        <v>1001</v>
      </c>
      <c r="N2">
        <v>1.9032249638027111E-3</v>
      </c>
      <c r="O2">
        <v>0.29541192861617471</v>
      </c>
      <c r="P2">
        <v>1.0807120123571829</v>
      </c>
      <c r="Q2">
        <v>4.1534149641260703</v>
      </c>
      <c r="R2">
        <v>9.6469999999999993E-3</v>
      </c>
      <c r="S2">
        <v>8.5518540000000005</v>
      </c>
      <c r="T2">
        <v>7.1656500000000003</v>
      </c>
      <c r="U2">
        <v>44.150669999999998</v>
      </c>
      <c r="V2">
        <v>42.528283999999999</v>
      </c>
      <c r="W2">
        <v>1E-4</v>
      </c>
      <c r="X2">
        <v>1.745039102376857</v>
      </c>
      <c r="Y2">
        <v>7.3891878611952819</v>
      </c>
      <c r="Z2">
        <v>1.6426339999999999</v>
      </c>
      <c r="AA2">
        <v>0.16193672239923571</v>
      </c>
      <c r="AB2">
        <v>0.72451861909053172</v>
      </c>
    </row>
    <row r="3" spans="1:28" x14ac:dyDescent="0.3">
      <c r="A3">
        <v>2</v>
      </c>
      <c r="B3" t="s">
        <v>34</v>
      </c>
      <c r="C3">
        <v>9469.7948267999964</v>
      </c>
      <c r="D3">
        <v>157.82991377999991</v>
      </c>
      <c r="E3" t="s">
        <v>35</v>
      </c>
      <c r="F3" t="s">
        <v>36</v>
      </c>
      <c r="G3" t="s">
        <v>37</v>
      </c>
      <c r="H3" t="s">
        <v>38</v>
      </c>
      <c r="I3">
        <v>0.39086696058418008</v>
      </c>
      <c r="J3">
        <v>0.16286837705046439</v>
      </c>
      <c r="K3">
        <v>0.55373533763464455</v>
      </c>
      <c r="L3" t="s">
        <v>33</v>
      </c>
      <c r="M3">
        <v>284</v>
      </c>
      <c r="N3">
        <v>7.7359623701500103E-4</v>
      </c>
      <c r="O3">
        <v>0.29701452738608841</v>
      </c>
      <c r="P3">
        <v>2.5120980034884481</v>
      </c>
      <c r="Q3">
        <v>2.7799606585442591</v>
      </c>
      <c r="R3">
        <v>9.6469999999999993E-3</v>
      </c>
      <c r="S3">
        <v>8.5518540000000005</v>
      </c>
      <c r="T3">
        <v>7.1656500000000003</v>
      </c>
      <c r="U3">
        <v>44.150669999999998</v>
      </c>
      <c r="V3">
        <v>42.528283999999999</v>
      </c>
      <c r="W3">
        <v>1E-4</v>
      </c>
      <c r="X3">
        <v>1.7117583896901321</v>
      </c>
      <c r="Y3">
        <v>9.0852135545474653</v>
      </c>
      <c r="Z3">
        <v>1.6426339999999999</v>
      </c>
      <c r="AA3">
        <v>0.3898720899530132</v>
      </c>
      <c r="AB3">
        <v>0.45174708173034628</v>
      </c>
    </row>
    <row r="4" spans="1:28" x14ac:dyDescent="0.3">
      <c r="A4">
        <v>3</v>
      </c>
      <c r="B4" t="s">
        <v>39</v>
      </c>
      <c r="C4">
        <v>2729.8336870999992</v>
      </c>
      <c r="D4">
        <v>45.497228118333318</v>
      </c>
      <c r="E4" t="s">
        <v>40</v>
      </c>
      <c r="F4" t="s">
        <v>41</v>
      </c>
      <c r="G4" t="s">
        <v>42</v>
      </c>
      <c r="H4" t="s">
        <v>43</v>
      </c>
      <c r="I4">
        <v>0.32545208257719771</v>
      </c>
      <c r="J4">
        <v>0.44128851063972779</v>
      </c>
      <c r="K4">
        <v>0.76674059321692556</v>
      </c>
      <c r="L4" t="s">
        <v>33</v>
      </c>
      <c r="M4">
        <v>159</v>
      </c>
      <c r="N4">
        <v>9.0799214031174014E-4</v>
      </c>
      <c r="O4">
        <v>0.5337735734588791</v>
      </c>
      <c r="P4">
        <v>2.285402627127445</v>
      </c>
      <c r="Q4">
        <v>5.9972105893404324</v>
      </c>
      <c r="R4">
        <v>9.6469999999999993E-3</v>
      </c>
      <c r="S4">
        <v>8.5518540000000005</v>
      </c>
      <c r="T4">
        <v>7.1656500000000003</v>
      </c>
      <c r="U4">
        <v>44.150669999999998</v>
      </c>
      <c r="V4">
        <v>42.528283999999999</v>
      </c>
      <c r="W4">
        <v>1E-4</v>
      </c>
      <c r="X4">
        <v>0.86788189103816182</v>
      </c>
      <c r="Y4">
        <v>8.9558229734451285</v>
      </c>
      <c r="Z4">
        <v>1.6426339999999999</v>
      </c>
      <c r="AA4">
        <v>0.23209247010363371</v>
      </c>
      <c r="AB4">
        <v>0.71824017668367679</v>
      </c>
    </row>
    <row r="5" spans="1:28" x14ac:dyDescent="0.3">
      <c r="A5">
        <v>4</v>
      </c>
      <c r="B5" t="s">
        <v>44</v>
      </c>
      <c r="C5">
        <v>17674.715030200001</v>
      </c>
      <c r="D5">
        <v>294.57858383666672</v>
      </c>
      <c r="E5" t="s">
        <v>45</v>
      </c>
      <c r="F5" t="s">
        <v>46</v>
      </c>
      <c r="G5" t="s">
        <v>47</v>
      </c>
      <c r="H5" t="s">
        <v>48</v>
      </c>
      <c r="I5">
        <v>0.46792843593772909</v>
      </c>
      <c r="J5">
        <v>0.25347250458066761</v>
      </c>
      <c r="K5">
        <v>0.72140094051839676</v>
      </c>
      <c r="L5" t="s">
        <v>33</v>
      </c>
      <c r="M5">
        <v>667</v>
      </c>
      <c r="N5">
        <v>9.5179066944673762E-4</v>
      </c>
      <c r="O5">
        <v>0.47138958375402612</v>
      </c>
      <c r="P5">
        <v>2.449770162088063</v>
      </c>
      <c r="Q5">
        <v>4.9885567960075106</v>
      </c>
      <c r="R5">
        <v>9.6469999999999993E-3</v>
      </c>
      <c r="S5">
        <v>8.5518540000000005</v>
      </c>
      <c r="T5">
        <v>7.1656500000000003</v>
      </c>
      <c r="U5">
        <v>44.150669999999998</v>
      </c>
      <c r="V5">
        <v>42.528283999999999</v>
      </c>
      <c r="W5">
        <v>1E-4</v>
      </c>
      <c r="X5">
        <v>1.038609206626145</v>
      </c>
      <c r="Y5">
        <v>4.5778056056788881</v>
      </c>
      <c r="Z5">
        <v>1.6426339999999999</v>
      </c>
      <c r="AA5">
        <v>0.26186610120920639</v>
      </c>
      <c r="AB5">
        <v>0.63704130966377503</v>
      </c>
    </row>
    <row r="6" spans="1:28" x14ac:dyDescent="0.3">
      <c r="A6">
        <v>5</v>
      </c>
      <c r="B6" t="s">
        <v>49</v>
      </c>
      <c r="C6">
        <v>2880.0720576000022</v>
      </c>
      <c r="D6">
        <v>48.001200960000027</v>
      </c>
      <c r="E6" t="s">
        <v>50</v>
      </c>
      <c r="F6" t="s">
        <v>51</v>
      </c>
      <c r="G6" t="s">
        <v>52</v>
      </c>
      <c r="H6" t="s">
        <v>53</v>
      </c>
      <c r="I6">
        <v>0.44298732892107612</v>
      </c>
      <c r="J6">
        <v>0.18470486669153499</v>
      </c>
      <c r="K6">
        <v>0.62769219561261114</v>
      </c>
      <c r="L6" t="s">
        <v>33</v>
      </c>
      <c r="M6">
        <v>129</v>
      </c>
      <c r="N6">
        <v>2.9145483588285628E-4</v>
      </c>
      <c r="O6">
        <v>0.34319683497392622</v>
      </c>
      <c r="P6">
        <v>3.1970199806343378</v>
      </c>
      <c r="Q6">
        <v>4.1723472398506134</v>
      </c>
      <c r="R6">
        <v>9.6469999999999993E-3</v>
      </c>
      <c r="S6">
        <v>8.5518540000000005</v>
      </c>
      <c r="T6">
        <v>7.1656500000000003</v>
      </c>
      <c r="U6">
        <v>44.150669999999998</v>
      </c>
      <c r="V6">
        <v>42.528283999999999</v>
      </c>
      <c r="W6">
        <v>1E-4</v>
      </c>
      <c r="X6">
        <v>1.10832362994069</v>
      </c>
      <c r="Y6">
        <v>4.2278487286449717</v>
      </c>
      <c r="Z6">
        <v>1.6426339999999999</v>
      </c>
      <c r="AA6">
        <v>0.35820069269704302</v>
      </c>
      <c r="AB6">
        <v>0.48659237255867432</v>
      </c>
    </row>
    <row r="7" spans="1:28" x14ac:dyDescent="0.3">
      <c r="A7">
        <v>6</v>
      </c>
      <c r="B7" t="s">
        <v>54</v>
      </c>
      <c r="C7">
        <v>5058.1159708000014</v>
      </c>
      <c r="D7">
        <v>84.301932846666688</v>
      </c>
      <c r="E7" t="s">
        <v>55</v>
      </c>
      <c r="F7" t="s">
        <v>56</v>
      </c>
      <c r="G7" t="s">
        <v>57</v>
      </c>
      <c r="H7" t="s">
        <v>58</v>
      </c>
      <c r="I7">
        <v>0.41332725750143562</v>
      </c>
      <c r="J7">
        <v>0.14579767015374309</v>
      </c>
      <c r="K7">
        <v>0.55912492765517874</v>
      </c>
      <c r="L7" t="s">
        <v>33</v>
      </c>
      <c r="M7">
        <v>168</v>
      </c>
      <c r="N7">
        <v>9.9516733469789476E-4</v>
      </c>
      <c r="O7">
        <v>0.38079959632394272</v>
      </c>
      <c r="P7">
        <v>2.3209379088290678</v>
      </c>
      <c r="Q7">
        <v>1.822644047594586</v>
      </c>
      <c r="R7">
        <v>9.6469999999999993E-3</v>
      </c>
      <c r="S7">
        <v>8.5518540000000005</v>
      </c>
      <c r="T7">
        <v>7.1656500000000003</v>
      </c>
      <c r="U7">
        <v>44.150669999999998</v>
      </c>
      <c r="V7">
        <v>42.528283999999999</v>
      </c>
      <c r="W7">
        <v>1E-4</v>
      </c>
      <c r="X7">
        <v>2.5293171832553871</v>
      </c>
      <c r="Y7">
        <v>7.8987416874442076</v>
      </c>
      <c r="Z7">
        <v>1.6426339999999999</v>
      </c>
      <c r="AA7">
        <v>0.38652556495495</v>
      </c>
      <c r="AB7">
        <v>0.55338556758956214</v>
      </c>
    </row>
    <row r="8" spans="1:28" x14ac:dyDescent="0.3">
      <c r="A8">
        <v>7</v>
      </c>
      <c r="B8" t="s">
        <v>59</v>
      </c>
      <c r="C8">
        <v>4754.6665093000047</v>
      </c>
      <c r="D8">
        <v>79.24444182166674</v>
      </c>
      <c r="E8" t="s">
        <v>60</v>
      </c>
      <c r="F8" t="s">
        <v>61</v>
      </c>
      <c r="G8" t="s">
        <v>62</v>
      </c>
      <c r="H8" t="s">
        <v>63</v>
      </c>
      <c r="I8">
        <v>0.2868300775760651</v>
      </c>
      <c r="J8">
        <v>0.15604918076130339</v>
      </c>
      <c r="K8">
        <v>0.44287925833736852</v>
      </c>
      <c r="L8" t="s">
        <v>33</v>
      </c>
      <c r="M8">
        <v>109</v>
      </c>
      <c r="N8">
        <v>9.7137238668369415E-4</v>
      </c>
      <c r="O8">
        <v>0.14208751557056981</v>
      </c>
      <c r="P8">
        <v>0.45990586627866498</v>
      </c>
      <c r="Q8">
        <v>5.4681484205192321</v>
      </c>
      <c r="R8">
        <v>9.6469999999999993E-3</v>
      </c>
      <c r="S8">
        <v>8.5518540000000005</v>
      </c>
      <c r="T8">
        <v>7.1656500000000003</v>
      </c>
      <c r="U8">
        <v>44.150669999999998</v>
      </c>
      <c r="V8">
        <v>42.528283999999999</v>
      </c>
      <c r="W8">
        <v>1E-4</v>
      </c>
      <c r="X8">
        <v>4.2052763182869759</v>
      </c>
      <c r="Y8">
        <v>7.6599110660515448</v>
      </c>
      <c r="Z8">
        <v>1.6426339999999999</v>
      </c>
      <c r="AA8">
        <v>0.28336809208642882</v>
      </c>
      <c r="AB8">
        <v>0.51141453121453917</v>
      </c>
    </row>
    <row r="9" spans="1:28" x14ac:dyDescent="0.3">
      <c r="A9">
        <v>8</v>
      </c>
      <c r="B9" t="s">
        <v>64</v>
      </c>
      <c r="C9">
        <v>1518.2897913999991</v>
      </c>
      <c r="D9">
        <v>25.30482985666664</v>
      </c>
      <c r="E9" t="s">
        <v>65</v>
      </c>
      <c r="F9" t="s">
        <v>66</v>
      </c>
      <c r="G9" t="s">
        <v>67</v>
      </c>
      <c r="H9" t="s">
        <v>68</v>
      </c>
      <c r="I9">
        <v>0.49900899582302483</v>
      </c>
      <c r="J9">
        <v>0.30438804804581021</v>
      </c>
      <c r="K9">
        <v>0.80339704386883493</v>
      </c>
      <c r="L9" t="s">
        <v>33</v>
      </c>
      <c r="M9">
        <v>110</v>
      </c>
      <c r="N9">
        <v>9.9536871617720798E-4</v>
      </c>
      <c r="O9">
        <v>0.46584535413299832</v>
      </c>
      <c r="P9">
        <v>2.2952486338042308</v>
      </c>
      <c r="Q9">
        <v>4.9616860498417994</v>
      </c>
      <c r="R9">
        <v>9.6469999999999993E-3</v>
      </c>
      <c r="S9">
        <v>8.5518540000000005</v>
      </c>
      <c r="T9">
        <v>7.1656500000000003</v>
      </c>
      <c r="U9">
        <v>44.150669999999998</v>
      </c>
      <c r="V9">
        <v>42.528283999999999</v>
      </c>
      <c r="W9">
        <v>1E-4</v>
      </c>
      <c r="X9">
        <v>1.101102385201937</v>
      </c>
      <c r="Y9">
        <v>4.8738253491899162</v>
      </c>
      <c r="Z9">
        <v>1.6426339999999999</v>
      </c>
      <c r="AA9">
        <v>0.28145821545817029</v>
      </c>
      <c r="AB9">
        <v>0.60336356151998716</v>
      </c>
    </row>
    <row r="10" spans="1:28" x14ac:dyDescent="0.3">
      <c r="A10">
        <v>9</v>
      </c>
      <c r="B10" t="s">
        <v>69</v>
      </c>
      <c r="C10">
        <v>5784.8807809999998</v>
      </c>
      <c r="D10">
        <v>96.414679683333333</v>
      </c>
      <c r="E10" t="s">
        <v>70</v>
      </c>
      <c r="F10" t="s">
        <v>71</v>
      </c>
      <c r="G10" t="s">
        <v>72</v>
      </c>
      <c r="H10" t="s">
        <v>73</v>
      </c>
      <c r="I10">
        <v>0.4953205860564035</v>
      </c>
      <c r="J10">
        <v>0.171815593223446</v>
      </c>
      <c r="K10">
        <v>0.66713617927984947</v>
      </c>
      <c r="L10" t="s">
        <v>33</v>
      </c>
      <c r="M10">
        <v>186</v>
      </c>
      <c r="N10">
        <v>9.9378173412843036E-4</v>
      </c>
      <c r="O10">
        <v>0.24934893145765549</v>
      </c>
      <c r="P10">
        <v>2.3728048332206679</v>
      </c>
      <c r="Q10">
        <v>5.3413059802445444</v>
      </c>
      <c r="R10">
        <v>9.6469999999999993E-3</v>
      </c>
      <c r="S10">
        <v>8.5518540000000005</v>
      </c>
      <c r="T10">
        <v>7.1656500000000003</v>
      </c>
      <c r="U10">
        <v>44.150669999999998</v>
      </c>
      <c r="V10">
        <v>42.528283999999999</v>
      </c>
      <c r="W10">
        <v>1E-4</v>
      </c>
      <c r="X10">
        <v>1.3113274728454181</v>
      </c>
      <c r="Y10">
        <v>8.2483746524872092</v>
      </c>
      <c r="Z10">
        <v>1.6426339999999999</v>
      </c>
      <c r="AA10">
        <v>0.39278547712585238</v>
      </c>
      <c r="AB10">
        <v>0.41439551062845248</v>
      </c>
    </row>
    <row r="11" spans="1:28" x14ac:dyDescent="0.3">
      <c r="A11">
        <v>10</v>
      </c>
      <c r="B11" t="s">
        <v>74</v>
      </c>
      <c r="C11">
        <v>5977.5398934999976</v>
      </c>
      <c r="D11">
        <v>99.625664891666631</v>
      </c>
      <c r="E11" t="s">
        <v>75</v>
      </c>
      <c r="F11" t="s">
        <v>76</v>
      </c>
      <c r="G11" t="s">
        <v>77</v>
      </c>
      <c r="H11" t="s">
        <v>78</v>
      </c>
      <c r="I11">
        <v>0.32648786245877032</v>
      </c>
      <c r="J11">
        <v>0.466427861527133</v>
      </c>
      <c r="K11">
        <v>0.79291572398590326</v>
      </c>
      <c r="L11" t="s">
        <v>33</v>
      </c>
      <c r="M11">
        <v>380</v>
      </c>
      <c r="N11">
        <v>9.8392610996334419E-4</v>
      </c>
      <c r="O11">
        <v>0.47046040659296912</v>
      </c>
      <c r="P11">
        <v>3.150002934864867</v>
      </c>
      <c r="Q11">
        <v>6.6728979452970067</v>
      </c>
      <c r="R11">
        <v>9.6469999999999993E-3</v>
      </c>
      <c r="S11">
        <v>8.5518540000000005</v>
      </c>
      <c r="T11">
        <v>7.1656500000000003</v>
      </c>
      <c r="U11">
        <v>44.150669999999998</v>
      </c>
      <c r="V11">
        <v>42.528283999999999</v>
      </c>
      <c r="W11">
        <v>1E-4</v>
      </c>
      <c r="X11">
        <v>0.69129640613760612</v>
      </c>
      <c r="Y11">
        <v>3.7029882899964019</v>
      </c>
      <c r="Z11">
        <v>1.6426339999999999</v>
      </c>
      <c r="AA11">
        <v>0.28570995760214918</v>
      </c>
      <c r="AB11">
        <v>0.60088436763355257</v>
      </c>
    </row>
    <row r="12" spans="1:28" x14ac:dyDescent="0.3">
      <c r="A12">
        <v>11</v>
      </c>
      <c r="B12" t="s">
        <v>79</v>
      </c>
      <c r="C12">
        <v>6070.3808350999971</v>
      </c>
      <c r="D12">
        <v>101.1730139183333</v>
      </c>
      <c r="E12" t="s">
        <v>80</v>
      </c>
      <c r="F12" t="s">
        <v>81</v>
      </c>
      <c r="G12" t="s">
        <v>82</v>
      </c>
      <c r="H12" t="s">
        <v>83</v>
      </c>
      <c r="I12">
        <v>0.28361815696000181</v>
      </c>
      <c r="J12">
        <v>0.47687190883567693</v>
      </c>
      <c r="K12">
        <v>0.76049006579567868</v>
      </c>
      <c r="L12" t="s">
        <v>33</v>
      </c>
      <c r="M12">
        <v>395</v>
      </c>
      <c r="N12">
        <v>9.8188086133507995E-4</v>
      </c>
      <c r="O12">
        <v>0.47174084938113131</v>
      </c>
      <c r="P12">
        <v>1.102587558971053</v>
      </c>
      <c r="Q12">
        <v>4.3915125181102992</v>
      </c>
      <c r="R12">
        <v>9.6469999999999993E-3</v>
      </c>
      <c r="S12">
        <v>8.5518540000000005</v>
      </c>
      <c r="T12">
        <v>7.1656500000000003</v>
      </c>
      <c r="U12">
        <v>44.150669999999998</v>
      </c>
      <c r="V12">
        <v>42.528283999999999</v>
      </c>
      <c r="W12">
        <v>1E-4</v>
      </c>
      <c r="X12">
        <v>1.596560452176909</v>
      </c>
      <c r="Y12">
        <v>4.8033791492399764</v>
      </c>
      <c r="Z12">
        <v>1.6426339999999999</v>
      </c>
      <c r="AA12">
        <v>0.17081215307933531</v>
      </c>
      <c r="AB12">
        <v>0.83466198370637157</v>
      </c>
    </row>
    <row r="13" spans="1:28" x14ac:dyDescent="0.3">
      <c r="A13">
        <v>12</v>
      </c>
      <c r="B13" t="s">
        <v>84</v>
      </c>
      <c r="C13">
        <v>5272.4776622999998</v>
      </c>
      <c r="D13">
        <v>87.874627704999995</v>
      </c>
      <c r="E13" t="s">
        <v>85</v>
      </c>
      <c r="F13" t="s">
        <v>86</v>
      </c>
      <c r="G13" t="s">
        <v>87</v>
      </c>
      <c r="H13" t="s">
        <v>88</v>
      </c>
      <c r="I13">
        <v>0.44071129184156133</v>
      </c>
      <c r="J13">
        <v>0.1643868741689592</v>
      </c>
      <c r="K13">
        <v>0.60509816601052047</v>
      </c>
      <c r="L13" t="s">
        <v>33</v>
      </c>
      <c r="M13">
        <v>131</v>
      </c>
      <c r="N13">
        <v>8.6547662717222442E-4</v>
      </c>
      <c r="O13">
        <v>0.32457731896641823</v>
      </c>
      <c r="P13">
        <v>2.3197000661008449</v>
      </c>
      <c r="Q13">
        <v>3.3694346529922181</v>
      </c>
      <c r="R13">
        <v>9.6469999999999993E-3</v>
      </c>
      <c r="S13">
        <v>8.5518540000000005</v>
      </c>
      <c r="T13">
        <v>7.1656500000000003</v>
      </c>
      <c r="U13">
        <v>44.150669999999998</v>
      </c>
      <c r="V13">
        <v>42.528283999999999</v>
      </c>
      <c r="W13">
        <v>1E-4</v>
      </c>
      <c r="X13">
        <v>1.692008453753201</v>
      </c>
      <c r="Y13">
        <v>3.9739524605900849</v>
      </c>
      <c r="Z13">
        <v>1.6426339999999999</v>
      </c>
      <c r="AA13">
        <v>0.35463823552422308</v>
      </c>
      <c r="AB13">
        <v>0.51754435658967124</v>
      </c>
    </row>
    <row r="14" spans="1:28" x14ac:dyDescent="0.3">
      <c r="A14">
        <v>13</v>
      </c>
      <c r="B14" t="s">
        <v>89</v>
      </c>
      <c r="C14">
        <v>6713.4842721999958</v>
      </c>
      <c r="D14">
        <v>111.8914045366666</v>
      </c>
      <c r="E14" t="s">
        <v>90</v>
      </c>
      <c r="F14" t="s">
        <v>91</v>
      </c>
      <c r="G14" t="s">
        <v>92</v>
      </c>
      <c r="H14" t="s">
        <v>93</v>
      </c>
      <c r="I14">
        <v>0.50171796986760742</v>
      </c>
      <c r="J14">
        <v>0.1097582830216849</v>
      </c>
      <c r="K14">
        <v>0.6114762528892923</v>
      </c>
      <c r="L14" t="s">
        <v>33</v>
      </c>
      <c r="M14">
        <v>276</v>
      </c>
      <c r="N14">
        <v>6.0981427898834368E-4</v>
      </c>
      <c r="O14">
        <v>0.23857486332263461</v>
      </c>
      <c r="P14">
        <v>2.392300558499814</v>
      </c>
      <c r="Q14">
        <v>3.4016058063920132</v>
      </c>
      <c r="R14">
        <v>9.6469999999999993E-3</v>
      </c>
      <c r="S14">
        <v>8.5518540000000005</v>
      </c>
      <c r="T14">
        <v>7.1656500000000003</v>
      </c>
      <c r="U14">
        <v>44.150669999999998</v>
      </c>
      <c r="V14">
        <v>42.528283999999999</v>
      </c>
      <c r="W14">
        <v>1E-4</v>
      </c>
      <c r="X14">
        <v>1.529744449291137</v>
      </c>
      <c r="Y14">
        <v>5.9695849358221258</v>
      </c>
      <c r="Z14">
        <v>1.6426339999999999</v>
      </c>
      <c r="AA14">
        <v>0.33918208556885121</v>
      </c>
      <c r="AB14">
        <v>0.49984736692021808</v>
      </c>
    </row>
    <row r="15" spans="1:28" x14ac:dyDescent="0.3">
      <c r="A15">
        <v>14</v>
      </c>
      <c r="B15" t="s">
        <v>94</v>
      </c>
      <c r="C15">
        <v>1840.710800899993</v>
      </c>
      <c r="D15">
        <v>30.678513348333219</v>
      </c>
      <c r="E15" t="s">
        <v>95</v>
      </c>
      <c r="F15" t="s">
        <v>96</v>
      </c>
      <c r="G15" t="s">
        <v>97</v>
      </c>
      <c r="H15" t="s">
        <v>98</v>
      </c>
      <c r="I15">
        <v>0.53713759613749512</v>
      </c>
      <c r="J15">
        <v>0.2072616344201276</v>
      </c>
      <c r="K15">
        <v>0.7443992305576228</v>
      </c>
      <c r="L15" t="s">
        <v>33</v>
      </c>
      <c r="M15">
        <v>114</v>
      </c>
      <c r="N15">
        <v>9.9442752869577768E-4</v>
      </c>
      <c r="O15">
        <v>0.20408321365920271</v>
      </c>
      <c r="P15">
        <v>2.4070000780265142</v>
      </c>
      <c r="Q15">
        <v>5.2395933384678912</v>
      </c>
      <c r="R15">
        <v>9.6469999999999993E-3</v>
      </c>
      <c r="S15">
        <v>8.5518540000000005</v>
      </c>
      <c r="T15">
        <v>7.1656500000000003</v>
      </c>
      <c r="U15">
        <v>44.150669999999998</v>
      </c>
      <c r="V15">
        <v>42.528283999999999</v>
      </c>
      <c r="W15">
        <v>1E-4</v>
      </c>
      <c r="X15">
        <v>1.137591756407329</v>
      </c>
      <c r="Y15">
        <v>5.2872908839122159</v>
      </c>
      <c r="Z15">
        <v>1.6426339999999999</v>
      </c>
      <c r="AA15">
        <v>0.24169777916515309</v>
      </c>
      <c r="AB15">
        <v>0.65252543020821352</v>
      </c>
    </row>
    <row r="16" spans="1:28" x14ac:dyDescent="0.3">
      <c r="A16">
        <v>15</v>
      </c>
      <c r="B16" t="s">
        <v>99</v>
      </c>
      <c r="C16">
        <v>2875.0397290999972</v>
      </c>
      <c r="D16">
        <v>47.917328818333289</v>
      </c>
      <c r="E16" t="s">
        <v>100</v>
      </c>
      <c r="F16" t="s">
        <v>101</v>
      </c>
      <c r="G16" t="s">
        <v>102</v>
      </c>
      <c r="H16" t="s">
        <v>103</v>
      </c>
      <c r="I16">
        <v>0.5162108304035733</v>
      </c>
      <c r="J16">
        <v>0.28833623242932371</v>
      </c>
      <c r="K16">
        <v>0.80454706283289701</v>
      </c>
      <c r="L16" t="s">
        <v>33</v>
      </c>
      <c r="M16">
        <v>130</v>
      </c>
      <c r="N16">
        <v>9.8917556214505329E-4</v>
      </c>
      <c r="O16">
        <v>0.60523251311714543</v>
      </c>
      <c r="P16">
        <v>2.904414123946371</v>
      </c>
      <c r="Q16">
        <v>6.3134106819813498</v>
      </c>
      <c r="R16">
        <v>9.6469999999999993E-3</v>
      </c>
      <c r="S16">
        <v>8.5518540000000005</v>
      </c>
      <c r="T16">
        <v>7.1656500000000003</v>
      </c>
      <c r="U16">
        <v>44.150669999999998</v>
      </c>
      <c r="V16">
        <v>42.528283999999999</v>
      </c>
      <c r="W16">
        <v>1E-4</v>
      </c>
      <c r="X16">
        <v>0.87849092076261881</v>
      </c>
      <c r="Y16">
        <v>9.7765942132016548</v>
      </c>
      <c r="Z16">
        <v>1.6426339999999999</v>
      </c>
      <c r="AA16">
        <v>0.25216673013270818</v>
      </c>
      <c r="AB16">
        <v>0.75359003715735162</v>
      </c>
    </row>
    <row r="17" spans="1:28" x14ac:dyDescent="0.3">
      <c r="A17">
        <v>16</v>
      </c>
      <c r="B17" t="s">
        <v>104</v>
      </c>
      <c r="C17">
        <v>6327.2442321999988</v>
      </c>
      <c r="D17">
        <v>105.45407053666661</v>
      </c>
      <c r="E17" t="s">
        <v>105</v>
      </c>
      <c r="F17" t="s">
        <v>106</v>
      </c>
      <c r="G17" t="s">
        <v>107</v>
      </c>
      <c r="H17" t="s">
        <v>108</v>
      </c>
      <c r="I17">
        <v>0.45740253237893042</v>
      </c>
      <c r="J17">
        <v>0.20878208573156981</v>
      </c>
      <c r="K17">
        <v>0.66618461811050023</v>
      </c>
      <c r="L17" t="s">
        <v>33</v>
      </c>
      <c r="M17">
        <v>369</v>
      </c>
      <c r="N17">
        <v>8.6686443451453759E-4</v>
      </c>
      <c r="O17">
        <v>0.1579439602214163</v>
      </c>
      <c r="P17">
        <v>2.355137148972053</v>
      </c>
      <c r="Q17">
        <v>5.1002190904986877</v>
      </c>
      <c r="R17">
        <v>9.6469999999999993E-3</v>
      </c>
      <c r="S17">
        <v>8.5518540000000005</v>
      </c>
      <c r="T17">
        <v>7.1656500000000003</v>
      </c>
      <c r="U17">
        <v>44.150669999999998</v>
      </c>
      <c r="V17">
        <v>42.528283999999999</v>
      </c>
      <c r="W17">
        <v>1E-4</v>
      </c>
      <c r="X17">
        <v>1.118415254197823</v>
      </c>
      <c r="Y17">
        <v>8.2864610381937229</v>
      </c>
      <c r="Z17">
        <v>1.6426339999999999</v>
      </c>
      <c r="AA17">
        <v>0.25084902990772112</v>
      </c>
      <c r="AB17">
        <v>0.70531814315515684</v>
      </c>
    </row>
    <row r="18" spans="1:28" x14ac:dyDescent="0.3">
      <c r="A18">
        <v>17</v>
      </c>
      <c r="B18" t="s">
        <v>109</v>
      </c>
      <c r="C18">
        <v>21599.756506000009</v>
      </c>
      <c r="D18">
        <v>359.99594176666682</v>
      </c>
      <c r="E18" t="s">
        <v>110</v>
      </c>
      <c r="F18" t="s">
        <v>111</v>
      </c>
      <c r="G18" t="s">
        <v>112</v>
      </c>
      <c r="H18" t="s">
        <v>113</v>
      </c>
      <c r="I18">
        <v>0.34733197304329849</v>
      </c>
      <c r="J18">
        <v>0.22409851946676779</v>
      </c>
      <c r="K18">
        <v>0.57143049251006639</v>
      </c>
      <c r="L18" t="s">
        <v>33</v>
      </c>
      <c r="M18">
        <v>1001</v>
      </c>
      <c r="N18">
        <v>1.9473455526333599E-2</v>
      </c>
      <c r="O18">
        <v>0.40363681922054673</v>
      </c>
      <c r="P18">
        <v>0.80762974192179127</v>
      </c>
      <c r="Q18">
        <v>4.0271430284063969</v>
      </c>
      <c r="R18">
        <v>9.6469999999999993E-3</v>
      </c>
      <c r="S18">
        <v>8.5518540000000005</v>
      </c>
      <c r="T18">
        <v>7.1656500000000003</v>
      </c>
      <c r="U18">
        <v>44.150669999999998</v>
      </c>
      <c r="V18">
        <v>42.528283999999999</v>
      </c>
      <c r="W18">
        <v>1E-4</v>
      </c>
      <c r="X18">
        <v>2.383885966258056</v>
      </c>
      <c r="Y18">
        <v>2.7991870033666779</v>
      </c>
      <c r="Z18">
        <v>1.6426339999999999</v>
      </c>
      <c r="AA18">
        <v>0.21171360604458109</v>
      </c>
      <c r="AB18">
        <v>0.56681751349959086</v>
      </c>
    </row>
    <row r="19" spans="1:28" x14ac:dyDescent="0.3">
      <c r="A19">
        <v>18</v>
      </c>
      <c r="B19" t="s">
        <v>114</v>
      </c>
      <c r="C19">
        <v>5173.2200551999986</v>
      </c>
      <c r="D19">
        <v>86.22033425333332</v>
      </c>
      <c r="E19" t="s">
        <v>115</v>
      </c>
      <c r="F19" t="s">
        <v>116</v>
      </c>
      <c r="G19" t="s">
        <v>117</v>
      </c>
      <c r="H19" t="s">
        <v>118</v>
      </c>
      <c r="I19">
        <v>0.37463073790427159</v>
      </c>
      <c r="J19">
        <v>0.1038026107518302</v>
      </c>
      <c r="K19">
        <v>0.47843334865610182</v>
      </c>
      <c r="L19" t="s">
        <v>33</v>
      </c>
      <c r="M19">
        <v>287</v>
      </c>
      <c r="N19">
        <v>9.8874625013263963E-4</v>
      </c>
      <c r="O19">
        <v>0.19313677963358211</v>
      </c>
      <c r="P19">
        <v>2.2382635632183079</v>
      </c>
      <c r="Q19">
        <v>1.4661058550768269</v>
      </c>
      <c r="R19">
        <v>9.6469999999999993E-3</v>
      </c>
      <c r="S19">
        <v>8.5518540000000005</v>
      </c>
      <c r="T19">
        <v>7.1656500000000003</v>
      </c>
      <c r="U19">
        <v>44.150669999999998</v>
      </c>
      <c r="V19">
        <v>42.528283999999999</v>
      </c>
      <c r="W19">
        <v>1E-4</v>
      </c>
      <c r="X19">
        <v>3.0381219958345249</v>
      </c>
      <c r="Y19">
        <v>5.1097696737637568</v>
      </c>
      <c r="Z19">
        <v>1.6426339999999999</v>
      </c>
      <c r="AA19">
        <v>0.43052186019561162</v>
      </c>
      <c r="AB19">
        <v>0.46277922374138658</v>
      </c>
    </row>
    <row r="20" spans="1:28" x14ac:dyDescent="0.3">
      <c r="A20">
        <v>19</v>
      </c>
      <c r="B20" t="s">
        <v>119</v>
      </c>
      <c r="C20">
        <v>5381.0277627000032</v>
      </c>
      <c r="D20">
        <v>89.683796045000051</v>
      </c>
      <c r="E20" t="s">
        <v>120</v>
      </c>
      <c r="F20" t="s">
        <v>121</v>
      </c>
      <c r="G20" t="s">
        <v>122</v>
      </c>
      <c r="H20" t="s">
        <v>123</v>
      </c>
      <c r="I20">
        <v>0.51964880460280738</v>
      </c>
      <c r="J20">
        <v>0.14328917160455501</v>
      </c>
      <c r="K20">
        <v>0.66293797620736239</v>
      </c>
      <c r="L20" t="s">
        <v>33</v>
      </c>
      <c r="M20">
        <v>246</v>
      </c>
      <c r="N20">
        <v>9.5388559707426863E-4</v>
      </c>
      <c r="O20">
        <v>0.25293484454744802</v>
      </c>
      <c r="P20">
        <v>2.5404979640593668</v>
      </c>
      <c r="Q20">
        <v>4.4885714024272421</v>
      </c>
      <c r="R20">
        <v>9.6469999999999993E-3</v>
      </c>
      <c r="S20">
        <v>8.5518540000000005</v>
      </c>
      <c r="T20">
        <v>7.1656500000000003</v>
      </c>
      <c r="U20">
        <v>44.150669999999998</v>
      </c>
      <c r="V20">
        <v>42.528283999999999</v>
      </c>
      <c r="W20">
        <v>1E-4</v>
      </c>
      <c r="X20">
        <v>1.184006702495894</v>
      </c>
      <c r="Y20">
        <v>9.1471672691826011</v>
      </c>
      <c r="Z20">
        <v>1.6426339999999999</v>
      </c>
      <c r="AA20">
        <v>0.30933926571208048</v>
      </c>
      <c r="AB20">
        <v>0.53761599879343525</v>
      </c>
    </row>
    <row r="21" spans="1:28" x14ac:dyDescent="0.3">
      <c r="A21">
        <v>20</v>
      </c>
      <c r="B21" t="s">
        <v>124</v>
      </c>
      <c r="C21">
        <v>2005.8897341000049</v>
      </c>
      <c r="D21">
        <v>33.431495568333411</v>
      </c>
      <c r="E21" t="s">
        <v>125</v>
      </c>
      <c r="F21" t="s">
        <v>126</v>
      </c>
      <c r="G21" t="s">
        <v>127</v>
      </c>
      <c r="H21" t="s">
        <v>128</v>
      </c>
      <c r="I21">
        <v>0.76161981147014923</v>
      </c>
      <c r="J21">
        <v>0.29131359748804991</v>
      </c>
      <c r="K21">
        <v>1.052933408958199</v>
      </c>
      <c r="L21" t="s">
        <v>33</v>
      </c>
      <c r="M21">
        <v>99</v>
      </c>
      <c r="N21">
        <v>8.0568218615505519E-4</v>
      </c>
      <c r="O21">
        <v>0.42685160329266958</v>
      </c>
      <c r="P21">
        <v>2.3606356140349161</v>
      </c>
      <c r="Q21">
        <v>5.4145114590521883</v>
      </c>
      <c r="R21">
        <v>9.6469999999999993E-3</v>
      </c>
      <c r="S21">
        <v>8.5518540000000005</v>
      </c>
      <c r="T21">
        <v>7.1656500000000003</v>
      </c>
      <c r="U21">
        <v>44.150669999999998</v>
      </c>
      <c r="V21">
        <v>42.528283999999999</v>
      </c>
      <c r="W21">
        <v>1E-4</v>
      </c>
      <c r="X21">
        <v>0.91932957187924969</v>
      </c>
      <c r="Y21">
        <v>5.7065338444664544</v>
      </c>
      <c r="Z21">
        <v>1.6426339999999999</v>
      </c>
      <c r="AA21">
        <v>0.1860044670739896</v>
      </c>
      <c r="AB21">
        <v>4.5117791674568402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D0B8-BB97-4DDF-885F-EBBF151A3375}">
  <dimension ref="A1:O25"/>
  <sheetViews>
    <sheetView tabSelected="1" workbookViewId="0">
      <selection activeCell="E26" sqref="E26"/>
    </sheetView>
  </sheetViews>
  <sheetFormatPr baseColWidth="10" defaultRowHeight="14.4" x14ac:dyDescent="0.3"/>
  <cols>
    <col min="1" max="1" width="8.88671875" bestFit="1" customWidth="1"/>
  </cols>
  <sheetData>
    <row r="1" spans="1:15" x14ac:dyDescent="0.3">
      <c r="A1" t="s">
        <v>130</v>
      </c>
      <c r="B1" s="2" t="str">
        <f>resultados!O1</f>
        <v>mu0</v>
      </c>
      <c r="C1" s="2" t="str">
        <f>resultados!P1</f>
        <v>betaG0</v>
      </c>
      <c r="D1" s="2" t="str">
        <f>resultados!Q1</f>
        <v>betaF0</v>
      </c>
      <c r="E1" t="str">
        <f>resultados!R1</f>
        <v>Kn0</v>
      </c>
      <c r="F1" t="str">
        <f>resultados!S1</f>
        <v>Kg0</v>
      </c>
      <c r="G1" t="str">
        <f>resultados!T1</f>
        <v>Kf0</v>
      </c>
      <c r="H1" t="str">
        <f>resultados!U1</f>
        <v>Kig0</v>
      </c>
      <c r="I1" t="str">
        <f>resultados!V1</f>
        <v>Kie0</v>
      </c>
      <c r="J1" t="str">
        <f>resultados!W1</f>
        <v>Kd0</v>
      </c>
      <c r="K1" s="2" t="str">
        <f>resultados!X1</f>
        <v>Yxn</v>
      </c>
      <c r="L1" s="2" t="str">
        <f>resultados!Y1</f>
        <v>Yxg</v>
      </c>
      <c r="M1" t="str">
        <f>resultados!Z1</f>
        <v>Yxf</v>
      </c>
      <c r="N1" s="2" t="str">
        <f>resultados!AA1</f>
        <v>Yeg</v>
      </c>
      <c r="O1" s="2" t="str">
        <f>resultados!AB1</f>
        <v>Yef</v>
      </c>
    </row>
    <row r="2" spans="1:15" x14ac:dyDescent="0.3">
      <c r="A2">
        <v>1</v>
      </c>
      <c r="B2">
        <f>resultados!O2</f>
        <v>0.29541192861617471</v>
      </c>
      <c r="C2">
        <f>resultados!P2</f>
        <v>1.0807120123571829</v>
      </c>
      <c r="D2">
        <f>resultados!Q2</f>
        <v>4.1534149641260703</v>
      </c>
      <c r="E2">
        <f>resultados!R2</f>
        <v>9.6469999999999993E-3</v>
      </c>
      <c r="F2">
        <f>resultados!S2</f>
        <v>8.5518540000000005</v>
      </c>
      <c r="G2">
        <f>resultados!T2</f>
        <v>7.1656500000000003</v>
      </c>
      <c r="H2">
        <f>resultados!U2</f>
        <v>44.150669999999998</v>
      </c>
      <c r="I2">
        <f>resultados!V2</f>
        <v>42.528283999999999</v>
      </c>
      <c r="J2">
        <f>resultados!W2</f>
        <v>1E-4</v>
      </c>
      <c r="K2">
        <f>resultados!X2</f>
        <v>1.745039102376857</v>
      </c>
      <c r="L2">
        <f>resultados!Y2</f>
        <v>7.3891878611952819</v>
      </c>
      <c r="M2">
        <f>resultados!Z2</f>
        <v>1.6426339999999999</v>
      </c>
      <c r="N2">
        <f>resultados!AA2</f>
        <v>0.16193672239923571</v>
      </c>
      <c r="O2">
        <f>resultados!AB2</f>
        <v>0.72451861909053172</v>
      </c>
    </row>
    <row r="3" spans="1:15" x14ac:dyDescent="0.3">
      <c r="A3">
        <v>2</v>
      </c>
      <c r="B3">
        <f>resultados!O3</f>
        <v>0.29701452738608841</v>
      </c>
      <c r="C3">
        <f>resultados!P3</f>
        <v>2.5120980034884481</v>
      </c>
      <c r="D3">
        <f>resultados!Q3</f>
        <v>2.7799606585442591</v>
      </c>
      <c r="E3">
        <f>resultados!R3</f>
        <v>9.6469999999999993E-3</v>
      </c>
      <c r="F3">
        <f>resultados!S3</f>
        <v>8.5518540000000005</v>
      </c>
      <c r="G3">
        <f>resultados!T3</f>
        <v>7.1656500000000003</v>
      </c>
      <c r="H3">
        <f>resultados!U3</f>
        <v>44.150669999999998</v>
      </c>
      <c r="I3">
        <f>resultados!V3</f>
        <v>42.528283999999999</v>
      </c>
      <c r="J3">
        <f>resultados!W3</f>
        <v>1E-4</v>
      </c>
      <c r="K3">
        <f>resultados!X3</f>
        <v>1.7117583896901321</v>
      </c>
      <c r="L3">
        <f>resultados!Y3</f>
        <v>9.0852135545474653</v>
      </c>
      <c r="M3">
        <f>resultados!Z3</f>
        <v>1.6426339999999999</v>
      </c>
      <c r="N3">
        <f>resultados!AA3</f>
        <v>0.3898720899530132</v>
      </c>
      <c r="O3">
        <f>resultados!AB3</f>
        <v>0.45174708173034628</v>
      </c>
    </row>
    <row r="4" spans="1:15" x14ac:dyDescent="0.3">
      <c r="A4">
        <v>3</v>
      </c>
      <c r="B4">
        <f>resultados!O4</f>
        <v>0.5337735734588791</v>
      </c>
      <c r="C4">
        <f>resultados!P4</f>
        <v>2.285402627127445</v>
      </c>
      <c r="D4">
        <f>resultados!Q4</f>
        <v>5.9972105893404324</v>
      </c>
      <c r="E4">
        <f>resultados!R4</f>
        <v>9.6469999999999993E-3</v>
      </c>
      <c r="F4">
        <f>resultados!S4</f>
        <v>8.5518540000000005</v>
      </c>
      <c r="G4">
        <f>resultados!T4</f>
        <v>7.1656500000000003</v>
      </c>
      <c r="H4">
        <f>resultados!U4</f>
        <v>44.150669999999998</v>
      </c>
      <c r="I4">
        <f>resultados!V4</f>
        <v>42.528283999999999</v>
      </c>
      <c r="J4">
        <f>resultados!W4</f>
        <v>1E-4</v>
      </c>
      <c r="K4">
        <f>resultados!X4</f>
        <v>0.86788189103816182</v>
      </c>
      <c r="L4">
        <f>resultados!Y4</f>
        <v>8.9558229734451285</v>
      </c>
      <c r="M4">
        <f>resultados!Z4</f>
        <v>1.6426339999999999</v>
      </c>
      <c r="N4">
        <f>resultados!AA4</f>
        <v>0.23209247010363371</v>
      </c>
      <c r="O4">
        <f>resultados!AB4</f>
        <v>0.71824017668367679</v>
      </c>
    </row>
    <row r="5" spans="1:15" x14ac:dyDescent="0.3">
      <c r="A5">
        <v>4</v>
      </c>
      <c r="B5">
        <f>resultados!O5</f>
        <v>0.47138958375402612</v>
      </c>
      <c r="C5">
        <f>resultados!P5</f>
        <v>2.449770162088063</v>
      </c>
      <c r="D5">
        <f>resultados!Q5</f>
        <v>4.9885567960075106</v>
      </c>
      <c r="E5">
        <f>resultados!R5</f>
        <v>9.6469999999999993E-3</v>
      </c>
      <c r="F5">
        <f>resultados!S5</f>
        <v>8.5518540000000005</v>
      </c>
      <c r="G5">
        <f>resultados!T5</f>
        <v>7.1656500000000003</v>
      </c>
      <c r="H5">
        <f>resultados!U5</f>
        <v>44.150669999999998</v>
      </c>
      <c r="I5">
        <f>resultados!V5</f>
        <v>42.528283999999999</v>
      </c>
      <c r="J5">
        <f>resultados!W5</f>
        <v>1E-4</v>
      </c>
      <c r="K5">
        <f>resultados!X5</f>
        <v>1.038609206626145</v>
      </c>
      <c r="L5">
        <f>resultados!Y5</f>
        <v>4.5778056056788881</v>
      </c>
      <c r="M5">
        <f>resultados!Z5</f>
        <v>1.6426339999999999</v>
      </c>
      <c r="N5">
        <f>resultados!AA5</f>
        <v>0.26186610120920639</v>
      </c>
      <c r="O5">
        <f>resultados!AB5</f>
        <v>0.63704130966377503</v>
      </c>
    </row>
    <row r="6" spans="1:15" x14ac:dyDescent="0.3">
      <c r="A6">
        <v>5</v>
      </c>
      <c r="B6">
        <f>resultados!O6</f>
        <v>0.34319683497392622</v>
      </c>
      <c r="C6">
        <f>resultados!P6</f>
        <v>3.1970199806343378</v>
      </c>
      <c r="D6">
        <f>resultados!Q6</f>
        <v>4.1723472398506134</v>
      </c>
      <c r="E6">
        <f>resultados!R6</f>
        <v>9.6469999999999993E-3</v>
      </c>
      <c r="F6">
        <f>resultados!S6</f>
        <v>8.5518540000000005</v>
      </c>
      <c r="G6">
        <f>resultados!T6</f>
        <v>7.1656500000000003</v>
      </c>
      <c r="H6">
        <f>resultados!U6</f>
        <v>44.150669999999998</v>
      </c>
      <c r="I6">
        <f>resultados!V6</f>
        <v>42.528283999999999</v>
      </c>
      <c r="J6">
        <f>resultados!W6</f>
        <v>1E-4</v>
      </c>
      <c r="K6">
        <f>resultados!X6</f>
        <v>1.10832362994069</v>
      </c>
      <c r="L6">
        <f>resultados!Y6</f>
        <v>4.2278487286449717</v>
      </c>
      <c r="M6">
        <f>resultados!Z6</f>
        <v>1.6426339999999999</v>
      </c>
      <c r="N6">
        <f>resultados!AA6</f>
        <v>0.35820069269704302</v>
      </c>
      <c r="O6">
        <f>resultados!AB6</f>
        <v>0.48659237255867432</v>
      </c>
    </row>
    <row r="7" spans="1:15" x14ac:dyDescent="0.3">
      <c r="A7">
        <v>6</v>
      </c>
      <c r="B7">
        <f>resultados!O7</f>
        <v>0.38079959632394272</v>
      </c>
      <c r="C7">
        <f>resultados!P7</f>
        <v>2.3209379088290678</v>
      </c>
      <c r="D7">
        <f>resultados!Q7</f>
        <v>1.822644047594586</v>
      </c>
      <c r="E7">
        <f>resultados!R7</f>
        <v>9.6469999999999993E-3</v>
      </c>
      <c r="F7">
        <f>resultados!S7</f>
        <v>8.5518540000000005</v>
      </c>
      <c r="G7">
        <f>resultados!T7</f>
        <v>7.1656500000000003</v>
      </c>
      <c r="H7">
        <f>resultados!U7</f>
        <v>44.150669999999998</v>
      </c>
      <c r="I7">
        <f>resultados!V7</f>
        <v>42.528283999999999</v>
      </c>
      <c r="J7">
        <f>resultados!W7</f>
        <v>1E-4</v>
      </c>
      <c r="K7">
        <f>resultados!X7</f>
        <v>2.5293171832553871</v>
      </c>
      <c r="L7">
        <f>resultados!Y7</f>
        <v>7.8987416874442076</v>
      </c>
      <c r="M7">
        <f>resultados!Z7</f>
        <v>1.6426339999999999</v>
      </c>
      <c r="N7">
        <f>resultados!AA7</f>
        <v>0.38652556495495</v>
      </c>
      <c r="O7">
        <f>resultados!AB7</f>
        <v>0.55338556758956214</v>
      </c>
    </row>
    <row r="8" spans="1:15" x14ac:dyDescent="0.3">
      <c r="A8">
        <v>7</v>
      </c>
      <c r="B8">
        <f>resultados!O8</f>
        <v>0.14208751557056981</v>
      </c>
      <c r="C8">
        <f>resultados!P8</f>
        <v>0.45990586627866498</v>
      </c>
      <c r="D8">
        <f>resultados!Q8</f>
        <v>5.4681484205192321</v>
      </c>
      <c r="E8">
        <f>resultados!R8</f>
        <v>9.6469999999999993E-3</v>
      </c>
      <c r="F8">
        <f>resultados!S8</f>
        <v>8.5518540000000005</v>
      </c>
      <c r="G8">
        <f>resultados!T8</f>
        <v>7.1656500000000003</v>
      </c>
      <c r="H8">
        <f>resultados!U8</f>
        <v>44.150669999999998</v>
      </c>
      <c r="I8">
        <f>resultados!V8</f>
        <v>42.528283999999999</v>
      </c>
      <c r="J8">
        <f>resultados!W8</f>
        <v>1E-4</v>
      </c>
      <c r="K8">
        <f>resultados!X8</f>
        <v>4.2052763182869759</v>
      </c>
      <c r="L8">
        <f>resultados!Y8</f>
        <v>7.6599110660515448</v>
      </c>
      <c r="M8">
        <f>resultados!Z8</f>
        <v>1.6426339999999999</v>
      </c>
      <c r="N8">
        <f>resultados!AA8</f>
        <v>0.28336809208642882</v>
      </c>
      <c r="O8">
        <f>resultados!AB8</f>
        <v>0.51141453121453917</v>
      </c>
    </row>
    <row r="9" spans="1:15" x14ac:dyDescent="0.3">
      <c r="A9">
        <v>8</v>
      </c>
      <c r="B9">
        <f>resultados!O9</f>
        <v>0.46584535413299832</v>
      </c>
      <c r="C9">
        <f>resultados!P9</f>
        <v>2.2952486338042308</v>
      </c>
      <c r="D9">
        <f>resultados!Q9</f>
        <v>4.9616860498417994</v>
      </c>
      <c r="E9">
        <f>resultados!R9</f>
        <v>9.6469999999999993E-3</v>
      </c>
      <c r="F9">
        <f>resultados!S9</f>
        <v>8.5518540000000005</v>
      </c>
      <c r="G9">
        <f>resultados!T9</f>
        <v>7.1656500000000003</v>
      </c>
      <c r="H9">
        <f>resultados!U9</f>
        <v>44.150669999999998</v>
      </c>
      <c r="I9">
        <f>resultados!V9</f>
        <v>42.528283999999999</v>
      </c>
      <c r="J9">
        <f>resultados!W9</f>
        <v>1E-4</v>
      </c>
      <c r="K9">
        <f>resultados!X9</f>
        <v>1.101102385201937</v>
      </c>
      <c r="L9">
        <f>resultados!Y9</f>
        <v>4.8738253491899162</v>
      </c>
      <c r="M9">
        <f>resultados!Z9</f>
        <v>1.6426339999999999</v>
      </c>
      <c r="N9">
        <f>resultados!AA9</f>
        <v>0.28145821545817029</v>
      </c>
      <c r="O9">
        <f>resultados!AB9</f>
        <v>0.60336356151998716</v>
      </c>
    </row>
    <row r="10" spans="1:15" x14ac:dyDescent="0.3">
      <c r="A10">
        <v>9</v>
      </c>
      <c r="B10">
        <f>resultados!O10</f>
        <v>0.24934893145765549</v>
      </c>
      <c r="C10">
        <f>resultados!P10</f>
        <v>2.3728048332206679</v>
      </c>
      <c r="D10">
        <f>resultados!Q10</f>
        <v>5.3413059802445444</v>
      </c>
      <c r="E10">
        <f>resultados!R10</f>
        <v>9.6469999999999993E-3</v>
      </c>
      <c r="F10">
        <f>resultados!S10</f>
        <v>8.5518540000000005</v>
      </c>
      <c r="G10">
        <f>resultados!T10</f>
        <v>7.1656500000000003</v>
      </c>
      <c r="H10">
        <f>resultados!U10</f>
        <v>44.150669999999998</v>
      </c>
      <c r="I10">
        <f>resultados!V10</f>
        <v>42.528283999999999</v>
      </c>
      <c r="J10">
        <f>resultados!W10</f>
        <v>1E-4</v>
      </c>
      <c r="K10">
        <f>resultados!X10</f>
        <v>1.3113274728454181</v>
      </c>
      <c r="L10">
        <f>resultados!Y10</f>
        <v>8.2483746524872092</v>
      </c>
      <c r="M10">
        <f>resultados!Z10</f>
        <v>1.6426339999999999</v>
      </c>
      <c r="N10">
        <f>resultados!AA10</f>
        <v>0.39278547712585238</v>
      </c>
      <c r="O10">
        <f>resultados!AB10</f>
        <v>0.41439551062845248</v>
      </c>
    </row>
    <row r="11" spans="1:15" x14ac:dyDescent="0.3">
      <c r="A11">
        <v>10</v>
      </c>
      <c r="B11">
        <f>resultados!O11</f>
        <v>0.47046040659296912</v>
      </c>
      <c r="C11">
        <f>resultados!P11</f>
        <v>3.150002934864867</v>
      </c>
      <c r="D11">
        <f>resultados!Q11</f>
        <v>6.6728979452970067</v>
      </c>
      <c r="E11">
        <f>resultados!R11</f>
        <v>9.6469999999999993E-3</v>
      </c>
      <c r="F11">
        <f>resultados!S11</f>
        <v>8.5518540000000005</v>
      </c>
      <c r="G11">
        <f>resultados!T11</f>
        <v>7.1656500000000003</v>
      </c>
      <c r="H11">
        <f>resultados!U11</f>
        <v>44.150669999999998</v>
      </c>
      <c r="I11">
        <f>resultados!V11</f>
        <v>42.528283999999999</v>
      </c>
      <c r="J11">
        <f>resultados!W11</f>
        <v>1E-4</v>
      </c>
      <c r="K11">
        <f>resultados!X11</f>
        <v>0.69129640613760612</v>
      </c>
      <c r="L11">
        <f>resultados!Y11</f>
        <v>3.7029882899964019</v>
      </c>
      <c r="M11">
        <f>resultados!Z11</f>
        <v>1.6426339999999999</v>
      </c>
      <c r="N11">
        <f>resultados!AA11</f>
        <v>0.28570995760214918</v>
      </c>
      <c r="O11">
        <f>resultados!AB11</f>
        <v>0.60088436763355257</v>
      </c>
    </row>
    <row r="12" spans="1:15" x14ac:dyDescent="0.3">
      <c r="A12">
        <v>11</v>
      </c>
      <c r="B12">
        <f>resultados!O12</f>
        <v>0.47174084938113131</v>
      </c>
      <c r="C12">
        <f>resultados!P12</f>
        <v>1.102587558971053</v>
      </c>
      <c r="D12">
        <f>resultados!Q12</f>
        <v>4.3915125181102992</v>
      </c>
      <c r="E12">
        <f>resultados!R12</f>
        <v>9.6469999999999993E-3</v>
      </c>
      <c r="F12">
        <f>resultados!S12</f>
        <v>8.5518540000000005</v>
      </c>
      <c r="G12">
        <f>resultados!T12</f>
        <v>7.1656500000000003</v>
      </c>
      <c r="H12">
        <f>resultados!U12</f>
        <v>44.150669999999998</v>
      </c>
      <c r="I12">
        <f>resultados!V12</f>
        <v>42.528283999999999</v>
      </c>
      <c r="J12">
        <f>resultados!W12</f>
        <v>1E-4</v>
      </c>
      <c r="K12">
        <f>resultados!X12</f>
        <v>1.596560452176909</v>
      </c>
      <c r="L12">
        <f>resultados!Y12</f>
        <v>4.8033791492399764</v>
      </c>
      <c r="M12">
        <f>resultados!Z12</f>
        <v>1.6426339999999999</v>
      </c>
      <c r="N12">
        <f>resultados!AA12</f>
        <v>0.17081215307933531</v>
      </c>
      <c r="O12">
        <f>resultados!AB12</f>
        <v>0.83466198370637157</v>
      </c>
    </row>
    <row r="13" spans="1:15" x14ac:dyDescent="0.3">
      <c r="A13">
        <v>12</v>
      </c>
      <c r="B13">
        <f>resultados!O13</f>
        <v>0.32457731896641823</v>
      </c>
      <c r="C13">
        <f>resultados!P13</f>
        <v>2.3197000661008449</v>
      </c>
      <c r="D13">
        <f>resultados!Q13</f>
        <v>3.3694346529922181</v>
      </c>
      <c r="E13">
        <f>resultados!R13</f>
        <v>9.6469999999999993E-3</v>
      </c>
      <c r="F13">
        <f>resultados!S13</f>
        <v>8.5518540000000005</v>
      </c>
      <c r="G13">
        <f>resultados!T13</f>
        <v>7.1656500000000003</v>
      </c>
      <c r="H13">
        <f>resultados!U13</f>
        <v>44.150669999999998</v>
      </c>
      <c r="I13">
        <f>resultados!V13</f>
        <v>42.528283999999999</v>
      </c>
      <c r="J13">
        <f>resultados!W13</f>
        <v>1E-4</v>
      </c>
      <c r="K13">
        <f>resultados!X13</f>
        <v>1.692008453753201</v>
      </c>
      <c r="L13">
        <f>resultados!Y13</f>
        <v>3.9739524605900849</v>
      </c>
      <c r="M13">
        <f>resultados!Z13</f>
        <v>1.6426339999999999</v>
      </c>
      <c r="N13">
        <f>resultados!AA13</f>
        <v>0.35463823552422308</v>
      </c>
      <c r="O13">
        <f>resultados!AB13</f>
        <v>0.51754435658967124</v>
      </c>
    </row>
    <row r="14" spans="1:15" x14ac:dyDescent="0.3">
      <c r="A14">
        <v>13</v>
      </c>
      <c r="B14">
        <f>resultados!O14</f>
        <v>0.23857486332263461</v>
      </c>
      <c r="C14">
        <f>resultados!P14</f>
        <v>2.392300558499814</v>
      </c>
      <c r="D14">
        <f>resultados!Q14</f>
        <v>3.4016058063920132</v>
      </c>
      <c r="E14">
        <f>resultados!R14</f>
        <v>9.6469999999999993E-3</v>
      </c>
      <c r="F14">
        <f>resultados!S14</f>
        <v>8.5518540000000005</v>
      </c>
      <c r="G14">
        <f>resultados!T14</f>
        <v>7.1656500000000003</v>
      </c>
      <c r="H14">
        <f>resultados!U14</f>
        <v>44.150669999999998</v>
      </c>
      <c r="I14">
        <f>resultados!V14</f>
        <v>42.528283999999999</v>
      </c>
      <c r="J14">
        <f>resultados!W14</f>
        <v>1E-4</v>
      </c>
      <c r="K14">
        <f>resultados!X14</f>
        <v>1.529744449291137</v>
      </c>
      <c r="L14">
        <f>resultados!Y14</f>
        <v>5.9695849358221258</v>
      </c>
      <c r="M14">
        <f>resultados!Z14</f>
        <v>1.6426339999999999</v>
      </c>
      <c r="N14">
        <f>resultados!AA14</f>
        <v>0.33918208556885121</v>
      </c>
      <c r="O14">
        <f>resultados!AB14</f>
        <v>0.49984736692021808</v>
      </c>
    </row>
    <row r="15" spans="1:15" x14ac:dyDescent="0.3">
      <c r="A15">
        <v>14</v>
      </c>
      <c r="B15">
        <f>resultados!O15</f>
        <v>0.20408321365920271</v>
      </c>
      <c r="C15">
        <f>resultados!P15</f>
        <v>2.4070000780265142</v>
      </c>
      <c r="D15">
        <f>resultados!Q15</f>
        <v>5.2395933384678912</v>
      </c>
      <c r="E15">
        <f>resultados!R15</f>
        <v>9.6469999999999993E-3</v>
      </c>
      <c r="F15">
        <f>resultados!S15</f>
        <v>8.5518540000000005</v>
      </c>
      <c r="G15">
        <f>resultados!T15</f>
        <v>7.1656500000000003</v>
      </c>
      <c r="H15">
        <f>resultados!U15</f>
        <v>44.150669999999998</v>
      </c>
      <c r="I15">
        <f>resultados!V15</f>
        <v>42.528283999999999</v>
      </c>
      <c r="J15">
        <f>resultados!W15</f>
        <v>1E-4</v>
      </c>
      <c r="K15">
        <f>resultados!X15</f>
        <v>1.137591756407329</v>
      </c>
      <c r="L15">
        <f>resultados!Y15</f>
        <v>5.2872908839122159</v>
      </c>
      <c r="M15">
        <f>resultados!Z15</f>
        <v>1.6426339999999999</v>
      </c>
      <c r="N15">
        <f>resultados!AA15</f>
        <v>0.24169777916515309</v>
      </c>
      <c r="O15">
        <f>resultados!AB15</f>
        <v>0.65252543020821352</v>
      </c>
    </row>
    <row r="16" spans="1:15" x14ac:dyDescent="0.3">
      <c r="A16">
        <v>15</v>
      </c>
      <c r="B16">
        <f>resultados!O16</f>
        <v>0.60523251311714543</v>
      </c>
      <c r="C16">
        <f>resultados!P16</f>
        <v>2.904414123946371</v>
      </c>
      <c r="D16">
        <f>resultados!Q16</f>
        <v>6.3134106819813498</v>
      </c>
      <c r="E16">
        <f>resultados!R16</f>
        <v>9.6469999999999993E-3</v>
      </c>
      <c r="F16">
        <f>resultados!S16</f>
        <v>8.5518540000000005</v>
      </c>
      <c r="G16">
        <f>resultados!T16</f>
        <v>7.1656500000000003</v>
      </c>
      <c r="H16">
        <f>resultados!U16</f>
        <v>44.150669999999998</v>
      </c>
      <c r="I16">
        <f>resultados!V16</f>
        <v>42.528283999999999</v>
      </c>
      <c r="J16">
        <f>resultados!W16</f>
        <v>1E-4</v>
      </c>
      <c r="K16">
        <f>resultados!X16</f>
        <v>0.87849092076261881</v>
      </c>
      <c r="L16">
        <f>resultados!Y16</f>
        <v>9.7765942132016548</v>
      </c>
      <c r="M16">
        <f>resultados!Z16</f>
        <v>1.6426339999999999</v>
      </c>
      <c r="N16">
        <f>resultados!AA16</f>
        <v>0.25216673013270818</v>
      </c>
      <c r="O16">
        <f>resultados!AB16</f>
        <v>0.75359003715735162</v>
      </c>
    </row>
    <row r="17" spans="1:15" x14ac:dyDescent="0.3">
      <c r="A17">
        <v>16</v>
      </c>
      <c r="B17">
        <f>resultados!O17</f>
        <v>0.1579439602214163</v>
      </c>
      <c r="C17">
        <f>resultados!P17</f>
        <v>2.355137148972053</v>
      </c>
      <c r="D17">
        <f>resultados!Q17</f>
        <v>5.1002190904986877</v>
      </c>
      <c r="E17">
        <f>resultados!R17</f>
        <v>9.6469999999999993E-3</v>
      </c>
      <c r="F17">
        <f>resultados!S17</f>
        <v>8.5518540000000005</v>
      </c>
      <c r="G17">
        <f>resultados!T17</f>
        <v>7.1656500000000003</v>
      </c>
      <c r="H17">
        <f>resultados!U17</f>
        <v>44.150669999999998</v>
      </c>
      <c r="I17">
        <f>resultados!V17</f>
        <v>42.528283999999999</v>
      </c>
      <c r="J17">
        <f>resultados!W17</f>
        <v>1E-4</v>
      </c>
      <c r="K17">
        <f>resultados!X17</f>
        <v>1.118415254197823</v>
      </c>
      <c r="L17">
        <f>resultados!Y17</f>
        <v>8.2864610381937229</v>
      </c>
      <c r="M17">
        <f>resultados!Z17</f>
        <v>1.6426339999999999</v>
      </c>
      <c r="N17">
        <f>resultados!AA17</f>
        <v>0.25084902990772112</v>
      </c>
      <c r="O17">
        <f>resultados!AB17</f>
        <v>0.70531814315515684</v>
      </c>
    </row>
    <row r="18" spans="1:15" x14ac:dyDescent="0.3">
      <c r="A18">
        <v>17</v>
      </c>
      <c r="B18">
        <f>resultados!O18</f>
        <v>0.40363681922054673</v>
      </c>
      <c r="C18">
        <f>resultados!P18</f>
        <v>0.80762974192179127</v>
      </c>
      <c r="D18">
        <f>resultados!Q18</f>
        <v>4.0271430284063969</v>
      </c>
      <c r="E18">
        <f>resultados!R18</f>
        <v>9.6469999999999993E-3</v>
      </c>
      <c r="F18">
        <f>resultados!S18</f>
        <v>8.5518540000000005</v>
      </c>
      <c r="G18">
        <f>resultados!T18</f>
        <v>7.1656500000000003</v>
      </c>
      <c r="H18">
        <f>resultados!U18</f>
        <v>44.150669999999998</v>
      </c>
      <c r="I18">
        <f>resultados!V18</f>
        <v>42.528283999999999</v>
      </c>
      <c r="J18">
        <f>resultados!W18</f>
        <v>1E-4</v>
      </c>
      <c r="K18">
        <f>resultados!X18</f>
        <v>2.383885966258056</v>
      </c>
      <c r="L18">
        <f>resultados!Y18</f>
        <v>2.7991870033666779</v>
      </c>
      <c r="M18">
        <f>resultados!Z18</f>
        <v>1.6426339999999999</v>
      </c>
      <c r="N18">
        <f>resultados!AA18</f>
        <v>0.21171360604458109</v>
      </c>
      <c r="O18">
        <f>resultados!AB18</f>
        <v>0.56681751349959086</v>
      </c>
    </row>
    <row r="19" spans="1:15" x14ac:dyDescent="0.3">
      <c r="A19">
        <v>18</v>
      </c>
      <c r="B19">
        <f>resultados!O19</f>
        <v>0.19313677963358211</v>
      </c>
      <c r="C19">
        <f>resultados!P19</f>
        <v>2.2382635632183079</v>
      </c>
      <c r="D19">
        <f>resultados!Q19</f>
        <v>1.4661058550768269</v>
      </c>
      <c r="E19">
        <f>resultados!R19</f>
        <v>9.6469999999999993E-3</v>
      </c>
      <c r="F19">
        <f>resultados!S19</f>
        <v>8.5518540000000005</v>
      </c>
      <c r="G19">
        <f>resultados!T19</f>
        <v>7.1656500000000003</v>
      </c>
      <c r="H19">
        <f>resultados!U19</f>
        <v>44.150669999999998</v>
      </c>
      <c r="I19">
        <f>resultados!V19</f>
        <v>42.528283999999999</v>
      </c>
      <c r="J19">
        <f>resultados!W19</f>
        <v>1E-4</v>
      </c>
      <c r="K19">
        <f>resultados!X19</f>
        <v>3.0381219958345249</v>
      </c>
      <c r="L19">
        <f>resultados!Y19</f>
        <v>5.1097696737637568</v>
      </c>
      <c r="M19">
        <f>resultados!Z19</f>
        <v>1.6426339999999999</v>
      </c>
      <c r="N19">
        <f>resultados!AA19</f>
        <v>0.43052186019561162</v>
      </c>
      <c r="O19">
        <f>resultados!AB19</f>
        <v>0.46277922374138658</v>
      </c>
    </row>
    <row r="20" spans="1:15" x14ac:dyDescent="0.3">
      <c r="A20">
        <v>19</v>
      </c>
      <c r="B20">
        <f>resultados!O20</f>
        <v>0.25293484454744802</v>
      </c>
      <c r="C20">
        <f>resultados!P20</f>
        <v>2.5404979640593668</v>
      </c>
      <c r="D20">
        <f>resultados!Q20</f>
        <v>4.4885714024272421</v>
      </c>
      <c r="E20">
        <f>resultados!R20</f>
        <v>9.6469999999999993E-3</v>
      </c>
      <c r="F20">
        <f>resultados!S20</f>
        <v>8.5518540000000005</v>
      </c>
      <c r="G20">
        <f>resultados!T20</f>
        <v>7.1656500000000003</v>
      </c>
      <c r="H20">
        <f>resultados!U20</f>
        <v>44.150669999999998</v>
      </c>
      <c r="I20">
        <f>resultados!V20</f>
        <v>42.528283999999999</v>
      </c>
      <c r="J20">
        <f>resultados!W20</f>
        <v>1E-4</v>
      </c>
      <c r="K20">
        <f>resultados!X20</f>
        <v>1.184006702495894</v>
      </c>
      <c r="L20">
        <f>resultados!Y20</f>
        <v>9.1471672691826011</v>
      </c>
      <c r="M20">
        <f>resultados!Z20</f>
        <v>1.6426339999999999</v>
      </c>
      <c r="N20">
        <f>resultados!AA20</f>
        <v>0.30933926571208048</v>
      </c>
      <c r="O20">
        <f>resultados!AB20</f>
        <v>0.53761599879343525</v>
      </c>
    </row>
    <row r="21" spans="1:15" x14ac:dyDescent="0.3">
      <c r="A21">
        <v>20</v>
      </c>
      <c r="B21">
        <f>resultados!O21</f>
        <v>0.42685160329266958</v>
      </c>
      <c r="C21">
        <f>resultados!P21</f>
        <v>2.3606356140349161</v>
      </c>
      <c r="D21">
        <f>resultados!Q21</f>
        <v>5.4145114590521883</v>
      </c>
      <c r="E21">
        <f>resultados!R21</f>
        <v>9.6469999999999993E-3</v>
      </c>
      <c r="F21">
        <f>resultados!S21</f>
        <v>8.5518540000000005</v>
      </c>
      <c r="G21">
        <f>resultados!T21</f>
        <v>7.1656500000000003</v>
      </c>
      <c r="H21">
        <f>resultados!U21</f>
        <v>44.150669999999998</v>
      </c>
      <c r="I21">
        <f>resultados!V21</f>
        <v>42.528283999999999</v>
      </c>
      <c r="J21">
        <f>resultados!W21</f>
        <v>1E-4</v>
      </c>
      <c r="K21">
        <f>resultados!X21</f>
        <v>0.91932957187924969</v>
      </c>
      <c r="L21">
        <f>resultados!Y21</f>
        <v>5.7065338444664544</v>
      </c>
      <c r="M21">
        <f>resultados!Z21</f>
        <v>1.6426339999999999</v>
      </c>
      <c r="N21">
        <f>resultados!AA21</f>
        <v>0.1860044670739896</v>
      </c>
      <c r="O21">
        <f>resultados!AB21</f>
        <v>4.5117791674568402</v>
      </c>
    </row>
    <row r="23" spans="1:15" x14ac:dyDescent="0.3">
      <c r="A23" t="s">
        <v>129</v>
      </c>
      <c r="B23">
        <f>AVERAGE(B2:B21)</f>
        <v>0.34640205088147125</v>
      </c>
      <c r="C23">
        <f t="shared" ref="C23:O23" si="0">AVERAGE(C2:C21)</f>
        <v>2.177603469022201</v>
      </c>
      <c r="D23">
        <f t="shared" si="0"/>
        <v>4.4785140262385585</v>
      </c>
      <c r="E23">
        <f t="shared" si="0"/>
        <v>9.6469999999999976E-3</v>
      </c>
      <c r="F23">
        <f t="shared" si="0"/>
        <v>8.5518540000000005</v>
      </c>
      <c r="G23">
        <f t="shared" si="0"/>
        <v>7.1656500000000012</v>
      </c>
      <c r="H23">
        <f t="shared" si="0"/>
        <v>44.150669999999998</v>
      </c>
      <c r="I23">
        <f t="shared" si="0"/>
        <v>42.528283999999992</v>
      </c>
      <c r="J23">
        <f t="shared" si="0"/>
        <v>1.0000000000000002E-4</v>
      </c>
      <c r="K23">
        <f t="shared" si="0"/>
        <v>1.5894043754228027</v>
      </c>
      <c r="L23">
        <f t="shared" si="0"/>
        <v>6.3739820120210142</v>
      </c>
      <c r="M23">
        <f t="shared" si="0"/>
        <v>1.6426340000000004</v>
      </c>
      <c r="N23">
        <f t="shared" si="0"/>
        <v>0.28903702979969687</v>
      </c>
      <c r="O23">
        <f t="shared" si="0"/>
        <v>0.78720311597706671</v>
      </c>
    </row>
    <row r="24" spans="1:15" x14ac:dyDescent="0.3">
      <c r="A24" t="s">
        <v>131</v>
      </c>
      <c r="B24">
        <f>STDEVA(B2:B21)</f>
        <v>0.13185616756046251</v>
      </c>
      <c r="C24">
        <f t="shared" ref="C24:O24" si="1">STDEVA(C2:C21)</f>
        <v>0.7358682096628385</v>
      </c>
      <c r="D24">
        <f t="shared" si="1"/>
        <v>1.3833938974192603</v>
      </c>
      <c r="E24">
        <f t="shared" si="1"/>
        <v>1.7797887332061147E-18</v>
      </c>
      <c r="F24">
        <f t="shared" si="1"/>
        <v>0</v>
      </c>
      <c r="G24">
        <f t="shared" si="1"/>
        <v>9.1125183140153075E-16</v>
      </c>
      <c r="H24">
        <f t="shared" si="1"/>
        <v>0</v>
      </c>
      <c r="I24">
        <f t="shared" si="1"/>
        <v>7.290014651212246E-15</v>
      </c>
      <c r="J24">
        <f t="shared" si="1"/>
        <v>1.3904599478172771E-20</v>
      </c>
      <c r="K24">
        <f t="shared" si="1"/>
        <v>0.86547886670087204</v>
      </c>
      <c r="L24">
        <f t="shared" si="1"/>
        <v>2.1407836991011178</v>
      </c>
      <c r="M24">
        <f t="shared" si="1"/>
        <v>4.5562591570076537E-16</v>
      </c>
      <c r="N24">
        <f t="shared" si="1"/>
        <v>7.8918286731105777E-2</v>
      </c>
      <c r="O24">
        <f t="shared" si="1"/>
        <v>0.8839044447337151</v>
      </c>
    </row>
    <row r="25" spans="1:15" x14ac:dyDescent="0.3">
      <c r="C2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2026-04-14T07:35:45Z</dcterms:created>
  <dcterms:modified xsi:type="dcterms:W3CDTF">2026-04-15T17:10:58Z</dcterms:modified>
</cp:coreProperties>
</file>