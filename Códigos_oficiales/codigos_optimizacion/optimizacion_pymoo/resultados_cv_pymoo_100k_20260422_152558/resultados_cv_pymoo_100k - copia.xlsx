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harts/chartEx21.xml" ContentType="application/vnd.ms-office.chartex+xml"/>
  <Override PartName="/xl/charts/style21.xml" ContentType="application/vnd.ms-office.chartstyle+xml"/>
  <Override PartName="/xl/charts/colors21.xml" ContentType="application/vnd.ms-office.chartcolorstyle+xml"/>
  <Override PartName="/xl/charts/chartEx22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charts/chartEx23.xml" ContentType="application/vnd.ms-office.chartex+xml"/>
  <Override PartName="/xl/charts/style23.xml" ContentType="application/vnd.ms-office.chartstyle+xml"/>
  <Override PartName="/xl/charts/colors23.xml" ContentType="application/vnd.ms-office.chartcolorstyle+xml"/>
  <Override PartName="/xl/charts/chartEx24.xml" ContentType="application/vnd.ms-office.chartex+xml"/>
  <Override PartName="/xl/charts/style24.xml" ContentType="application/vnd.ms-office.chartstyle+xml"/>
  <Override PartName="/xl/charts/colors24.xml" ContentType="application/vnd.ms-office.chartcolorstyle+xml"/>
  <Override PartName="/xl/charts/chartEx25.xml" ContentType="application/vnd.ms-office.chartex+xml"/>
  <Override PartName="/xl/charts/style25.xml" ContentType="application/vnd.ms-office.chartstyle+xml"/>
  <Override PartName="/xl/charts/colors25.xml" ContentType="application/vnd.ms-office.chartcolorstyle+xml"/>
  <Override PartName="/xl/charts/chartEx26.xml" ContentType="application/vnd.ms-office.chartex+xml"/>
  <Override PartName="/xl/charts/style26.xml" ContentType="application/vnd.ms-office.chartstyle+xml"/>
  <Override PartName="/xl/charts/colors26.xml" ContentType="application/vnd.ms-office.chartcolorstyle+xml"/>
  <Override PartName="/xl/charts/chartEx27.xml" ContentType="application/vnd.ms-office.chartex+xml"/>
  <Override PartName="/xl/charts/style27.xml" ContentType="application/vnd.ms-office.chartstyle+xml"/>
  <Override PartName="/xl/charts/colors27.xml" ContentType="application/vnd.ms-office.chartcolorstyle+xml"/>
  <Override PartName="/xl/charts/chartEx28.xml" ContentType="application/vnd.ms-office.chartex+xml"/>
  <Override PartName="/xl/charts/style28.xml" ContentType="application/vnd.ms-office.chartstyle+xml"/>
  <Override PartName="/xl/charts/colors28.xml" ContentType="application/vnd.ms-office.chartcolorstyle+xml"/>
  <Override PartName="/xl/charts/chartEx29.xml" ContentType="application/vnd.ms-office.chartex+xml"/>
  <Override PartName="/xl/charts/style29.xml" ContentType="application/vnd.ms-office.chartstyle+xml"/>
  <Override PartName="/xl/charts/colors29.xml" ContentType="application/vnd.ms-office.chartcolorstyle+xml"/>
  <Override PartName="/xl/drawings/drawing4.xml" ContentType="application/vnd.openxmlformats-officedocument.drawing+xml"/>
  <Override PartName="/xl/charts/chartEx30.xml" ContentType="application/vnd.ms-office.chartex+xml"/>
  <Override PartName="/xl/charts/style30.xml" ContentType="application/vnd.ms-office.chartstyle+xml"/>
  <Override PartName="/xl/charts/colors30.xml" ContentType="application/vnd.ms-office.chartcolorstyle+xml"/>
  <Override PartName="/xl/charts/chartEx31.xml" ContentType="application/vnd.ms-office.chartex+xml"/>
  <Override PartName="/xl/charts/style31.xml" ContentType="application/vnd.ms-office.chartstyle+xml"/>
  <Override PartName="/xl/charts/colors31.xml" ContentType="application/vnd.ms-office.chartcolorstyle+xml"/>
  <Override PartName="/xl/charts/chartEx32.xml" ContentType="application/vnd.ms-office.chartex+xml"/>
  <Override PartName="/xl/charts/style32.xml" ContentType="application/vnd.ms-office.chartstyle+xml"/>
  <Override PartName="/xl/charts/colors32.xml" ContentType="application/vnd.ms-office.chartcolorstyle+xml"/>
  <Override PartName="/xl/charts/chartEx33.xml" ContentType="application/vnd.ms-office.chartex+xml"/>
  <Override PartName="/xl/charts/style33.xml" ContentType="application/vnd.ms-office.chartstyle+xml"/>
  <Override PartName="/xl/charts/colors33.xml" ContentType="application/vnd.ms-office.chartcolorstyle+xml"/>
  <Override PartName="/xl/charts/chartEx34.xml" ContentType="application/vnd.ms-office.chartex+xml"/>
  <Override PartName="/xl/charts/style34.xml" ContentType="application/vnd.ms-office.chartstyle+xml"/>
  <Override PartName="/xl/charts/colors34.xml" ContentType="application/vnd.ms-office.chartcolorstyle+xml"/>
  <Override PartName="/xl/charts/chartEx35.xml" ContentType="application/vnd.ms-office.chartex+xml"/>
  <Override PartName="/xl/charts/style35.xml" ContentType="application/vnd.ms-office.chartstyle+xml"/>
  <Override PartName="/xl/charts/colors35.xml" ContentType="application/vnd.ms-office.chartcolorstyle+xml"/>
  <Override PartName="/xl/charts/chartEx36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Ex37.xml" ContentType="application/vnd.ms-office.chartex+xml"/>
  <Override PartName="/xl/charts/style37.xml" ContentType="application/vnd.ms-office.chartstyle+xml"/>
  <Override PartName="/xl/charts/colors37.xml" ContentType="application/vnd.ms-office.chartcolorstyle+xml"/>
  <Override PartName="/xl/charts/chartEx38.xml" ContentType="application/vnd.ms-office.chartex+xml"/>
  <Override PartName="/xl/charts/style38.xml" ContentType="application/vnd.ms-office.chartstyle+xml"/>
  <Override PartName="/xl/charts/colors38.xml" ContentType="application/vnd.ms-office.chartcolorstyle+xml"/>
  <Override PartName="/xl/charts/chartEx39.xml" ContentType="application/vnd.ms-office.chartex+xml"/>
  <Override PartName="/xl/charts/style39.xml" ContentType="application/vnd.ms-office.chartstyle+xml"/>
  <Override PartName="/xl/charts/colors39.xml" ContentType="application/vnd.ms-office.chartcolorstyle+xml"/>
  <Override PartName="/xl/charts/chartEx40.xml" ContentType="application/vnd.ms-office.chartex+xml"/>
  <Override PartName="/xl/charts/style40.xml" ContentType="application/vnd.ms-office.chartstyle+xml"/>
  <Override PartName="/xl/charts/colors40.xml" ContentType="application/vnd.ms-office.chartcolorstyle+xml"/>
  <Override PartName="/xl/charts/chartEx41.xml" ContentType="application/vnd.ms-office.chartex+xml"/>
  <Override PartName="/xl/charts/style41.xml" ContentType="application/vnd.ms-office.chartstyle+xml"/>
  <Override PartName="/xl/charts/colors41.xml" ContentType="application/vnd.ms-office.chartcolorstyle+xml"/>
  <Override PartName="/xl/charts/chartEx42.xml" ContentType="application/vnd.ms-office.chartex+xml"/>
  <Override PartName="/xl/charts/style42.xml" ContentType="application/vnd.ms-office.chartstyle+xml"/>
  <Override PartName="/xl/charts/colors42.xml" ContentType="application/vnd.ms-office.chartcolorstyle+xml"/>
  <Override PartName="/xl/charts/chartEx43.xml" ContentType="application/vnd.ms-office.chartex+xml"/>
  <Override PartName="/xl/charts/style43.xml" ContentType="application/vnd.ms-office.chartstyle+xml"/>
  <Override PartName="/xl/charts/colors43.xml" ContentType="application/vnd.ms-office.chartcolorstyl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Códigos_oficiales\codigos_optimizacion\optimizacion_pymoo\resultados_cv_pymoo_100k_20260422_152558\"/>
    </mc:Choice>
  </mc:AlternateContent>
  <xr:revisionPtr revIDLastSave="0" documentId="13_ncr:1_{8888EF07-E7A8-48E4-9DFA-7D92958F5272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resultados" sheetId="1" r:id="rId1"/>
    <sheet name="resultados (2)" sheetId="4" r:id="rId2"/>
    <sheet name="eliminación de puntos 1" sheetId="2" r:id="rId3"/>
    <sheet name="eliminación de puntos 2" sheetId="7" r:id="rId4"/>
    <sheet name="Resultados validación" sheetId="6" r:id="rId5"/>
  </sheets>
  <definedNames>
    <definedName name="_xlnm._FilterDatabase" localSheetId="1" hidden="1">'resultados (2)'!$A$1:$AG$51</definedName>
    <definedName name="_xlchart.v1.0" hidden="1">resultados!$T$1</definedName>
    <definedName name="_xlchart.v1.1" hidden="1">resultados!$T$2:$T$51</definedName>
    <definedName name="_xlchart.v1.10" hidden="1">resultados!$AC$1</definedName>
    <definedName name="_xlchart.v1.100" hidden="1">'eliminación de puntos 1'!$AE$1</definedName>
    <definedName name="_xlchart.v1.101" hidden="1">'eliminación de puntos 1'!$AE$2:$AE$41</definedName>
    <definedName name="_xlchart.v1.102" hidden="1">'eliminación de puntos 1'!$S$2:$S$41</definedName>
    <definedName name="_xlchart.v1.103" hidden="1">'eliminación de puntos 1'!$T$2:$T$41</definedName>
    <definedName name="_xlchart.v1.104" hidden="1">'eliminación de puntos 1'!$AC$2:$AC$41</definedName>
    <definedName name="_xlchart.v1.105" hidden="1">'eliminación de puntos 1'!$AC$1</definedName>
    <definedName name="_xlchart.v1.106" hidden="1">'eliminación de puntos 1'!$AC$2:$AC$41</definedName>
    <definedName name="_xlchart.v1.107" hidden="1">'eliminación de puntos 1'!$AB$1</definedName>
    <definedName name="_xlchart.v1.108" hidden="1">'eliminación de puntos 1'!$AB$2:$AB$41</definedName>
    <definedName name="_xlchart.v1.109" hidden="1">'eliminación de puntos 2'!$AB$2:$AB$36</definedName>
    <definedName name="_xlchart.v1.11" hidden="1">resultados!$AC$2:$AC$51</definedName>
    <definedName name="_xlchart.v1.110" hidden="1">'eliminación de puntos 2'!$T$1</definedName>
    <definedName name="_xlchart.v1.111" hidden="1">'eliminación de puntos 2'!$T$2:$T$36</definedName>
    <definedName name="_xlchart.v1.112" hidden="1">'eliminación de puntos 2'!$AC$2:$AC$36</definedName>
    <definedName name="_xlchart.v1.113" hidden="1">'eliminación de puntos 2'!$AE$2:$AE$36</definedName>
    <definedName name="_xlchart.v1.114" hidden="1">'eliminación de puntos 2'!$AF$2:$AF$36</definedName>
    <definedName name="_xlchart.v1.115" hidden="1">'eliminación de puntos 2'!$U$2:$U$36</definedName>
    <definedName name="_xlchart.v1.116" hidden="1">'eliminación de puntos 2'!$S$2:$S$36</definedName>
    <definedName name="_xlchart.v1.117" hidden="1">'eliminación de puntos 2'!$T$2:$T$36</definedName>
    <definedName name="_xlchart.v1.118" hidden="1">'eliminación de puntos 2'!$AB$1</definedName>
    <definedName name="_xlchart.v1.119" hidden="1">'eliminación de puntos 2'!$AB$2:$AB$36</definedName>
    <definedName name="_xlchart.v1.12" hidden="1">resultados!$AE$1</definedName>
    <definedName name="_xlchart.v1.120" hidden="1">'eliminación de puntos 2'!$U$1</definedName>
    <definedName name="_xlchart.v1.121" hidden="1">'eliminación de puntos 2'!$U$2:$U$36</definedName>
    <definedName name="_xlchart.v1.122" hidden="1">'eliminación de puntos 2'!$S$1</definedName>
    <definedName name="_xlchart.v1.123" hidden="1">'eliminación de puntos 2'!$S$2:$S$36</definedName>
    <definedName name="_xlchart.v1.124" hidden="1">'eliminación de puntos 2'!$AF$1</definedName>
    <definedName name="_xlchart.v1.125" hidden="1">'eliminación de puntos 2'!$AF$2:$AF$36</definedName>
    <definedName name="_xlchart.v1.126" hidden="1">'eliminación de puntos 2'!$AC$1</definedName>
    <definedName name="_xlchart.v1.127" hidden="1">'eliminación de puntos 2'!$AC$2:$AC$36</definedName>
    <definedName name="_xlchart.v1.128" hidden="1">'eliminación de puntos 2'!$AE$1</definedName>
    <definedName name="_xlchart.v1.129" hidden="1">'eliminación de puntos 2'!$AE$2:$AE$36</definedName>
    <definedName name="_xlchart.v1.13" hidden="1">resultados!$AE$2:$AE$51</definedName>
    <definedName name="_xlchart.v1.14" hidden="1">resultados!$AB$1</definedName>
    <definedName name="_xlchart.v1.15" hidden="1">resultados!$AB$2:$AB$51</definedName>
    <definedName name="_xlchart.v1.16" hidden="1">resultados!$AC$1</definedName>
    <definedName name="_xlchart.v1.17" hidden="1">resultados!$AC$2:$AC$51</definedName>
    <definedName name="_xlchart.v1.18" hidden="1">resultados!$AE$1</definedName>
    <definedName name="_xlchart.v1.19" hidden="1">resultados!$AE$2:$AE$51</definedName>
    <definedName name="_xlchart.v1.2" hidden="1">resultados!$AB$1</definedName>
    <definedName name="_xlchart.v1.20" hidden="1">resultados!$AF$1</definedName>
    <definedName name="_xlchart.v1.21" hidden="1">resultados!$AF$2:$AF$51</definedName>
    <definedName name="_xlchart.v1.22" hidden="1">resultados!$S$1</definedName>
    <definedName name="_xlchart.v1.23" hidden="1">resultados!$S$2:$S$51</definedName>
    <definedName name="_xlchart.v1.24" hidden="1">resultados!$S$74</definedName>
    <definedName name="_xlchart.v1.25" hidden="1">resultados!$T$1</definedName>
    <definedName name="_xlchart.v1.26" hidden="1">resultados!$T$2:$T$51</definedName>
    <definedName name="_xlchart.v1.27" hidden="1">resultados!$U$1</definedName>
    <definedName name="_xlchart.v1.28" hidden="1">resultados!$U$2:$U$51</definedName>
    <definedName name="_xlchart.v1.29" hidden="1">resultados!$AB$1</definedName>
    <definedName name="_xlchart.v1.3" hidden="1">resultados!$AB$2:$AB$51</definedName>
    <definedName name="_xlchart.v1.30" hidden="1">resultados!$AB$2:$AB$51</definedName>
    <definedName name="_xlchart.v1.31" hidden="1">resultados!$AC$1</definedName>
    <definedName name="_xlchart.v1.32" hidden="1">resultados!$AC$2:$AC$51</definedName>
    <definedName name="_xlchart.v1.33" hidden="1">resultados!$AE$1</definedName>
    <definedName name="_xlchart.v1.34" hidden="1">resultados!$AE$2:$AE$51</definedName>
    <definedName name="_xlchart.v1.35" hidden="1">resultados!$AF$1</definedName>
    <definedName name="_xlchart.v1.36" hidden="1">resultados!$AF$2:$AF$51</definedName>
    <definedName name="_xlchart.v1.37" hidden="1">resultados!$S$1</definedName>
    <definedName name="_xlchart.v1.38" hidden="1">resultados!$S$2:$S$51</definedName>
    <definedName name="_xlchart.v1.39" hidden="1">resultados!$S$74</definedName>
    <definedName name="_xlchart.v1.4" hidden="1">resultados!$AF$1</definedName>
    <definedName name="_xlchart.v1.40" hidden="1">resultados!$T$1</definedName>
    <definedName name="_xlchart.v1.41" hidden="1">resultados!$T$2:$T$51</definedName>
    <definedName name="_xlchart.v1.42" hidden="1">resultados!$U$1</definedName>
    <definedName name="_xlchart.v1.43" hidden="1">resultados!$U$2:$U$51</definedName>
    <definedName name="_xlchart.v1.44" hidden="1">resultados!$S$74</definedName>
    <definedName name="_xlchart.v1.45" hidden="1">'resultados (2)'!$T$1</definedName>
    <definedName name="_xlchart.v1.46" hidden="1">'resultados (2)'!$T$2:$T$51</definedName>
    <definedName name="_xlchart.v1.47" hidden="1">'resultados (2)'!$S$1</definedName>
    <definedName name="_xlchart.v1.48" hidden="1">'resultados (2)'!$S$2:$S$51</definedName>
    <definedName name="_xlchart.v1.49" hidden="1">'resultados (2)'!$AC$1</definedName>
    <definedName name="_xlchart.v1.5" hidden="1">resultados!$AF$2:$AF$51</definedName>
    <definedName name="_xlchart.v1.50" hidden="1">'resultados (2)'!$AC$2:$AC$51</definedName>
    <definedName name="_xlchart.v1.51" hidden="1">'resultados (2)'!$U$1</definedName>
    <definedName name="_xlchart.v1.52" hidden="1">'resultados (2)'!$U$2:$U$51</definedName>
    <definedName name="_xlchart.v1.53" hidden="1">'resultados (2)'!$AB$1</definedName>
    <definedName name="_xlchart.v1.54" hidden="1">'resultados (2)'!$AB$2:$AB$51</definedName>
    <definedName name="_xlchart.v1.55" hidden="1">'resultados (2)'!$AE$1</definedName>
    <definedName name="_xlchart.v1.56" hidden="1">'resultados (2)'!$AE$2:$AE$51</definedName>
    <definedName name="_xlchart.v1.57" hidden="1">'resultados (2)'!$AF$1</definedName>
    <definedName name="_xlchart.v1.58" hidden="1">'resultados (2)'!$AF$2:$AF$51</definedName>
    <definedName name="_xlchart.v1.59" hidden="1">'resultados (2)'!$AA$1</definedName>
    <definedName name="_xlchart.v1.6" hidden="1">resultados!$U$1</definedName>
    <definedName name="_xlchart.v1.60" hidden="1">'resultados (2)'!$AA$2:$AA$51</definedName>
    <definedName name="_xlchart.v1.61" hidden="1">'resultados (2)'!$AB$1</definedName>
    <definedName name="_xlchart.v1.62" hidden="1">'resultados (2)'!$AB$2:$AB$51</definedName>
    <definedName name="_xlchart.v1.63" hidden="1">'resultados (2)'!$AC$1</definedName>
    <definedName name="_xlchart.v1.64" hidden="1">'resultados (2)'!$AC$2:$AC$51</definedName>
    <definedName name="_xlchart.v1.65" hidden="1">'resultados (2)'!$AD$1</definedName>
    <definedName name="_xlchart.v1.66" hidden="1">'resultados (2)'!$AD$2:$AD$51</definedName>
    <definedName name="_xlchart.v1.67" hidden="1">'resultados (2)'!$AE$1</definedName>
    <definedName name="_xlchart.v1.68" hidden="1">'resultados (2)'!$AE$2:$AE$51</definedName>
    <definedName name="_xlchart.v1.69" hidden="1">'resultados (2)'!$AF$1</definedName>
    <definedName name="_xlchart.v1.7" hidden="1">resultados!$U$2:$U$51</definedName>
    <definedName name="_xlchart.v1.70" hidden="1">'resultados (2)'!$AF$2:$AF$51</definedName>
    <definedName name="_xlchart.v1.71" hidden="1">'resultados (2)'!$Q$80</definedName>
    <definedName name="_xlchart.v1.72" hidden="1">'resultados (2)'!$S$1</definedName>
    <definedName name="_xlchart.v1.73" hidden="1">'resultados (2)'!$S$2:$S$51</definedName>
    <definedName name="_xlchart.v1.74" hidden="1">'resultados (2)'!$T$1</definedName>
    <definedName name="_xlchart.v1.75" hidden="1">'resultados (2)'!$T$2:$T$51</definedName>
    <definedName name="_xlchart.v1.76" hidden="1">'resultados (2)'!$U$1</definedName>
    <definedName name="_xlchart.v1.77" hidden="1">'resultados (2)'!$U$2:$U$51</definedName>
    <definedName name="_xlchart.v1.78" hidden="1">'resultados (2)'!$V$1</definedName>
    <definedName name="_xlchart.v1.79" hidden="1">'resultados (2)'!$V$2:$V$51</definedName>
    <definedName name="_xlchart.v1.8" hidden="1">resultados!$S$1</definedName>
    <definedName name="_xlchart.v1.80" hidden="1">'resultados (2)'!$W$1</definedName>
    <definedName name="_xlchart.v1.81" hidden="1">'resultados (2)'!$W$2:$W$51</definedName>
    <definedName name="_xlchart.v1.82" hidden="1">'resultados (2)'!$X$1</definedName>
    <definedName name="_xlchart.v1.83" hidden="1">'resultados (2)'!$X$2:$X$51</definedName>
    <definedName name="_xlchart.v1.84" hidden="1">'resultados (2)'!$Y$1</definedName>
    <definedName name="_xlchart.v1.85" hidden="1">'resultados (2)'!$Y$2:$Y$51</definedName>
    <definedName name="_xlchart.v1.86" hidden="1">'resultados (2)'!$Z$1</definedName>
    <definedName name="_xlchart.v1.87" hidden="1">'resultados (2)'!$Z$2:$Z$51</definedName>
    <definedName name="_xlchart.v1.88" hidden="1">'eliminación de puntos 1'!$U$1</definedName>
    <definedName name="_xlchart.v1.89" hidden="1">'eliminación de puntos 1'!$U$2:$U$41</definedName>
    <definedName name="_xlchart.v1.9" hidden="1">resultados!$S$2:$S$51</definedName>
    <definedName name="_xlchart.v1.90" hidden="1">'eliminación de puntos 1'!$S$1</definedName>
    <definedName name="_xlchart.v1.91" hidden="1">'eliminación de puntos 1'!$S$2:$S$41</definedName>
    <definedName name="_xlchart.v1.92" hidden="1">'eliminación de puntos 1'!$T$1</definedName>
    <definedName name="_xlchart.v1.93" hidden="1">'eliminación de puntos 1'!$T$2:$T$41</definedName>
    <definedName name="_xlchart.v1.94" hidden="1">'eliminación de puntos 1'!$AF$1</definedName>
    <definedName name="_xlchart.v1.95" hidden="1">'eliminación de puntos 1'!$AF$2:$AF$41</definedName>
    <definedName name="_xlchart.v1.96" hidden="1">'eliminación de puntos 1'!$AB$2:$AB$41</definedName>
    <definedName name="_xlchart.v1.97" hidden="1">'eliminación de puntos 1'!$AF$2:$AF$41</definedName>
    <definedName name="_xlchart.v1.98" hidden="1">'eliminación de puntos 1'!$U$2:$U$41</definedName>
    <definedName name="_xlchart.v1.99" hidden="1">'eliminación de puntos 1'!$AE$2:$AE$41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" l="1"/>
  <c r="B58" i="6" l="1"/>
  <c r="AF39" i="7"/>
  <c r="AE39" i="7"/>
  <c r="AC39" i="7"/>
  <c r="AB39" i="7"/>
  <c r="U39" i="7"/>
  <c r="T39" i="7"/>
  <c r="S39" i="7"/>
  <c r="AF38" i="7"/>
  <c r="AE38" i="7"/>
  <c r="AC38" i="7"/>
  <c r="AB38" i="7"/>
  <c r="U38" i="7"/>
  <c r="T38" i="7"/>
  <c r="S38" i="7"/>
  <c r="A37" i="7"/>
  <c r="B10" i="6"/>
  <c r="B35" i="6"/>
  <c r="A42" i="2"/>
  <c r="S53" i="4"/>
  <c r="AF54" i="4"/>
  <c r="AE54" i="4"/>
  <c r="AC54" i="4"/>
  <c r="AB54" i="4"/>
  <c r="U54" i="4"/>
  <c r="T54" i="4"/>
  <c r="S54" i="4"/>
  <c r="AF53" i="4"/>
  <c r="AE53" i="4"/>
  <c r="AC53" i="4"/>
  <c r="AB53" i="4"/>
  <c r="U53" i="4"/>
  <c r="T53" i="4"/>
  <c r="AF44" i="2"/>
  <c r="AE44" i="2"/>
  <c r="AC44" i="2"/>
  <c r="AB44" i="2"/>
  <c r="U44" i="2"/>
  <c r="T44" i="2"/>
  <c r="S44" i="2"/>
  <c r="AF43" i="2"/>
  <c r="AE43" i="2"/>
  <c r="AC43" i="2"/>
  <c r="AB43" i="2"/>
  <c r="U43" i="2"/>
  <c r="T43" i="2"/>
  <c r="S43" i="2"/>
  <c r="S53" i="1"/>
  <c r="Z76" i="1" s="1"/>
  <c r="S54" i="1"/>
  <c r="Z77" i="1" s="1"/>
  <c r="T53" i="1"/>
  <c r="AA76" i="1" s="1"/>
  <c r="U53" i="1"/>
  <c r="AB76" i="1" s="1"/>
  <c r="AB53" i="1"/>
  <c r="AC76" i="1" s="1"/>
  <c r="AC53" i="1"/>
  <c r="AD76" i="1" s="1"/>
  <c r="AE53" i="1"/>
  <c r="AE76" i="1" s="1"/>
  <c r="AF53" i="1"/>
  <c r="AF76" i="1" s="1"/>
  <c r="T54" i="1"/>
  <c r="AA77" i="1" s="1"/>
  <c r="U54" i="1"/>
  <c r="AB77" i="1" s="1"/>
  <c r="AB54" i="1"/>
  <c r="AC77" i="1" s="1"/>
  <c r="AC54" i="1"/>
  <c r="AD77" i="1" s="1"/>
  <c r="AE54" i="1"/>
  <c r="AE77" i="1" s="1"/>
  <c r="AF54" i="1"/>
  <c r="AF77" i="1" s="1"/>
</calcChain>
</file>

<file path=xl/sharedStrings.xml><?xml version="1.0" encoding="utf-8"?>
<sst xmlns="http://schemas.openxmlformats.org/spreadsheetml/2006/main" count="1200" uniqueCount="196">
  <si>
    <t>iteracion</t>
  </si>
  <si>
    <t>hora_fin</t>
  </si>
  <si>
    <t>duracion_s</t>
  </si>
  <si>
    <t>duracion_min</t>
  </si>
  <si>
    <t>ids_ajuste</t>
  </si>
  <si>
    <t>ids_validacion</t>
  </si>
  <si>
    <t>ids_separados</t>
  </si>
  <si>
    <t>nombres_ajuste</t>
  </si>
  <si>
    <t>nombres_validacion</t>
  </si>
  <si>
    <t>nombres_separados</t>
  </si>
  <si>
    <t>costo_ajuste</t>
  </si>
  <si>
    <t>costo_validacion</t>
  </si>
  <si>
    <t>costo_total</t>
  </si>
  <si>
    <t>stop_reason</t>
  </si>
  <si>
    <t>stop_iteration</t>
  </si>
  <si>
    <t>final_ratio</t>
  </si>
  <si>
    <t>umbral_relativo</t>
  </si>
  <si>
    <t>max_epoch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</si>
  <si>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</si>
  <si>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</si>
  <si>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</si>
  <si>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</si>
  <si>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</si>
  <si>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</si>
  <si>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</si>
  <si>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</si>
  <si>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</si>
  <si>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</si>
  <si>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Yxg</t>
  </si>
  <si>
    <t>Yxf</t>
  </si>
  <si>
    <t>Yeg</t>
  </si>
  <si>
    <t>Yef</t>
  </si>
  <si>
    <t>2026-04-22 16:19:42</t>
  </si>
  <si>
    <t>1,5,6,12,13</t>
  </si>
  <si>
    <t>3,4,11,14</t>
  </si>
  <si>
    <t>Data CS 24 EL BOLDO estanque 30.xlsx | Data SY 24 LOU+VAL+FN estanque 36.xlsx | Data SY 24 VAL+STARAQ estanque 56.xlsx | Data ME 25 STA MARTA estanque 62.xlsx | Data CA 24 VAL estanque 31.xlsx</t>
  </si>
  <si>
    <t>Data CS 25 EL BOLDO estanque 55.xlsx | Data CS 25 LOU estanque 61.xlsx | Data ME 25 AURORA + STA MARTA estanque 57.xlsx | Data CA 24 VAL estanque 59.xlsx</t>
  </si>
  <si>
    <t>2026-04-22 16:09:56</t>
  </si>
  <si>
    <t>2,5,7,8,16</t>
  </si>
  <si>
    <t>Data CS 24 LOU estanque 54.xlsx | Data SY 24 LOU+VAL+FN estanque 36.xlsx | Data SY 24 LOU estanque 62.xlsx | Data SY 25 LOU estanque 30.xlsx | Data CA 25 F.N. estanque 68.xlsx</t>
  </si>
  <si>
    <t>2026-04-22 16:00:43</t>
  </si>
  <si>
    <t>2,6,9,12,15</t>
  </si>
  <si>
    <t>Data CS 24 LOU estanque 54.xlsx | Data SY 24 VAL+STARAQ estanque 56.xlsx | Data ME 25 Q. AGUA estanque 85.xlsx | Data ME 25 STA MARTA estanque 62.xlsx | Data CA 24 VAL estanque 62.xlsx</t>
  </si>
  <si>
    <t>2026-04-22 17:28:07</t>
  </si>
  <si>
    <t>1,2,6,7,12</t>
  </si>
  <si>
    <t>Data CS 24 EL BOLDO estanque 30.xlsx | Data CS 24 LOU estanque 54.xlsx | Data SY 24 VAL+STARAQ estanque 56.xlsx | Data SY 24 LOU estanque 62.xlsx | Data ME 25 STA MARTA estanque 62.xlsx</t>
  </si>
  <si>
    <t>2026-04-22 17:29:03</t>
  </si>
  <si>
    <t>1,5,8,13,15</t>
  </si>
  <si>
    <t>Data CS 24 EL BOLDO estanque 30.xlsx | Data SY 24 LOU+VAL+FN estanque 36.xlsx | Data SY 25 LOU estanque 30.xlsx | Data CA 24 VAL estanque 31.xlsx | Data CA 24 VAL estanque 62.xlsx</t>
  </si>
  <si>
    <t>2026-04-22 17:35:37</t>
  </si>
  <si>
    <t>2,5,7,13,15</t>
  </si>
  <si>
    <t>Data CS 24 LOU estanque 54.xlsx | Data SY 24 LOU+VAL+FN estanque 36.xlsx | Data SY 24 LOU estanque 62.xlsx | Data CA 24 VAL estanque 31.xlsx | Data CA 24 VAL estanque 62.xlsx</t>
  </si>
  <si>
    <t>2026-04-22 20:23:48</t>
  </si>
  <si>
    <t>2,5,7,9,12</t>
  </si>
  <si>
    <t>Data CS 24 LOU estanque 54.xlsx | Data SY 24 LOU+VAL+FN estanque 36.xlsx | Data SY 24 LOU estanque 62.xlsx | Data ME 25 Q. AGUA estanque 85.xlsx | Data ME 25 STA MARTA estanque 62.xlsx</t>
  </si>
  <si>
    <t>2026-04-22 16:39:15</t>
  </si>
  <si>
    <t>5,8,9,12,16</t>
  </si>
  <si>
    <t>Data SY 24 LOU+VAL+FN estanque 36.xlsx | Data SY 25 LOU estanque 30.xlsx | Data ME 25 Q. AGUA estanque 85.xlsx | Data ME 25 STA MARTA estanque 62.xlsx | Data CA 25 F.N. estanque 68.xlsx</t>
  </si>
  <si>
    <t>2026-04-22 17:13:01</t>
  </si>
  <si>
    <t>2,5,12,13,16</t>
  </si>
  <si>
    <t>Data CS 24 LOU estanque 54.xlsx | Data SY 24 LOU+VAL+FN estanque 36.xlsx | Data ME 25 STA MARTA estanque 62.xlsx | Data CA 24 VAL estanque 31.xlsx | Data CA 25 F.N. estanque 68.xlsx</t>
  </si>
  <si>
    <t>2026-04-22 17:38:32</t>
  </si>
  <si>
    <t>2,5,10,12,13</t>
  </si>
  <si>
    <t>Data CS 24 LOU estanque 54.xlsx | Data SY 24 LOU+VAL+FN estanque 36.xlsx | Data ME 24 QAGUA estanque 54.xlsx | Data ME 25 STA MARTA estanque 62.xlsx | Data CA 24 VAL estanque 31.xlsx</t>
  </si>
  <si>
    <t>2026-04-22 19:04:33</t>
  </si>
  <si>
    <t>1,2,6,7,16</t>
  </si>
  <si>
    <t>Data CS 24 EL BOLDO estanque 30.xlsx | Data CS 24 LOU estanque 54.xlsx | Data SY 24 VAL+STARAQ estanque 56.xlsx | Data SY 24 LOU estanque 62.xlsx | Data CA 25 F.N. estanque 68.xlsx</t>
  </si>
  <si>
    <t>2026-04-23 01:20:10</t>
  </si>
  <si>
    <t>1,6,7,10,13</t>
  </si>
  <si>
    <t>Data CS 24 EL BOLDO estanque 30.xlsx | Data SY 24 VAL+STARAQ estanque 56.xlsx | Data SY 24 LOU estanque 62.xlsx | Data ME 24 QAGUA estanque 54.xlsx | Data CA 24 VAL estanque 31.xlsx</t>
  </si>
  <si>
    <t>2026-04-22 18:59:21</t>
  </si>
  <si>
    <t>1,8,12,15,16</t>
  </si>
  <si>
    <t>Data CS 24 EL BOLDO estanque 30.xlsx | Data SY 25 LOU estanque 30.xlsx | Data ME 25 STA MARTA estanque 62.xlsx | Data CA 24 VAL estanque 62.xlsx | Data CA 25 F.N. estanque 68.xlsx</t>
  </si>
  <si>
    <t>2026-04-22 19:12:36</t>
  </si>
  <si>
    <t>1,10,12,13,16</t>
  </si>
  <si>
    <t>Data CS 24 EL BOLDO estanque 30.xlsx | Data ME 24 QAGUA estanque 54.xlsx | Data ME 25 STA MARTA estanque 62.xlsx | Data CA 24 VAL estanque 31.xlsx | Data CA 25 F.N. estanque 68.xlsx</t>
  </si>
  <si>
    <t>2026-04-22 19:51:52</t>
  </si>
  <si>
    <t>6,7,8,9,15</t>
  </si>
  <si>
    <t>Data SY 24 VAL+STARAQ estanque 56.xlsx | Data SY 24 LOU estanque 62.xlsx | Data SY 25 LOU estanque 30.xlsx | Data ME 25 Q. AGUA estanque 85.xlsx | Data CA 24 VAL estanque 62.xlsx</t>
  </si>
  <si>
    <t>2026-04-23 00:15:32</t>
  </si>
  <si>
    <t>5,7,9,13,15</t>
  </si>
  <si>
    <t>Data SY 24 LOU+VAL+FN estanque 36.xlsx | Data SY 24 LOU estanque 62.xlsx | Data ME 25 Q. AGUA estanque 85.xlsx | Data CA 24 VAL estanque 31.xlsx | Data CA 24 VAL estanque 62.xlsx</t>
  </si>
  <si>
    <t>2026-04-23 01:04:28</t>
  </si>
  <si>
    <t>6,7,10,12,13</t>
  </si>
  <si>
    <t>Data SY 24 VAL+STARAQ estanque 56.xlsx | Data SY 24 LOU estanque 62.xlsx | Data ME 24 QAGUA estanque 54.xlsx | Data ME 25 STA MARTA estanque 62.xlsx | Data CA 24 VAL estanque 31.xlsx</t>
  </si>
  <si>
    <t>2026-04-23 01:35:00</t>
  </si>
  <si>
    <t>6,7,10,15,16</t>
  </si>
  <si>
    <t>Data SY 24 VAL+STARAQ estanque 56.xlsx | Data SY 24 LOU estanque 62.xlsx | Data ME 24 QAGUA estanque 54.xlsx | Data CA 24 VAL estanque 62.xlsx | Data CA 25 F.N. estanque 68.xlsx</t>
  </si>
  <si>
    <t>2026-04-22 21:45:50</t>
  </si>
  <si>
    <t>2,6,8,10,13</t>
  </si>
  <si>
    <t>Data CS 24 LOU estanque 54.xlsx | Data SY 24 VAL+STARAQ estanque 56.xlsx | Data SY 25 LOU estanque 30.xlsx | Data ME 24 QAGUA estanque 54.xlsx | Data CA 24 VAL estanque 31.xlsx</t>
  </si>
  <si>
    <t>2026-04-22 22:10:12</t>
  </si>
  <si>
    <t>1,8,9,10,16</t>
  </si>
  <si>
    <t>Data CS 24 EL BOLDO estanque 30.xlsx | Data SY 25 LOU estanque 30.xlsx | Data ME 25 Q. AGUA estanque 85.xlsx | Data ME 24 QAGUA estanque 54.xlsx | Data CA 25 F.N. estanque 68.xlsx</t>
  </si>
  <si>
    <t>2026-04-23 01:57:16</t>
  </si>
  <si>
    <t>1,2,6,7,10</t>
  </si>
  <si>
    <t>Data CS 24 EL BOLDO estanque 30.xlsx | Data CS 24 LOU estanque 54.xlsx | Data SY 24 VAL+STARAQ estanque 56.xlsx | Data SY 24 LOU estanque 62.xlsx | Data ME 24 QAGUA estanque 54.xlsx</t>
  </si>
  <si>
    <t>2026-04-23 02:19:42</t>
  </si>
  <si>
    <t>7,9,10,13,15</t>
  </si>
  <si>
    <t>Data SY 24 LOU estanque 62.xlsx | Data ME 25 Q. AGUA estanque 85.xlsx | Data ME 24 QAGUA estanque 54.xlsx | Data CA 24 VAL estanque 31.xlsx | Data CA 24 VAL estanque 62.xlsx</t>
  </si>
  <si>
    <t>2026-04-23 02:41:22</t>
  </si>
  <si>
    <t>1,5,6,13,15</t>
  </si>
  <si>
    <t>Data CS 24 EL BOLDO estanque 30.xlsx | Data SY 24 LOU+VAL+FN estanque 36.xlsx | Data SY 24 VAL+STARAQ estanque 56.xlsx | Data CA 24 VAL estanque 31.xlsx | Data CA 24 VAL estanque 62.xlsx</t>
  </si>
  <si>
    <t>2026-04-23 02:29:55</t>
  </si>
  <si>
    <t>1,2,5,6,7</t>
  </si>
  <si>
    <t>Data CS 24 EL BOLDO estanque 30.xlsx | Data CS 24 LOU estanque 54.xlsx | Data SY 24 LOU+VAL+FN estanque 36.xlsx | Data SY 24 VAL+STARAQ estanque 56.xlsx | Data SY 24 LOU estanque 62.xlsx</t>
  </si>
  <si>
    <t>2026-04-23 02:56:41</t>
  </si>
  <si>
    <t>2,6,8,10,15</t>
  </si>
  <si>
    <t>Data CS 24 LOU estanque 54.xlsx | Data SY 24 VAL+STARAQ estanque 56.xlsx | Data SY 25 LOU estanque 30.xlsx | Data ME 24 QAGUA estanque 54.xlsx | Data CA 24 VAL estanque 62.xlsx</t>
  </si>
  <si>
    <t>2026-04-23 02:31:50</t>
  </si>
  <si>
    <t>5,6,7,10,16</t>
  </si>
  <si>
    <t>Data SY 24 LOU+VAL+FN estanque 36.xlsx | Data SY 24 VAL+STARAQ estanque 56.xlsx | Data SY 24 LOU estanque 62.xlsx | Data ME 24 QAGUA estanque 54.xlsx | Data CA 25 F.N. estanque 68.xlsx</t>
  </si>
  <si>
    <t>2026-04-23 03:39:23</t>
  </si>
  <si>
    <t>5,6,8,10,15</t>
  </si>
  <si>
    <t>Data SY 24 LOU+VAL+FN estanque 36.xlsx | Data SY 24 VAL+STARAQ estanque 56.xlsx | Data SY 25 LOU estanque 30.xlsx | Data ME 24 QAGUA estanque 54.xlsx | Data CA 24 VAL estanque 62.xlsx</t>
  </si>
  <si>
    <t>2026-04-23 03:05:29</t>
  </si>
  <si>
    <t>1,2,5,9,12</t>
  </si>
  <si>
    <t>Data CS 24 EL BOLDO estanque 30.xlsx | Data CS 24 LOU estanque 54.xlsx | Data SY 24 LOU+VAL+FN estanque 36.xlsx | Data ME 25 Q. AGUA estanque 85.xlsx | Data ME 25 STA MARTA estanque 62.xlsx</t>
  </si>
  <si>
    <t>2026-04-23 03:00:31</t>
  </si>
  <si>
    <t>2,5,9,12,13</t>
  </si>
  <si>
    <t>Data CS 24 LOU estanque 54.xlsx | Data SY 24 LOU+VAL+FN estanque 36.xlsx | Data ME 25 Q. AGUA estanque 85.xlsx | Data ME 25 STA MARTA estanque 62.xlsx | Data CA 24 VAL estanque 31.xlsx</t>
  </si>
  <si>
    <t>2026-04-23 05:20:45</t>
  </si>
  <si>
    <t>1,2,6,9,10</t>
  </si>
  <si>
    <t>Data CS 24 EL BOLDO estanque 30.xlsx | Data CS 24 LOU estanque 54.xlsx | Data SY 24 VAL+STARAQ estanque 56.xlsx | Data ME 25 Q. AGUA estanque 85.xlsx | Data ME 24 QAGUA estanque 54.xlsx</t>
  </si>
  <si>
    <t>2026-04-23 03:15:37</t>
  </si>
  <si>
    <t>2,7,10,12,16</t>
  </si>
  <si>
    <t>Data CS 24 LOU estanque 54.xlsx | Data SY 24 LOU estanque 62.xlsx | Data ME 24 QAGUA estanque 54.xlsx | Data ME 25 STA MARTA estanque 62.xlsx | Data CA 25 F.N. estanque 68.xlsx</t>
  </si>
  <si>
    <t>2026-04-23 05:43:26</t>
  </si>
  <si>
    <t>6,7,8,10,12</t>
  </si>
  <si>
    <t>Data SY 24 VAL+STARAQ estanque 56.xlsx | Data SY 24 LOU estanque 62.xlsx | Data SY 25 LOU estanque 30.xlsx | Data ME 24 QAGUA estanque 54.xlsx | Data ME 25 STA MARTA estanque 62.xlsx</t>
  </si>
  <si>
    <t>2026-04-23 04:16:22</t>
  </si>
  <si>
    <t>2,7,8,9,10</t>
  </si>
  <si>
    <t>Data CS 24 LOU estanque 54.xlsx | Data SY 24 LOU estanque 62.xlsx | Data SY 25 LOU estanque 30.xlsx | Data ME 25 Q. AGUA estanque 85.xlsx | Data ME 24 QAGUA estanque 54.xlsx</t>
  </si>
  <si>
    <t>2026-04-23 03:55:37</t>
  </si>
  <si>
    <t>9,10,12,13,16</t>
  </si>
  <si>
    <t>Data ME 25 Q. AGUA estanque 85.xlsx | Data ME 24 QAGUA estanque 54.xlsx | Data ME 25 STA MARTA estanque 62.xlsx | Data CA 24 VAL estanque 31.xlsx | Data CA 25 F.N. estanque 68.xlsx</t>
  </si>
  <si>
    <t>2026-04-23 03:57:10</t>
  </si>
  <si>
    <t>1,9,12,15,16</t>
  </si>
  <si>
    <t>Data CS 24 EL BOLDO estanque 30.xlsx | Data ME 25 Q. AGUA estanque 85.xlsx | Data ME 25 STA MARTA estanque 62.xlsx | Data CA 24 VAL estanque 62.xlsx | Data CA 25 F.N. estanque 68.xlsx</t>
  </si>
  <si>
    <t>2026-04-23 04:33:51</t>
  </si>
  <si>
    <t>1,2,8,9,12</t>
  </si>
  <si>
    <t>Data CS 24 EL BOLDO estanque 30.xlsx | Data CS 24 LOU estanque 54.xlsx | Data SY 25 LOU estanque 30.xlsx | Data ME 25 Q. AGUA estanque 85.xlsx | Data ME 25 STA MARTA estanque 62.xlsx</t>
  </si>
  <si>
    <t>2026-04-23 04:42:52</t>
  </si>
  <si>
    <t>5,8,12,15,16</t>
  </si>
  <si>
    <t>Data SY 24 LOU+VAL+FN estanque 36.xlsx | Data SY 25 LOU estanque 30.xlsx | Data ME 25 STA MARTA estanque 62.xlsx | Data CA 24 VAL estanque 62.xlsx | Data CA 25 F.N. estanque 68.xlsx</t>
  </si>
  <si>
    <t>2026-04-23 06:29:17</t>
  </si>
  <si>
    <t>6,7,8,15,16</t>
  </si>
  <si>
    <t>Data SY 24 VAL+STARAQ estanque 56.xlsx | Data SY 24 LOU estanque 62.xlsx | Data SY 25 LOU estanque 30.xlsx | Data CA 24 VAL estanque 62.xlsx | Data CA 25 F.N. estanque 68.xlsx</t>
  </si>
  <si>
    <t>2026-04-23 05:13:51</t>
  </si>
  <si>
    <t>2,6,9,13,16</t>
  </si>
  <si>
    <t>Data CS 24 LOU estanque 54.xlsx | Data SY 24 VAL+STARAQ estanque 56.xlsx | Data ME 25 Q. AGUA estanque 85.xlsx | Data CA 24 VAL estanque 31.xlsx | Data CA 25 F.N. estanque 68.xlsx</t>
  </si>
  <si>
    <t>2026-04-23 05:18:43</t>
  </si>
  <si>
    <t>5,6,8,9,15</t>
  </si>
  <si>
    <t>Data SY 24 LOU+VAL+FN estanque 36.xlsx | Data SY 24 VAL+STARAQ estanque 56.xlsx | Data SY 25 LOU estanque 30.xlsx | Data ME 25 Q. AGUA estanque 85.xlsx | Data CA 24 VAL estanque 62.xlsx</t>
  </si>
  <si>
    <t>2026-04-23 05:27:12</t>
  </si>
  <si>
    <t>6,9,10,12,15</t>
  </si>
  <si>
    <t>Data SY 24 VAL+STARAQ estanque 56.xlsx | Data ME 25 Q. AGUA estanque 85.xlsx | Data ME 24 QAGUA estanque 54.xlsx | Data ME 25 STA MARTA estanque 62.xlsx | Data CA 24 VAL estanque 62.xlsx</t>
  </si>
  <si>
    <t>2026-04-23 06:55:38</t>
  </si>
  <si>
    <t>1,9,10,13,15</t>
  </si>
  <si>
    <t>Data CS 24 EL BOLDO estanque 30.xlsx | Data ME 25 Q. AGUA estanque 85.xlsx | Data ME 24 QAGUA estanque 54.xlsx | Data CA 24 VAL estanque 31.xlsx | Data CA 24 VAL estanque 62.xlsx</t>
  </si>
  <si>
    <t>2026-04-23 07:38:03</t>
  </si>
  <si>
    <t>2,5,13,15,16</t>
  </si>
  <si>
    <t>Data CS 24 LOU estanque 54.xlsx | Data SY 24 LOU+VAL+FN estanque 36.xlsx | Data CA 24 VAL estanque 31.xlsx | Data CA 24 VAL estanque 62.xlsx | Data CA 25 F.N. estanque 68.xlsx</t>
  </si>
  <si>
    <t>2026-04-23 05:55:45</t>
  </si>
  <si>
    <t>5,9,10,15,16</t>
  </si>
  <si>
    <t>Data SY 24 LOU+VAL+FN estanque 36.xlsx | Data ME 25 Q. AGUA estanque 85.xlsx | Data ME 24 QAGUA estanque 54.xlsx | Data CA 24 VAL estanque 62.xlsx | Data CA 25 F.N. estanque 68.xlsx</t>
  </si>
  <si>
    <t>2026-04-23 06:28:10</t>
  </si>
  <si>
    <t>5,8,9,12,15</t>
  </si>
  <si>
    <t>Data SY 24 LOU+VAL+FN estanque 36.xlsx | Data SY 25 LOU estanque 30.xlsx | Data ME 25 Q. AGUA estanque 85.xlsx | Data ME 25 STA MARTA estanque 62.xlsx | Data CA 24 VAL estanque 62.xlsx</t>
  </si>
  <si>
    <t>2026-04-23 08:02:44</t>
  </si>
  <si>
    <t>1,5,7,10,15</t>
  </si>
  <si>
    <t>Data CS 24 EL BOLDO estanque 30.xlsx | Data SY 24 LOU+VAL+FN estanque 36.xlsx | Data SY 24 LOU estanque 62.xlsx | Data ME 24 QAGUA estanque 54.xlsx | Data CA 24 VAL estanque 62.xlsx</t>
  </si>
  <si>
    <t>2026-04-23 09:45:16</t>
  </si>
  <si>
    <t>2,6,7,10,16</t>
  </si>
  <si>
    <t>Data CS 24 LOU estanque 54.xlsx | Data SY 24 VAL+STARAQ estanque 56.xlsx | Data SY 24 LOU estanque 62.xlsx | Data ME 24 QAGUA estanque 54.xlsx | Data CA 25 F.N. estanque 68.xlsx</t>
  </si>
  <si>
    <t>2026-04-23 12:14:16</t>
  </si>
  <si>
    <t>1,6,8,13,16</t>
  </si>
  <si>
    <t>Data CS 24 EL BOLDO estanque 30.xlsx | Data SY 24 VAL+STARAQ estanque 56.xlsx | Data SY 25 LOU estanque 30.xlsx | Data CA 24 VAL estanque 31.xlsx | Data CA 25 F.N. estanque 68.xlsx</t>
  </si>
  <si>
    <t>2026-04-23 08:15:03</t>
  </si>
  <si>
    <t>1,6,8,13,15</t>
  </si>
  <si>
    <t>Data CS 24 EL BOLDO estanque 30.xlsx | Data SY 24 VAL+STARAQ estanque 56.xlsx | Data SY 25 LOU estanque 30.xlsx | Data CA 24 VAL estanque 31.xlsx | Data CA 24 VAL estanque 62.xlsx</t>
  </si>
  <si>
    <t>2026-04-23 14:01:54</t>
  </si>
  <si>
    <t>1,6,7,15,16</t>
  </si>
  <si>
    <t>Data CS 24 EL BOLDO estanque 30.xlsx | Data SY 24 VAL+STARAQ estanque 56.xlsx | Data SY 24 LOU estanque 62.xlsx | Data CA 24 VAL estanque 62.xlsx | Data CA 25 F.N. estanque 68.xlsx</t>
  </si>
  <si>
    <t>RESULTADO VALIDACIÓN CON SET</t>
  </si>
  <si>
    <t>Set</t>
  </si>
  <si>
    <t>val cost</t>
  </si>
  <si>
    <t>SIN ELIMINACIÓN DE PUNTOS</t>
  </si>
  <si>
    <t>3,8,10,15,20,30,34,36,40,49</t>
  </si>
  <si>
    <t>ELIMINACIÓN DE PUNTOS 1:</t>
  </si>
  <si>
    <t>ELIMINACIÓN DE PUNTOS 2:</t>
  </si>
  <si>
    <t>3,8,10,15,20,22,23,30,33,34,36,40,44,45,49</t>
  </si>
  <si>
    <t>El 90% de las simulaciones (basadas en sets reales) cae dentro de esta banda</t>
  </si>
  <si>
    <t>El 90% de las simulaciones (basadas en distribución gaussiana) cae dentro de esta banda</t>
  </si>
  <si>
    <t>Promedio</t>
  </si>
  <si>
    <t>Desv. 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</si>
</sst>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0000000"/>
    <numFmt numFmtId="166" formatCode="0.0000000"/>
    <numFmt numFmtId="172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65" fontId="0" fillId="0" borderId="3" xfId="0" applyNumberFormat="1" applyBorder="1"/>
    <xf numFmtId="165" fontId="0" fillId="0" borderId="0" xfId="0" applyNumberFormat="1"/>
    <xf numFmtId="165" fontId="0" fillId="0" borderId="8" xfId="0" applyNumberFormat="1" applyBorder="1"/>
    <xf numFmtId="0" fontId="2" fillId="0" borderId="0" xfId="0" applyFont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6" xfId="0" applyFill="1" applyBorder="1"/>
    <xf numFmtId="0" fontId="2" fillId="2" borderId="0" xfId="0" applyFont="1" applyFill="1"/>
    <xf numFmtId="0" fontId="0" fillId="2" borderId="8" xfId="0" applyFill="1" applyBorder="1"/>
    <xf numFmtId="0" fontId="0" fillId="2" borderId="9" xfId="0" applyFill="1" applyBorder="1"/>
    <xf numFmtId="164" fontId="0" fillId="0" borderId="0" xfId="0" applyNumberFormat="1"/>
    <xf numFmtId="166" fontId="0" fillId="2" borderId="3" xfId="0" applyNumberFormat="1" applyFill="1" applyBorder="1"/>
    <xf numFmtId="166" fontId="0" fillId="0" borderId="0" xfId="0" applyNumberFormat="1"/>
    <xf numFmtId="166" fontId="0" fillId="2" borderId="0" xfId="0" applyNumberFormat="1" applyFill="1"/>
    <xf numFmtId="166" fontId="2" fillId="2" borderId="0" xfId="0" applyNumberFormat="1" applyFont="1" applyFill="1"/>
    <xf numFmtId="166" fontId="2" fillId="0" borderId="0" xfId="0" applyNumberFormat="1" applyFont="1"/>
    <xf numFmtId="166" fontId="0" fillId="2" borderId="8" xfId="0" applyNumberFormat="1" applyFill="1" applyBorder="1"/>
    <xf numFmtId="0" fontId="0" fillId="3" borderId="0" xfId="0" applyFill="1"/>
    <xf numFmtId="0" fontId="0" fillId="3" borderId="6" xfId="0" applyFill="1" applyBorder="1"/>
    <xf numFmtId="0" fontId="2" fillId="3" borderId="0" xfId="0" applyFont="1" applyFill="1"/>
    <xf numFmtId="0" fontId="0" fillId="3" borderId="8" xfId="0" applyFill="1" applyBorder="1"/>
    <xf numFmtId="0" fontId="0" fillId="3" borderId="9" xfId="0" applyFill="1" applyBorder="1"/>
    <xf numFmtId="172" fontId="0" fillId="0" borderId="0" xfId="0" applyNumberFormat="1"/>
    <xf numFmtId="0" fontId="0" fillId="0" borderId="0" xfId="0" applyAlignment="1">
      <alignment horizontal="center"/>
    </xf>
    <xf numFmtId="172" fontId="0" fillId="0" borderId="0" xfId="0" applyNumberFormat="1" applyAlignment="1">
      <alignment horizontal="center"/>
    </xf>
    <xf numFmtId="0" fontId="0" fillId="3" borderId="5" xfId="0" applyFill="1" applyBorder="1"/>
    <xf numFmtId="165" fontId="0" fillId="3" borderId="0" xfId="0" applyNumberFormat="1" applyFill="1"/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Ex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Ex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Ex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Ex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Ex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Ex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Ex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Ex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Ex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Ex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Ex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Ex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Ex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Ex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Ex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Ex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Ex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Ex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_xlchart.v1.0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_xlchart.v1.6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_xlchart.v1.8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_xlchart.v1.2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_xlchart.v1.10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_xlchart.v1.12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_xlchart.v1.4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_xlchart.v1.38</cx:f>
      </cx:numDim>
    </cx:data>
    <cx:data id="1">
      <cx:numDim type="val">
        <cx:f>_xlchart.v1.41</cx:f>
      </cx:numDim>
    </cx:data>
    <cx:data id="2">
      <cx:numDim type="val">
        <cx:f>_xlchart.v1.43</cx:f>
      </cx:numDim>
    </cx:data>
    <cx:data id="3">
      <cx:numDim type="val">
        <cx:f>_xlchart.v1.30</cx:f>
      </cx:numDim>
    </cx:data>
    <cx:data id="4">
      <cx:numDim type="val">
        <cx:f>_xlchart.v1.32</cx:f>
      </cx:numDim>
    </cx:data>
    <cx:data id="5">
      <cx:numDim type="val">
        <cx:f>_xlchart.v1.34</cx:f>
      </cx:numDim>
    </cx:data>
    <cx:data id="6">
      <cx:numDim type="val">
        <cx:f>_xlchart.v1.36</cx:f>
      </cx:numDim>
    </cx:data>
  </cx:chartData>
  <cx:chart>
    <cx:plotArea>
      <cx:plotAreaRegion>
        <cx:series layoutId="boxWhisker" uniqueId="{86E517A4-0FA7-4B87-BC3A-8436C3344B5F}">
          <cx:tx>
            <cx:txData>
              <cx:f>_xlchart.v1.37</cx:f>
              <cx:v>mu0</cx:v>
            </cx:txData>
          </cx:tx>
          <cx:spPr>
            <a:ln>
              <a:solidFill>
                <a:schemeClr val="tx1"/>
              </a:solidFill>
            </a:ln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C029-4B1C-84E8-BAD9763C8B9C}">
          <cx:tx>
            <cx:txData>
              <cx:f>_xlchart.v1.40</cx:f>
              <cx:v>betaG0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00000002-C029-4B1C-84E8-BAD9763C8B9C}">
          <cx:tx>
            <cx:txData>
              <cx:f>_xlchart.v1.42</cx:f>
              <cx:v>betaF0</cx:v>
            </cx:txData>
          </cx:tx>
          <cx:spPr>
            <a:ln>
              <a:solidFill>
                <a:schemeClr val="tx1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00000003-C029-4B1C-84E8-BAD9763C8B9C}">
          <cx:tx>
            <cx:txData>
              <cx:f>_xlchart.v1.29</cx:f>
              <cx:v>Yxn</cx:v>
            </cx:txData>
          </cx:tx>
          <cx:spPr>
            <a:ln>
              <a:solidFill>
                <a:schemeClr val="tx1"/>
              </a:solidFill>
            </a:ln>
          </cx:spPr>
          <cx:dataId val="3"/>
          <cx:layoutPr>
            <cx:statistics quartileMethod="exclusive"/>
          </cx:layoutPr>
        </cx:series>
        <cx:series layoutId="boxWhisker" uniqueId="{00000004-C029-4B1C-84E8-BAD9763C8B9C}">
          <cx:tx>
            <cx:txData>
              <cx:f>_xlchart.v1.31</cx:f>
              <cx:v>Yxg</cx:v>
            </cx:txData>
          </cx:tx>
          <cx:spPr>
            <a:ln>
              <a:solidFill>
                <a:schemeClr val="tx1"/>
              </a:solidFill>
            </a:ln>
          </cx:spPr>
          <cx:dataId val="4"/>
          <cx:layoutPr>
            <cx:statistics quartileMethod="exclusive"/>
          </cx:layoutPr>
        </cx:series>
        <cx:series layoutId="boxWhisker" uniqueId="{00000005-C029-4B1C-84E8-BAD9763C8B9C}">
          <cx:tx>
            <cx:txData>
              <cx:f>_xlchart.v1.33</cx:f>
              <cx:v>Yeg</cx:v>
            </cx:txData>
          </cx:tx>
          <cx:spPr>
            <a:ln>
              <a:solidFill>
                <a:schemeClr val="tx1"/>
              </a:solidFill>
            </a:ln>
          </cx:spPr>
          <cx:dataId val="5"/>
          <cx:layoutPr>
            <cx:statistics quartileMethod="exclusive"/>
          </cx:layoutPr>
        </cx:series>
        <cx:series layoutId="boxWhisker" uniqueId="{00000006-C029-4B1C-84E8-BAD9763C8B9C}">
          <cx:tx>
            <cx:txData>
              <cx:f>_xlchart.v1.35</cx:f>
              <cx:v>Yef</cx:v>
            </cx:txData>
          </cx:tx>
          <cx:spPr>
            <a:ln>
              <a:solidFill>
                <a:schemeClr val="tx1"/>
              </a:solidFill>
            </a:ln>
          </cx:spPr>
          <cx:dataId val="6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latin typeface="Lato" panose="020F0502020204030203" pitchFamily="34" charset="0"/>
                <a:ea typeface="Lato" panose="020F0502020204030203" pitchFamily="34" charset="0"/>
                <a:cs typeface="Lato" panose="020F0502020204030203" pitchFamily="34" charset="0"/>
              </a:defRPr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Lato" panose="020F0502020204030203" pitchFamily="34" charset="0"/>
            </a:endParaRPr>
          </a:p>
        </cx:txPr>
      </cx:axis>
    </cx:plotArea>
    <cx:legend pos="b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>
              <a:latin typeface="Lato" panose="020F0502020204030203" pitchFamily="34" charset="0"/>
              <a:ea typeface="Lato" panose="020F0502020204030203" pitchFamily="34" charset="0"/>
              <a:cs typeface="Lato" panose="020F0502020204030203" pitchFamily="34" charset="0"/>
            </a:defRPr>
          </a:pPr>
          <a:endParaRPr lang="es-E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Lato" panose="020F0502020204030203" pitchFamily="34" charset="0"/>
            <a:cs typeface="Latha" panose="020B0502040204020203" pitchFamily="34" charset="0"/>
          </a:endParaRPr>
        </a:p>
      </cx:txPr>
    </cx:legend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_xlchart.v1.46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_xlchart.v1.45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_xlchart.v1.52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_xlchart.v1.51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_xlchart.v1.48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_xlchart.v1.47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" sourceLinked="0"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_xlchart.v1.54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_xlchart.v1.53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_xlchart.v1.50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_xlchart.v1.49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_xlchart.v1.56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_xlchart.v1.55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_xlchart.v1.58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_xlchart.v1.57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_xlchart.v1.93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_xlchart.v1.92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_xlchart.v1.89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_xlchart.v1.88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_xlchart.v1.91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_xlchart.v1.90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_xlchart.v1.108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_xlchart.v1.107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_xlchart.v1.106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_xlchart.v1.105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2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_xlchart.v1.101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_xlchart.v1.100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2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_xlchart.v1.95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_xlchart.v1.94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2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_xlchart.v1.102</cx:f>
      </cx:numDim>
    </cx:data>
  </cx:chartData>
  <cx:chart>
    <cx:plotArea>
      <cx:plotAreaRegion>
        <cx:series layoutId="clusteredColumn" uniqueId="{C9B6CA41-40ED-44BC-A30F-91442140BCA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_xlchart.v1.103</cx:f>
      </cx:numDim>
    </cx:data>
  </cx:chartData>
  <cx:chart>
    <cx:plotArea>
      <cx:plotAreaRegion>
        <cx:series layoutId="clusteredColumn" uniqueId="{E6A7DD5D-9350-4F2A-BD8F-B185D43D567E}">
          <cx:spPr>
            <a:solidFill>
              <a:schemeClr val="accent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_xlchart.v1.98</cx:f>
      </cx:numDim>
    </cx:data>
  </cx:chartData>
  <cx:chart>
    <cx:plotArea>
      <cx:plotAreaRegion>
        <cx:series layoutId="clusteredColumn" uniqueId="{98E6CA0F-6466-4F54-9DEB-4CB71CE67FAF}">
          <cx:spPr>
            <a:solidFill>
              <a:schemeClr val="accent3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_xlchart.v1.96</cx:f>
      </cx:numDim>
    </cx:data>
  </cx:chartData>
  <cx:chart>
    <cx:plotArea>
      <cx:plotAreaRegion>
        <cx:series layoutId="clusteredColumn" uniqueId="{9A80F626-E190-45A3-9E07-542F553716B0}">
          <cx:spPr>
            <a:solidFill>
              <a:schemeClr val="accent4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_xlchart.v1.104</cx:f>
      </cx:numDim>
    </cx:data>
  </cx:chartData>
  <cx:chart>
    <cx:plotArea>
      <cx:plotAreaRegion>
        <cx:series layoutId="clusteredColumn" uniqueId="{9906A36B-5C20-40F9-99B9-267FD595F603}">
          <cx:spPr>
            <a:solidFill>
              <a:schemeClr val="accent5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_xlchart.v1.99</cx:f>
      </cx:numDim>
    </cx:data>
  </cx:chartData>
  <cx:chart>
    <cx:plotArea>
      <cx:plotAreaRegion>
        <cx:series layoutId="clusteredColumn" uniqueId="{83B06F5D-AB66-4556-99EA-0E9BB789EF0D}">
          <cx:spPr>
            <a:solidFill>
              <a:schemeClr val="accent6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_xlchart.v1.97</cx:f>
      </cx:numDim>
    </cx:data>
  </cx:chartData>
  <cx:chart>
    <cx:plotArea>
      <cx:plotAreaRegion>
        <cx:series layoutId="clusteredColumn" uniqueId="{6FD55107-C350-490C-A74D-DDB24AB40759}">
          <cx:spPr>
            <a:solidFill>
              <a:schemeClr val="tx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3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_xlchart.v1.111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_xlchart.v1.110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_xlchart.v1.121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_xlchart.v1.120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_xlchart.v1.123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_xlchart.v1.122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_xlchart.v1.119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_xlchart.v1.118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_xlchart.v1.127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_xlchart.v1.126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_xlchart.v1.129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_xlchart.v1.128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3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_xlchart.v1.125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_xlchart.v1.124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3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_xlchart.v1.116</cx:f>
      </cx:numDim>
    </cx:data>
  </cx:chartData>
  <cx:chart>
    <cx:plotArea>
      <cx:plotAreaRegion>
        <cx:series layoutId="clusteredColumn" uniqueId="{C9B6CA41-40ED-44BC-A30F-91442140BCA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_xlchart.v1.117</cx:f>
      </cx:numDim>
    </cx:data>
  </cx:chartData>
  <cx:chart>
    <cx:plotArea>
      <cx:plotAreaRegion>
        <cx:series layoutId="clusteredColumn" uniqueId="{E6A7DD5D-9350-4F2A-BD8F-B185D43D567E}">
          <cx:spPr>
            <a:solidFill>
              <a:schemeClr val="accent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_xlchart.v1.115</cx:f>
      </cx:numDim>
    </cx:data>
  </cx:chartData>
  <cx:chart>
    <cx:plotArea>
      <cx:plotAreaRegion>
        <cx:series layoutId="clusteredColumn" uniqueId="{98E6CA0F-6466-4F54-9DEB-4CB71CE67FAF}">
          <cx:spPr>
            <a:solidFill>
              <a:schemeClr val="accent3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_xlchart.v1.109</cx:f>
      </cx:numDim>
    </cx:data>
  </cx:chartData>
  <cx:chart>
    <cx:plotArea>
      <cx:plotAreaRegion>
        <cx:series layoutId="clusteredColumn" uniqueId="{9A80F626-E190-45A3-9E07-542F553716B0}">
          <cx:spPr>
            <a:solidFill>
              <a:schemeClr val="accent4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_xlchart.v1.112</cx:f>
      </cx:numDim>
    </cx:data>
  </cx:chartData>
  <cx:chart>
    <cx:plotArea>
      <cx:plotAreaRegion>
        <cx:series layoutId="clusteredColumn" uniqueId="{9906A36B-5C20-40F9-99B9-267FD595F603}">
          <cx:spPr>
            <a:solidFill>
              <a:schemeClr val="accent5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_xlchart.v1.113</cx:f>
      </cx:numDim>
    </cx:data>
  </cx:chartData>
  <cx:chart>
    <cx:plotArea>
      <cx:plotAreaRegion>
        <cx:series layoutId="clusteredColumn" uniqueId="{83B06F5D-AB66-4556-99EA-0E9BB789EF0D}">
          <cx:spPr>
            <a:solidFill>
              <a:schemeClr val="accent6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_xlchart.v1.114</cx:f>
      </cx:numDim>
    </cx:data>
  </cx:chartData>
  <cx:chart>
    <cx:plotArea>
      <cx:plotAreaRegion>
        <cx:series layoutId="clusteredColumn" uniqueId="{6FD55107-C350-490C-A74D-DDB24AB40759}">
          <cx:spPr>
            <a:solidFill>
              <a:schemeClr val="tx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8.xml"/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1.xml"/><Relationship Id="rId7" Type="http://schemas.microsoft.com/office/2014/relationships/chartEx" Target="../charts/chartEx15.xml"/><Relationship Id="rId2" Type="http://schemas.microsoft.com/office/2014/relationships/chartEx" Target="../charts/chartEx10.xml"/><Relationship Id="rId1" Type="http://schemas.microsoft.com/office/2014/relationships/chartEx" Target="../charts/chartEx9.xml"/><Relationship Id="rId6" Type="http://schemas.microsoft.com/office/2014/relationships/chartEx" Target="../charts/chartEx14.xml"/><Relationship Id="rId5" Type="http://schemas.microsoft.com/office/2014/relationships/chartEx" Target="../charts/chartEx13.xml"/><Relationship Id="rId4" Type="http://schemas.microsoft.com/office/2014/relationships/chartEx" Target="../charts/chartEx12.xml"/></Relationships>
</file>

<file path=xl/drawings/_rels/drawing3.xml.rels><?xml version="1.0" encoding="UTF-8" standalone="yes"?>
<Relationships xmlns="http://schemas.openxmlformats.org/package/2006/relationships"><Relationship Id="rId8" Type="http://schemas.microsoft.com/office/2014/relationships/chartEx" Target="../charts/chartEx23.xml"/><Relationship Id="rId13" Type="http://schemas.microsoft.com/office/2014/relationships/chartEx" Target="../charts/chartEx28.xml"/><Relationship Id="rId3" Type="http://schemas.microsoft.com/office/2014/relationships/chartEx" Target="../charts/chartEx18.xml"/><Relationship Id="rId7" Type="http://schemas.microsoft.com/office/2014/relationships/chartEx" Target="../charts/chartEx22.xml"/><Relationship Id="rId12" Type="http://schemas.microsoft.com/office/2014/relationships/chartEx" Target="../charts/chartEx27.xml"/><Relationship Id="rId2" Type="http://schemas.microsoft.com/office/2014/relationships/chartEx" Target="../charts/chartEx17.xml"/><Relationship Id="rId1" Type="http://schemas.microsoft.com/office/2014/relationships/chartEx" Target="../charts/chartEx16.xml"/><Relationship Id="rId6" Type="http://schemas.microsoft.com/office/2014/relationships/chartEx" Target="../charts/chartEx21.xml"/><Relationship Id="rId11" Type="http://schemas.microsoft.com/office/2014/relationships/chartEx" Target="../charts/chartEx26.xml"/><Relationship Id="rId5" Type="http://schemas.microsoft.com/office/2014/relationships/chartEx" Target="../charts/chartEx20.xml"/><Relationship Id="rId10" Type="http://schemas.microsoft.com/office/2014/relationships/chartEx" Target="../charts/chartEx25.xml"/><Relationship Id="rId4" Type="http://schemas.microsoft.com/office/2014/relationships/chartEx" Target="../charts/chartEx19.xml"/><Relationship Id="rId9" Type="http://schemas.microsoft.com/office/2014/relationships/chartEx" Target="../charts/chartEx24.xml"/><Relationship Id="rId14" Type="http://schemas.microsoft.com/office/2014/relationships/chartEx" Target="../charts/chartEx29.xml"/></Relationships>
</file>

<file path=xl/drawings/_rels/drawing4.xml.rels><?xml version="1.0" encoding="UTF-8" standalone="yes"?>
<Relationships xmlns="http://schemas.openxmlformats.org/package/2006/relationships"><Relationship Id="rId8" Type="http://schemas.microsoft.com/office/2014/relationships/chartEx" Target="../charts/chartEx37.xml"/><Relationship Id="rId13" Type="http://schemas.microsoft.com/office/2014/relationships/chartEx" Target="../charts/chartEx42.xml"/><Relationship Id="rId3" Type="http://schemas.microsoft.com/office/2014/relationships/chartEx" Target="../charts/chartEx32.xml"/><Relationship Id="rId7" Type="http://schemas.microsoft.com/office/2014/relationships/chartEx" Target="../charts/chartEx36.xml"/><Relationship Id="rId12" Type="http://schemas.microsoft.com/office/2014/relationships/chartEx" Target="../charts/chartEx41.xml"/><Relationship Id="rId2" Type="http://schemas.microsoft.com/office/2014/relationships/chartEx" Target="../charts/chartEx31.xml"/><Relationship Id="rId1" Type="http://schemas.microsoft.com/office/2014/relationships/chartEx" Target="../charts/chartEx30.xml"/><Relationship Id="rId6" Type="http://schemas.microsoft.com/office/2014/relationships/chartEx" Target="../charts/chartEx35.xml"/><Relationship Id="rId11" Type="http://schemas.microsoft.com/office/2014/relationships/chartEx" Target="../charts/chartEx40.xml"/><Relationship Id="rId5" Type="http://schemas.microsoft.com/office/2014/relationships/chartEx" Target="../charts/chartEx34.xml"/><Relationship Id="rId10" Type="http://schemas.microsoft.com/office/2014/relationships/chartEx" Target="../charts/chartEx39.xml"/><Relationship Id="rId4" Type="http://schemas.microsoft.com/office/2014/relationships/chartEx" Target="../charts/chartEx33.xml"/><Relationship Id="rId9" Type="http://schemas.microsoft.com/office/2014/relationships/chartEx" Target="../charts/chartEx38.xml"/><Relationship Id="rId14" Type="http://schemas.microsoft.com/office/2014/relationships/chartEx" Target="../charts/chartEx4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518160</xdr:colOff>
      <xdr:row>56</xdr:row>
      <xdr:rowOff>11430</xdr:rowOff>
    </xdr:from>
    <xdr:to>
      <xdr:col>20</xdr:col>
      <xdr:colOff>457200</xdr:colOff>
      <xdr:row>71</xdr:row>
      <xdr:rowOff>11430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E013EE0E-E08A-42CE-B0A0-DDD303D22F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71960" y="10252710"/>
              <a:ext cx="23241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548640</xdr:colOff>
      <xdr:row>56</xdr:row>
      <xdr:rowOff>26670</xdr:rowOff>
    </xdr:from>
    <xdr:to>
      <xdr:col>24</xdr:col>
      <xdr:colOff>510540</xdr:colOff>
      <xdr:row>71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77DFBA2F-1E9A-4FF5-9F05-0A08EE943C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7500" y="10267950"/>
              <a:ext cx="26212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518160</xdr:colOff>
      <xdr:row>56</xdr:row>
      <xdr:rowOff>19050</xdr:rowOff>
    </xdr:from>
    <xdr:to>
      <xdr:col>17</xdr:col>
      <xdr:colOff>381000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83FB6EE3-CBC8-453A-895D-AD31546EEA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89720" y="10260330"/>
              <a:ext cx="25450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144780</xdr:colOff>
      <xdr:row>56</xdr:row>
      <xdr:rowOff>3810</xdr:rowOff>
    </xdr:from>
    <xdr:to>
      <xdr:col>28</xdr:col>
      <xdr:colOff>297180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A70E80D-D332-443B-94E9-DAA74A62D6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52620" y="102450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28</xdr:col>
      <xdr:colOff>381000</xdr:colOff>
      <xdr:row>56</xdr:row>
      <xdr:rowOff>19050</xdr:rowOff>
    </xdr:from>
    <xdr:to>
      <xdr:col>31</xdr:col>
      <xdr:colOff>312420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FD9D0442-5CD2-471D-9C01-04F04B1A9C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31000" y="102603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419100</xdr:colOff>
      <xdr:row>56</xdr:row>
      <xdr:rowOff>3810</xdr:rowOff>
    </xdr:from>
    <xdr:to>
      <xdr:col>34</xdr:col>
      <xdr:colOff>571500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A5E80AF8-354E-4556-AD91-17E3861EA2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32240" y="102450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38100</xdr:colOff>
      <xdr:row>56</xdr:row>
      <xdr:rowOff>19050</xdr:rowOff>
    </xdr:from>
    <xdr:to>
      <xdr:col>38</xdr:col>
      <xdr:colOff>403860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CD777AF8-6FEF-4DB3-B901-5FCC392647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003000" y="102603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16</xdr:col>
      <xdr:colOff>695325</xdr:colOff>
      <xdr:row>74</xdr:row>
      <xdr:rowOff>157162</xdr:rowOff>
    </xdr:from>
    <xdr:to>
      <xdr:col>23</xdr:col>
      <xdr:colOff>581025</xdr:colOff>
      <xdr:row>101</xdr:row>
      <xdr:rowOff>142874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D156A52-3A28-54A0-CBDF-1DE38C1A4E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58525" y="13549312"/>
              <a:ext cx="5295900" cy="48720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518160</xdr:colOff>
      <xdr:row>56</xdr:row>
      <xdr:rowOff>11430</xdr:rowOff>
    </xdr:from>
    <xdr:to>
      <xdr:col>20</xdr:col>
      <xdr:colOff>457200</xdr:colOff>
      <xdr:row>71</xdr:row>
      <xdr:rowOff>11430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1134276-20B0-49CD-A044-E70C71024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71960" y="8423910"/>
              <a:ext cx="23241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548640</xdr:colOff>
      <xdr:row>56</xdr:row>
      <xdr:rowOff>26670</xdr:rowOff>
    </xdr:from>
    <xdr:to>
      <xdr:col>24</xdr:col>
      <xdr:colOff>510540</xdr:colOff>
      <xdr:row>71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06749B7-21F6-4385-B2A8-54E2A48576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7500" y="8439150"/>
              <a:ext cx="26212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518160</xdr:colOff>
      <xdr:row>56</xdr:row>
      <xdr:rowOff>19050</xdr:rowOff>
    </xdr:from>
    <xdr:to>
      <xdr:col>17</xdr:col>
      <xdr:colOff>381000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C1386E37-7C7E-4B9C-AB8F-E74269388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89720" y="8431530"/>
              <a:ext cx="25450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144780</xdr:colOff>
      <xdr:row>56</xdr:row>
      <xdr:rowOff>3810</xdr:rowOff>
    </xdr:from>
    <xdr:to>
      <xdr:col>28</xdr:col>
      <xdr:colOff>297180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55A43C4D-307C-41E8-97CB-73956F707F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52620" y="84162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28</xdr:col>
      <xdr:colOff>381000</xdr:colOff>
      <xdr:row>56</xdr:row>
      <xdr:rowOff>19050</xdr:rowOff>
    </xdr:from>
    <xdr:to>
      <xdr:col>31</xdr:col>
      <xdr:colOff>312420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72F1F743-6E03-4E85-8F4B-82205BF3F7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31000" y="84315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419100</xdr:colOff>
      <xdr:row>56</xdr:row>
      <xdr:rowOff>3810</xdr:rowOff>
    </xdr:from>
    <xdr:to>
      <xdr:col>34</xdr:col>
      <xdr:colOff>571500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1A39BB37-DDF8-4834-8224-B91379227F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32240" y="84162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38100</xdr:colOff>
      <xdr:row>56</xdr:row>
      <xdr:rowOff>19050</xdr:rowOff>
    </xdr:from>
    <xdr:to>
      <xdr:col>38</xdr:col>
      <xdr:colOff>403860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8F49F0D7-41C1-439C-B709-2E4F5B0995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003000" y="84315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10886</xdr:colOff>
      <xdr:row>45</xdr:row>
      <xdr:rowOff>9252</xdr:rowOff>
    </xdr:from>
    <xdr:to>
      <xdr:col>18</xdr:col>
      <xdr:colOff>342540</xdr:colOff>
      <xdr:row>63</xdr:row>
      <xdr:rowOff>53751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D930C491-964D-46B8-A891-3515B22D2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58746" y="8238852"/>
              <a:ext cx="2876734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457199</xdr:colOff>
      <xdr:row>45</xdr:row>
      <xdr:rowOff>16872</xdr:rowOff>
    </xdr:from>
    <xdr:to>
      <xdr:col>22</xdr:col>
      <xdr:colOff>261985</xdr:colOff>
      <xdr:row>63</xdr:row>
      <xdr:rowOff>67086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834615CA-1ABC-45AA-90E6-E0CB4A2660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50139" y="8246472"/>
              <a:ext cx="2890886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510540</xdr:colOff>
      <xdr:row>45</xdr:row>
      <xdr:rowOff>19050</xdr:rowOff>
    </xdr:from>
    <xdr:to>
      <xdr:col>14</xdr:col>
      <xdr:colOff>764361</xdr:colOff>
      <xdr:row>63</xdr:row>
      <xdr:rowOff>74979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6115417-B756-43AF-8028-2117A841F2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45580" y="8248650"/>
              <a:ext cx="2890341" cy="33477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329565</xdr:colOff>
      <xdr:row>45</xdr:row>
      <xdr:rowOff>29119</xdr:rowOff>
    </xdr:from>
    <xdr:to>
      <xdr:col>27</xdr:col>
      <xdr:colOff>147958</xdr:colOff>
      <xdr:row>63</xdr:row>
      <xdr:rowOff>88858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08106259-2C82-4FF6-885E-7BF47BB044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08605" y="8258719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212000</xdr:colOff>
      <xdr:row>45</xdr:row>
      <xdr:rowOff>46264</xdr:rowOff>
    </xdr:from>
    <xdr:to>
      <xdr:col>31</xdr:col>
      <xdr:colOff>16785</xdr:colOff>
      <xdr:row>63</xdr:row>
      <xdr:rowOff>96478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E53E5D7E-3080-4950-AFA0-508B5074E4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439040" y="8275864"/>
              <a:ext cx="2890885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92528</xdr:colOff>
      <xdr:row>45</xdr:row>
      <xdr:rowOff>60142</xdr:rowOff>
    </xdr:from>
    <xdr:to>
      <xdr:col>35</xdr:col>
      <xdr:colOff>319136</xdr:colOff>
      <xdr:row>63</xdr:row>
      <xdr:rowOff>112261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12E67C8A-22E0-4AEE-BAA1-1DC9EFA3CC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05668" y="8289742"/>
              <a:ext cx="2878368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459921</xdr:colOff>
      <xdr:row>45</xdr:row>
      <xdr:rowOff>59871</xdr:rowOff>
    </xdr:from>
    <xdr:to>
      <xdr:col>40</xdr:col>
      <xdr:colOff>278313</xdr:colOff>
      <xdr:row>63</xdr:row>
      <xdr:rowOff>111990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E02426C-2A33-41C4-BC0F-00DEE28240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24821" y="8289471"/>
              <a:ext cx="2866392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484854</xdr:colOff>
      <xdr:row>64</xdr:row>
      <xdr:rowOff>116170</xdr:rowOff>
    </xdr:from>
    <xdr:to>
      <xdr:col>14</xdr:col>
      <xdr:colOff>738675</xdr:colOff>
      <xdr:row>82</xdr:row>
      <xdr:rowOff>168288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89446D42-2FAD-E9CA-AFD3-B93E09B134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19894" y="11820490"/>
              <a:ext cx="2890341" cy="33439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40821</xdr:colOff>
      <xdr:row>64</xdr:row>
      <xdr:rowOff>168387</xdr:rowOff>
    </xdr:from>
    <xdr:to>
      <xdr:col>18</xdr:col>
      <xdr:colOff>376285</xdr:colOff>
      <xdr:row>83</xdr:row>
      <xdr:rowOff>55043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1071F0CC-CA0D-4D78-AF6E-CDB5BAD905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88681" y="11872707"/>
              <a:ext cx="2880544" cy="33613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419235</xdr:colOff>
      <xdr:row>65</xdr:row>
      <xdr:rowOff>29324</xdr:rowOff>
    </xdr:from>
    <xdr:to>
      <xdr:col>22</xdr:col>
      <xdr:colOff>224021</xdr:colOff>
      <xdr:row>83</xdr:row>
      <xdr:rowOff>89063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A05DE5EF-06E5-4A8E-8304-F6656CF5B3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2175" y="11916524"/>
              <a:ext cx="2890886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321468</xdr:colOff>
      <xdr:row>65</xdr:row>
      <xdr:rowOff>18710</xdr:rowOff>
    </xdr:from>
    <xdr:to>
      <xdr:col>27</xdr:col>
      <xdr:colOff>139861</xdr:colOff>
      <xdr:row>83</xdr:row>
      <xdr:rowOff>78449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Gráfico 16">
              <a:extLst>
                <a:ext uri="{FF2B5EF4-FFF2-40B4-BE49-F238E27FC236}">
                  <a16:creationId xmlns:a16="http://schemas.microsoft.com/office/drawing/2014/main" id="{078D83FD-07D2-4034-9E82-DA8DC5E9BB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00508" y="11905910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230028</xdr:colOff>
      <xdr:row>65</xdr:row>
      <xdr:rowOff>35720</xdr:rowOff>
    </xdr:from>
    <xdr:to>
      <xdr:col>31</xdr:col>
      <xdr:colOff>34813</xdr:colOff>
      <xdr:row>83</xdr:row>
      <xdr:rowOff>95459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BB9B6224-6139-49BE-8CAB-02CF665C4A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457068" y="11922920"/>
              <a:ext cx="2890885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100353</xdr:colOff>
      <xdr:row>65</xdr:row>
      <xdr:rowOff>16328</xdr:rowOff>
    </xdr:from>
    <xdr:to>
      <xdr:col>35</xdr:col>
      <xdr:colOff>326961</xdr:colOff>
      <xdr:row>83</xdr:row>
      <xdr:rowOff>60827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BDF8085F-D33E-48D3-B3E5-F4DE599CF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13493" y="11903528"/>
              <a:ext cx="2878368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478358</xdr:colOff>
      <xdr:row>64</xdr:row>
      <xdr:rowOff>140766</xdr:rowOff>
    </xdr:from>
    <xdr:to>
      <xdr:col>40</xdr:col>
      <xdr:colOff>296750</xdr:colOff>
      <xdr:row>83</xdr:row>
      <xdr:rowOff>17897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0" name="Gráfico 19">
              <a:extLst>
                <a:ext uri="{FF2B5EF4-FFF2-40B4-BE49-F238E27FC236}">
                  <a16:creationId xmlns:a16="http://schemas.microsoft.com/office/drawing/2014/main" id="{A3397613-225A-466A-995A-B61C0DC9D5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43258" y="11845086"/>
              <a:ext cx="2866392" cy="33518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10886</xdr:colOff>
      <xdr:row>40</xdr:row>
      <xdr:rowOff>9252</xdr:rowOff>
    </xdr:from>
    <xdr:to>
      <xdr:col>18</xdr:col>
      <xdr:colOff>342540</xdr:colOff>
      <xdr:row>58</xdr:row>
      <xdr:rowOff>53751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2BF5F963-3C5B-406E-B27F-C6D30E6E8B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83586" y="8238852"/>
              <a:ext cx="2876734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457199</xdr:colOff>
      <xdr:row>40</xdr:row>
      <xdr:rowOff>16872</xdr:rowOff>
    </xdr:from>
    <xdr:to>
      <xdr:col>22</xdr:col>
      <xdr:colOff>261985</xdr:colOff>
      <xdr:row>58</xdr:row>
      <xdr:rowOff>67086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EFEACC6E-D5C5-46EE-85F6-A6127C70BD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74979" y="8246472"/>
              <a:ext cx="2890886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510540</xdr:colOff>
      <xdr:row>40</xdr:row>
      <xdr:rowOff>19050</xdr:rowOff>
    </xdr:from>
    <xdr:to>
      <xdr:col>14</xdr:col>
      <xdr:colOff>764361</xdr:colOff>
      <xdr:row>58</xdr:row>
      <xdr:rowOff>74979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71373D24-BB8C-4356-A746-E5A1C0961E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70420" y="8248650"/>
              <a:ext cx="2890341" cy="33477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329565</xdr:colOff>
      <xdr:row>40</xdr:row>
      <xdr:rowOff>29119</xdr:rowOff>
    </xdr:from>
    <xdr:to>
      <xdr:col>27</xdr:col>
      <xdr:colOff>147958</xdr:colOff>
      <xdr:row>58</xdr:row>
      <xdr:rowOff>88858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AEFE7125-2DD4-4E12-B406-3C75C26BE4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33445" y="8258719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212000</xdr:colOff>
      <xdr:row>40</xdr:row>
      <xdr:rowOff>46264</xdr:rowOff>
    </xdr:from>
    <xdr:to>
      <xdr:col>31</xdr:col>
      <xdr:colOff>16785</xdr:colOff>
      <xdr:row>58</xdr:row>
      <xdr:rowOff>96478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2E1E72D-86FA-4F34-B897-601282AD72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63880" y="8275864"/>
              <a:ext cx="2890885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92528</xdr:colOff>
      <xdr:row>40</xdr:row>
      <xdr:rowOff>60142</xdr:rowOff>
    </xdr:from>
    <xdr:to>
      <xdr:col>35</xdr:col>
      <xdr:colOff>319136</xdr:colOff>
      <xdr:row>58</xdr:row>
      <xdr:rowOff>112261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F4F261C0-8C01-421E-A2AA-106EC51224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30508" y="8289742"/>
              <a:ext cx="2878368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459921</xdr:colOff>
      <xdr:row>40</xdr:row>
      <xdr:rowOff>59871</xdr:rowOff>
    </xdr:from>
    <xdr:to>
      <xdr:col>40</xdr:col>
      <xdr:colOff>278313</xdr:colOff>
      <xdr:row>58</xdr:row>
      <xdr:rowOff>111990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6A6F567D-4E93-4279-A631-1A2A38F2D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49661" y="8289471"/>
              <a:ext cx="2866392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484854</xdr:colOff>
      <xdr:row>59</xdr:row>
      <xdr:rowOff>116170</xdr:rowOff>
    </xdr:from>
    <xdr:to>
      <xdr:col>14</xdr:col>
      <xdr:colOff>738675</xdr:colOff>
      <xdr:row>77</xdr:row>
      <xdr:rowOff>168288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A594355-6B34-410C-9A97-FD2A6FB38F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4734" y="11820490"/>
              <a:ext cx="2890341" cy="33439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40821</xdr:colOff>
      <xdr:row>59</xdr:row>
      <xdr:rowOff>168387</xdr:rowOff>
    </xdr:from>
    <xdr:to>
      <xdr:col>18</xdr:col>
      <xdr:colOff>376285</xdr:colOff>
      <xdr:row>78</xdr:row>
      <xdr:rowOff>55043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21048F05-4D46-48B6-B834-F66EC40DD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13521" y="11872707"/>
              <a:ext cx="2880544" cy="33613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419235</xdr:colOff>
      <xdr:row>60</xdr:row>
      <xdr:rowOff>29324</xdr:rowOff>
    </xdr:from>
    <xdr:to>
      <xdr:col>22</xdr:col>
      <xdr:colOff>224021</xdr:colOff>
      <xdr:row>78</xdr:row>
      <xdr:rowOff>89063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87061394-B4B0-4E01-B9F4-C7AE1A5EBB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37015" y="11916524"/>
              <a:ext cx="2890886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321468</xdr:colOff>
      <xdr:row>60</xdr:row>
      <xdr:rowOff>18710</xdr:rowOff>
    </xdr:from>
    <xdr:to>
      <xdr:col>27</xdr:col>
      <xdr:colOff>139861</xdr:colOff>
      <xdr:row>78</xdr:row>
      <xdr:rowOff>78449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32A48D14-7697-448B-8B34-82ED206CDF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25348" y="11905910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230028</xdr:colOff>
      <xdr:row>60</xdr:row>
      <xdr:rowOff>35720</xdr:rowOff>
    </xdr:from>
    <xdr:to>
      <xdr:col>31</xdr:col>
      <xdr:colOff>34813</xdr:colOff>
      <xdr:row>78</xdr:row>
      <xdr:rowOff>95459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63ED73EC-463B-4287-AD38-DBFC9CD2E0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81908" y="11922920"/>
              <a:ext cx="2890885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100353</xdr:colOff>
      <xdr:row>60</xdr:row>
      <xdr:rowOff>16328</xdr:rowOff>
    </xdr:from>
    <xdr:to>
      <xdr:col>35</xdr:col>
      <xdr:colOff>326961</xdr:colOff>
      <xdr:row>78</xdr:row>
      <xdr:rowOff>60827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BCBEA339-8F9C-4B34-AA9B-AEFF9D9822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38333" y="11903528"/>
              <a:ext cx="2878368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478358</xdr:colOff>
      <xdr:row>59</xdr:row>
      <xdr:rowOff>140766</xdr:rowOff>
    </xdr:from>
    <xdr:to>
      <xdr:col>40</xdr:col>
      <xdr:colOff>296750</xdr:colOff>
      <xdr:row>78</xdr:row>
      <xdr:rowOff>17897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C33CDC5F-0637-47AA-84DC-B09CF42F22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68098" y="11845086"/>
              <a:ext cx="2866392" cy="33518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480110</xdr:colOff>
      <xdr:row>0</xdr:row>
      <xdr:rowOff>154686</xdr:rowOff>
    </xdr:from>
    <xdr:to>
      <xdr:col>14</xdr:col>
      <xdr:colOff>136766</xdr:colOff>
      <xdr:row>21</xdr:row>
      <xdr:rowOff>105873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4126CA-DE7E-E467-8821-C1C09BDFD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85285" y="154686"/>
          <a:ext cx="7562406" cy="3751662"/>
        </a:xfrm>
        <a:prstGeom prst="rect">
          <a:avLst/>
        </a:prstGeom>
      </xdr:spPr>
    </xdr:pic>
    <xdr:clientData/>
  </xdr:twoCellAnchor>
  <xdr:twoCellAnchor editAs="oneCell">
    <xdr:from>
      <xdr:col>4</xdr:col>
      <xdr:colOff>422309</xdr:colOff>
      <xdr:row>26</xdr:row>
      <xdr:rowOff>130312</xdr:rowOff>
    </xdr:from>
    <xdr:to>
      <xdr:col>14</xdr:col>
      <xdr:colOff>92300</xdr:colOff>
      <xdr:row>47</xdr:row>
      <xdr:rowOff>76363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17EC751-AB2D-267D-9ADA-038797192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34078" y="4842989"/>
          <a:ext cx="7583068" cy="3761912"/>
        </a:xfrm>
        <a:prstGeom prst="rect">
          <a:avLst/>
        </a:prstGeom>
      </xdr:spPr>
    </xdr:pic>
    <xdr:clientData/>
  </xdr:twoCellAnchor>
  <xdr:twoCellAnchor editAs="oneCell">
    <xdr:from>
      <xdr:col>4</xdr:col>
      <xdr:colOff>401054</xdr:colOff>
      <xdr:row>52</xdr:row>
      <xdr:rowOff>48328</xdr:rowOff>
    </xdr:from>
    <xdr:to>
      <xdr:col>14</xdr:col>
      <xdr:colOff>55805</xdr:colOff>
      <xdr:row>72</xdr:row>
      <xdr:rowOff>168526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13D7FDB6-BE60-73CA-674E-8A4B1D18E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12823" y="9485405"/>
          <a:ext cx="7567828" cy="3754352"/>
        </a:xfrm>
        <a:prstGeom prst="rect">
          <a:avLst/>
        </a:prstGeom>
      </xdr:spPr>
    </xdr:pic>
    <xdr:clientData/>
  </xdr:twoCellAnchor>
  <xdr:twoCellAnchor editAs="oneCell">
    <xdr:from>
      <xdr:col>14</xdr:col>
      <xdr:colOff>474785</xdr:colOff>
      <xdr:row>51</xdr:row>
      <xdr:rowOff>128956</xdr:rowOff>
    </xdr:from>
    <xdr:to>
      <xdr:col>24</xdr:col>
      <xdr:colOff>121708</xdr:colOff>
      <xdr:row>72</xdr:row>
      <xdr:rowOff>63563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5CE1FE2-7EE1-A789-D996-DDCBECB49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99631" y="9319848"/>
          <a:ext cx="7560000" cy="3750469"/>
        </a:xfrm>
        <a:prstGeom prst="rect">
          <a:avLst/>
        </a:prstGeom>
      </xdr:spPr>
    </xdr:pic>
    <xdr:clientData/>
  </xdr:twoCellAnchor>
  <xdr:twoCellAnchor editAs="oneCell">
    <xdr:from>
      <xdr:col>15</xdr:col>
      <xdr:colOff>152400</xdr:colOff>
      <xdr:row>26</xdr:row>
      <xdr:rowOff>123826</xdr:rowOff>
    </xdr:from>
    <xdr:to>
      <xdr:col>24</xdr:col>
      <xdr:colOff>597225</xdr:colOff>
      <xdr:row>47</xdr:row>
      <xdr:rowOff>73820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FC95CFE6-1232-EB9F-0BF8-AE9F880CF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53900" y="4819651"/>
          <a:ext cx="7560000" cy="37504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77"/>
  <sheetViews>
    <sheetView topLeftCell="A22" zoomScale="80" zoomScaleNormal="80" workbookViewId="0">
      <selection activeCell="Q54" sqref="Q54"/>
    </sheetView>
  </sheetViews>
  <sheetFormatPr baseColWidth="10" defaultColWidth="8.88671875" defaultRowHeight="14.4" x14ac:dyDescent="0.3"/>
  <cols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5" max="25" width="9.88671875" customWidth="1"/>
    <col min="28" max="29" width="12" bestFit="1" customWidth="1"/>
    <col min="30" max="30" width="9" bestFit="1" customWidth="1"/>
    <col min="31" max="32" width="12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3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14">
        <v>0.49122929896424561</v>
      </c>
      <c r="T2" s="14">
        <v>1.5270804877388759</v>
      </c>
      <c r="U2" s="14">
        <v>1.9259065797858199</v>
      </c>
      <c r="V2" s="14">
        <v>9.6469999999999993E-3</v>
      </c>
      <c r="W2" s="14">
        <v>8.5518540000000005</v>
      </c>
      <c r="X2" s="14">
        <v>7.1656500000000003</v>
      </c>
      <c r="Y2" s="14">
        <v>44.150669999999998</v>
      </c>
      <c r="Z2" s="14">
        <v>42.528283999999999</v>
      </c>
      <c r="AA2" s="14">
        <v>1E-4</v>
      </c>
      <c r="AB2" s="14">
        <v>3.3107923860306911</v>
      </c>
      <c r="AC2" s="14">
        <v>6.1597599245610413</v>
      </c>
      <c r="AD2" s="14">
        <v>1.6426339999999999</v>
      </c>
      <c r="AE2" s="14">
        <v>0.31022465459519422</v>
      </c>
      <c r="AF2" s="15">
        <v>0.54665308919257394</v>
      </c>
    </row>
    <row r="3" spans="1:33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  <c r="AG3">
        <v>1</v>
      </c>
    </row>
    <row r="4" spans="1:33" x14ac:dyDescent="0.3">
      <c r="A4" s="5">
        <v>3</v>
      </c>
      <c r="B4" t="s">
        <v>40</v>
      </c>
      <c r="C4">
        <v>2074.364482399978</v>
      </c>
      <c r="D4">
        <v>34.572741373332967</v>
      </c>
      <c r="E4" t="s">
        <v>41</v>
      </c>
      <c r="G4" t="s">
        <v>34</v>
      </c>
      <c r="H4" t="s">
        <v>42</v>
      </c>
      <c r="J4" t="s">
        <v>36</v>
      </c>
      <c r="K4">
        <v>3.0480169477601991E-2</v>
      </c>
      <c r="L4">
        <v>0</v>
      </c>
      <c r="M4">
        <v>3.0480169477601991E-2</v>
      </c>
      <c r="N4" t="s">
        <v>17</v>
      </c>
      <c r="O4">
        <v>198</v>
      </c>
      <c r="P4" s="11">
        <v>9.6730838317541095E-5</v>
      </c>
      <c r="Q4">
        <v>1E-4</v>
      </c>
      <c r="R4">
        <v>2000</v>
      </c>
      <c r="S4">
        <v>0.20492223174306631</v>
      </c>
      <c r="T4">
        <v>0.23553543382017861</v>
      </c>
      <c r="U4">
        <v>8.5432001351057245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2.968285090383584</v>
      </c>
      <c r="AC4">
        <v>8.643858849268673</v>
      </c>
      <c r="AD4">
        <v>1.6426339999999999</v>
      </c>
      <c r="AE4">
        <v>0.1259136526766475</v>
      </c>
      <c r="AF4" s="6">
        <v>0.59741654275506184</v>
      </c>
      <c r="AG4">
        <v>1</v>
      </c>
    </row>
    <row r="5" spans="1:33" x14ac:dyDescent="0.3">
      <c r="A5" s="5">
        <v>4</v>
      </c>
      <c r="B5" t="s">
        <v>43</v>
      </c>
      <c r="C5">
        <v>7318.5311609999917</v>
      </c>
      <c r="D5">
        <v>121.9755193499999</v>
      </c>
      <c r="E5" t="s">
        <v>44</v>
      </c>
      <c r="G5" t="s">
        <v>34</v>
      </c>
      <c r="H5" t="s">
        <v>45</v>
      </c>
      <c r="J5" t="s">
        <v>36</v>
      </c>
      <c r="K5">
        <v>1.9154109697566511E-2</v>
      </c>
      <c r="L5">
        <v>0</v>
      </c>
      <c r="M5">
        <v>1.9154109697566511E-2</v>
      </c>
      <c r="N5" t="s">
        <v>17</v>
      </c>
      <c r="O5">
        <v>170</v>
      </c>
      <c r="P5" s="11">
        <v>9.9770959924361978E-5</v>
      </c>
      <c r="Q5">
        <v>1E-4</v>
      </c>
      <c r="R5">
        <v>2000</v>
      </c>
      <c r="S5" s="16">
        <v>0.23867230327866931</v>
      </c>
      <c r="T5" s="16">
        <v>1.4789405335040691</v>
      </c>
      <c r="U5" s="16">
        <v>1.137318705859411</v>
      </c>
      <c r="V5" s="16">
        <v>9.6469999999999993E-3</v>
      </c>
      <c r="W5" s="16">
        <v>8.5518540000000005</v>
      </c>
      <c r="X5" s="16">
        <v>7.1656500000000003</v>
      </c>
      <c r="Y5" s="16">
        <v>44.150669999999998</v>
      </c>
      <c r="Z5" s="16">
        <v>42.528283999999999</v>
      </c>
      <c r="AA5" s="16">
        <v>1E-4</v>
      </c>
      <c r="AB5" s="16">
        <v>4.7487233770171322</v>
      </c>
      <c r="AC5" s="16">
        <v>5.5804137605699884</v>
      </c>
      <c r="AD5" s="16">
        <v>1.6426339999999999</v>
      </c>
      <c r="AE5" s="16">
        <v>0.35821627237548298</v>
      </c>
      <c r="AF5" s="17">
        <v>0.60828105216998085</v>
      </c>
      <c r="AG5">
        <v>0</v>
      </c>
    </row>
    <row r="6" spans="1:33" x14ac:dyDescent="0.3">
      <c r="A6" s="5">
        <v>5</v>
      </c>
      <c r="B6" t="s">
        <v>46</v>
      </c>
      <c r="C6">
        <v>7374.550728000002</v>
      </c>
      <c r="D6">
        <v>122.90917880000001</v>
      </c>
      <c r="E6" t="s">
        <v>47</v>
      </c>
      <c r="G6" t="s">
        <v>34</v>
      </c>
      <c r="H6" t="s">
        <v>48</v>
      </c>
      <c r="J6" t="s">
        <v>36</v>
      </c>
      <c r="K6">
        <v>3.4835567092652363E-2</v>
      </c>
      <c r="L6">
        <v>0</v>
      </c>
      <c r="M6">
        <v>3.4835567092652363E-2</v>
      </c>
      <c r="N6" t="s">
        <v>17</v>
      </c>
      <c r="O6">
        <v>820</v>
      </c>
      <c r="P6" s="11">
        <v>8.9495828330964918E-5</v>
      </c>
      <c r="Q6">
        <v>1E-4</v>
      </c>
      <c r="R6">
        <v>2000</v>
      </c>
      <c r="S6" s="18">
        <v>0.2215474581717817</v>
      </c>
      <c r="T6" s="16">
        <v>1.7632632704774971</v>
      </c>
      <c r="U6" s="16">
        <v>3.8822158056424811</v>
      </c>
      <c r="V6" s="16">
        <v>9.6469999999999993E-3</v>
      </c>
      <c r="W6" s="16">
        <v>8.5518540000000005</v>
      </c>
      <c r="X6" s="16">
        <v>7.1656500000000003</v>
      </c>
      <c r="Y6" s="16">
        <v>44.150669999999998</v>
      </c>
      <c r="Z6" s="16">
        <v>42.528283999999999</v>
      </c>
      <c r="AA6" s="16">
        <v>1E-4</v>
      </c>
      <c r="AB6" s="16">
        <v>2.5366740295826569</v>
      </c>
      <c r="AC6" s="16">
        <v>7.0276789570579181</v>
      </c>
      <c r="AD6" s="16">
        <v>1.6426339999999999</v>
      </c>
      <c r="AE6" s="16">
        <v>0.58980414277809312</v>
      </c>
      <c r="AF6" s="17">
        <v>0.29932090289880298</v>
      </c>
      <c r="AG6">
        <v>0</v>
      </c>
    </row>
    <row r="7" spans="1:33" x14ac:dyDescent="0.3">
      <c r="A7" s="5">
        <v>6</v>
      </c>
      <c r="B7" t="s">
        <v>49</v>
      </c>
      <c r="C7">
        <v>5694.3620688000228</v>
      </c>
      <c r="D7">
        <v>94.906034480000386</v>
      </c>
      <c r="E7" t="s">
        <v>50</v>
      </c>
      <c r="G7" t="s">
        <v>34</v>
      </c>
      <c r="H7" t="s">
        <v>51</v>
      </c>
      <c r="J7" t="s">
        <v>36</v>
      </c>
      <c r="K7">
        <v>1.2291011892049669E-2</v>
      </c>
      <c r="L7">
        <v>0</v>
      </c>
      <c r="M7">
        <v>1.2291011892049669E-2</v>
      </c>
      <c r="N7" t="s">
        <v>17</v>
      </c>
      <c r="O7">
        <v>378</v>
      </c>
      <c r="P7" s="11">
        <v>9.7765343569708419E-5</v>
      </c>
      <c r="Q7">
        <v>1E-4</v>
      </c>
      <c r="R7">
        <v>2000</v>
      </c>
      <c r="S7" s="18">
        <v>7.1046409533329261E-2</v>
      </c>
      <c r="T7" s="16">
        <v>3.3738439668184652</v>
      </c>
      <c r="U7" s="16">
        <v>2.3322033875726329</v>
      </c>
      <c r="V7" s="16">
        <v>9.6469999999999993E-3</v>
      </c>
      <c r="W7" s="16">
        <v>8.5518540000000005</v>
      </c>
      <c r="X7" s="16">
        <v>7.1656500000000003</v>
      </c>
      <c r="Y7" s="16">
        <v>44.150669999999998</v>
      </c>
      <c r="Z7" s="16">
        <v>42.528283999999999</v>
      </c>
      <c r="AA7" s="16">
        <v>1E-4</v>
      </c>
      <c r="AB7" s="16">
        <v>2.1760985567100839</v>
      </c>
      <c r="AC7" s="16">
        <v>7.3611499471052522</v>
      </c>
      <c r="AD7" s="16">
        <v>1.6426339999999999</v>
      </c>
      <c r="AE7" s="16">
        <v>0.42272115248163261</v>
      </c>
      <c r="AF7" s="17">
        <v>0.41214687694987062</v>
      </c>
      <c r="AG7">
        <v>0</v>
      </c>
    </row>
    <row r="8" spans="1:33" x14ac:dyDescent="0.3">
      <c r="A8" s="5">
        <v>7</v>
      </c>
      <c r="B8" t="s">
        <v>52</v>
      </c>
      <c r="C8">
        <v>15231.7497136</v>
      </c>
      <c r="D8">
        <v>253.86249522666671</v>
      </c>
      <c r="E8" t="s">
        <v>53</v>
      </c>
      <c r="G8" t="s">
        <v>34</v>
      </c>
      <c r="H8" t="s">
        <v>54</v>
      </c>
      <c r="J8" t="s">
        <v>36</v>
      </c>
      <c r="K8">
        <v>1.057828657334144E-2</v>
      </c>
      <c r="L8">
        <v>0</v>
      </c>
      <c r="M8">
        <v>1.057828657334144E-2</v>
      </c>
      <c r="N8" t="s">
        <v>17</v>
      </c>
      <c r="O8">
        <v>2001</v>
      </c>
      <c r="P8" s="11">
        <v>8.4329416212390856E-4</v>
      </c>
      <c r="Q8">
        <v>1E-4</v>
      </c>
      <c r="R8">
        <v>2000</v>
      </c>
      <c r="S8" s="13">
        <v>0.1297696297226717</v>
      </c>
      <c r="T8">
        <v>1.100316472242042</v>
      </c>
      <c r="U8">
        <v>3.2764644886323269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2.1972924445174771</v>
      </c>
      <c r="AC8">
        <v>5.6254618072746307</v>
      </c>
      <c r="AD8">
        <v>1.6426339999999999</v>
      </c>
      <c r="AE8">
        <v>0.22361832346956681</v>
      </c>
      <c r="AF8" s="6">
        <v>0.72267916407755917</v>
      </c>
      <c r="AG8">
        <v>1</v>
      </c>
    </row>
    <row r="9" spans="1:33" x14ac:dyDescent="0.3">
      <c r="A9" s="5">
        <v>8</v>
      </c>
      <c r="B9" t="s">
        <v>55</v>
      </c>
      <c r="C9">
        <v>1172.7976606000159</v>
      </c>
      <c r="D9">
        <v>19.54662767666693</v>
      </c>
      <c r="E9" t="s">
        <v>56</v>
      </c>
      <c r="G9" t="s">
        <v>34</v>
      </c>
      <c r="H9" t="s">
        <v>57</v>
      </c>
      <c r="J9" t="s">
        <v>36</v>
      </c>
      <c r="K9">
        <v>4.4329000736589151E-2</v>
      </c>
      <c r="L9">
        <v>0</v>
      </c>
      <c r="M9">
        <v>4.4329000736589151E-2</v>
      </c>
      <c r="N9" t="s">
        <v>17</v>
      </c>
      <c r="O9">
        <v>190</v>
      </c>
      <c r="P9" s="11">
        <v>9.8783236932635694E-5</v>
      </c>
      <c r="Q9">
        <v>1E-4</v>
      </c>
      <c r="R9">
        <v>2000</v>
      </c>
      <c r="S9" s="13">
        <v>0.14297876206247159</v>
      </c>
      <c r="T9">
        <v>0.4518752531907364</v>
      </c>
      <c r="U9">
        <v>2.9046386223428819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8.0880288968246639</v>
      </c>
      <c r="AC9">
        <v>0.10024870399304101</v>
      </c>
      <c r="AD9">
        <v>1.6426339999999999</v>
      </c>
      <c r="AE9">
        <v>0.58861342323341403</v>
      </c>
      <c r="AF9" s="6">
        <v>0.44198863174540948</v>
      </c>
      <c r="AG9">
        <v>2</v>
      </c>
    </row>
    <row r="10" spans="1:33" x14ac:dyDescent="0.3">
      <c r="A10" s="5">
        <v>9</v>
      </c>
      <c r="B10" t="s">
        <v>58</v>
      </c>
      <c r="C10">
        <v>2026.802363299998</v>
      </c>
      <c r="D10">
        <v>33.780039388333293</v>
      </c>
      <c r="E10" t="s">
        <v>59</v>
      </c>
      <c r="G10" t="s">
        <v>34</v>
      </c>
      <c r="H10" t="s">
        <v>60</v>
      </c>
      <c r="J10" t="s">
        <v>36</v>
      </c>
      <c r="K10">
        <v>2.0507348618881031E-2</v>
      </c>
      <c r="L10">
        <v>0</v>
      </c>
      <c r="M10">
        <v>2.0507348618881031E-2</v>
      </c>
      <c r="N10" t="s">
        <v>17</v>
      </c>
      <c r="O10">
        <v>301</v>
      </c>
      <c r="P10" s="11">
        <v>9.8301866082106659E-5</v>
      </c>
      <c r="Q10">
        <v>1E-4</v>
      </c>
      <c r="R10">
        <v>2000</v>
      </c>
      <c r="S10" s="18">
        <v>0.2312320810462489</v>
      </c>
      <c r="T10" s="16">
        <v>1.718642886072322</v>
      </c>
      <c r="U10" s="16">
        <v>2.997279945587831</v>
      </c>
      <c r="V10" s="16">
        <v>9.6469999999999993E-3</v>
      </c>
      <c r="W10" s="16">
        <v>8.5518540000000005</v>
      </c>
      <c r="X10" s="16">
        <v>7.1656500000000003</v>
      </c>
      <c r="Y10" s="16">
        <v>44.150669999999998</v>
      </c>
      <c r="Z10" s="16">
        <v>42.528283999999999</v>
      </c>
      <c r="AA10" s="16">
        <v>1E-4</v>
      </c>
      <c r="AB10" s="16">
        <v>2.3541994629890439</v>
      </c>
      <c r="AC10" s="16">
        <v>8.2355175536869432</v>
      </c>
      <c r="AD10" s="16">
        <v>1.6426339999999999</v>
      </c>
      <c r="AE10" s="16">
        <v>0.33402337444756869</v>
      </c>
      <c r="AF10" s="17">
        <v>0.52953327715501552</v>
      </c>
      <c r="AG10">
        <v>1</v>
      </c>
    </row>
    <row r="11" spans="1:33" x14ac:dyDescent="0.3">
      <c r="A11" s="5">
        <v>10</v>
      </c>
      <c r="B11" t="s">
        <v>61</v>
      </c>
      <c r="C11">
        <v>1530.2371418999969</v>
      </c>
      <c r="D11">
        <v>25.503952364999961</v>
      </c>
      <c r="E11" t="s">
        <v>62</v>
      </c>
      <c r="G11" t="s">
        <v>34</v>
      </c>
      <c r="H11" t="s">
        <v>63</v>
      </c>
      <c r="J11" t="s">
        <v>36</v>
      </c>
      <c r="K11">
        <v>1.1969113477333331E-2</v>
      </c>
      <c r="L11">
        <v>0</v>
      </c>
      <c r="M11">
        <v>1.1969113477333331E-2</v>
      </c>
      <c r="N11" t="s">
        <v>17</v>
      </c>
      <c r="O11">
        <v>139</v>
      </c>
      <c r="P11" s="11">
        <v>8.1968711594551565E-5</v>
      </c>
      <c r="Q11">
        <v>1E-4</v>
      </c>
      <c r="R11">
        <v>2000</v>
      </c>
      <c r="S11" s="13">
        <v>6.725487547653651E-2</v>
      </c>
      <c r="T11">
        <v>1.0803477171264659</v>
      </c>
      <c r="U11">
        <v>6.1542765257035938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5.9549315289016196</v>
      </c>
      <c r="AC11">
        <v>6.9661198977461716</v>
      </c>
      <c r="AD11">
        <v>1.6426339999999999</v>
      </c>
      <c r="AE11">
        <v>0.61744467411003801</v>
      </c>
      <c r="AF11" s="6">
        <v>0.31994190888732188</v>
      </c>
      <c r="AG11">
        <v>3</v>
      </c>
    </row>
    <row r="12" spans="1:33" x14ac:dyDescent="0.3">
      <c r="A12" s="5">
        <v>11</v>
      </c>
      <c r="B12" t="s">
        <v>64</v>
      </c>
      <c r="C12">
        <v>5786.3767086000007</v>
      </c>
      <c r="D12">
        <v>96.439611810000017</v>
      </c>
      <c r="E12" t="s">
        <v>65</v>
      </c>
      <c r="G12" t="s">
        <v>34</v>
      </c>
      <c r="H12" t="s">
        <v>66</v>
      </c>
      <c r="J12" t="s">
        <v>36</v>
      </c>
      <c r="K12">
        <v>2.4991082200323301E-2</v>
      </c>
      <c r="L12">
        <v>0</v>
      </c>
      <c r="M12">
        <v>2.4991082200323301E-2</v>
      </c>
      <c r="N12" t="s">
        <v>17</v>
      </c>
      <c r="O12">
        <v>283</v>
      </c>
      <c r="P12" s="11">
        <v>9.8613290712376561E-5</v>
      </c>
      <c r="Q12">
        <v>1E-4</v>
      </c>
      <c r="R12">
        <v>2000</v>
      </c>
      <c r="S12" s="18">
        <v>0.35445682383815608</v>
      </c>
      <c r="T12" s="16">
        <v>2.895646996567776</v>
      </c>
      <c r="U12" s="16">
        <v>2.4417178876658232</v>
      </c>
      <c r="V12" s="16">
        <v>9.6469999999999993E-3</v>
      </c>
      <c r="W12" s="16">
        <v>8.5518540000000005</v>
      </c>
      <c r="X12" s="16">
        <v>7.1656500000000003</v>
      </c>
      <c r="Y12" s="16">
        <v>44.150669999999998</v>
      </c>
      <c r="Z12" s="16">
        <v>42.528283999999999</v>
      </c>
      <c r="AA12" s="16">
        <v>1E-4</v>
      </c>
      <c r="AB12" s="16">
        <v>2.0720119469016951</v>
      </c>
      <c r="AC12" s="16">
        <v>8.140244314273005</v>
      </c>
      <c r="AD12" s="16">
        <v>1.6426339999999999</v>
      </c>
      <c r="AE12" s="16">
        <v>0.43603437708916032</v>
      </c>
      <c r="AF12" s="17">
        <v>0.4738792844859725</v>
      </c>
      <c r="AG12">
        <v>0</v>
      </c>
    </row>
    <row r="13" spans="1:33" x14ac:dyDescent="0.3">
      <c r="A13" s="5">
        <v>12</v>
      </c>
      <c r="B13" t="s">
        <v>67</v>
      </c>
      <c r="C13">
        <v>28266.52760229999</v>
      </c>
      <c r="D13">
        <v>471.10879337166648</v>
      </c>
      <c r="E13" t="s">
        <v>68</v>
      </c>
      <c r="G13" t="s">
        <v>34</v>
      </c>
      <c r="H13" t="s">
        <v>69</v>
      </c>
      <c r="J13" t="s">
        <v>36</v>
      </c>
      <c r="K13">
        <v>2.3834521668663389E-2</v>
      </c>
      <c r="L13">
        <v>0</v>
      </c>
      <c r="M13">
        <v>2.3834521668663389E-2</v>
      </c>
      <c r="N13" t="s">
        <v>17</v>
      </c>
      <c r="O13">
        <v>2001</v>
      </c>
      <c r="P13" s="11">
        <v>3.0236792461020489E-3</v>
      </c>
      <c r="Q13">
        <v>1E-4</v>
      </c>
      <c r="R13">
        <v>2000</v>
      </c>
      <c r="S13" s="18">
        <v>0.1937974998036483</v>
      </c>
      <c r="T13" s="16">
        <v>1.305003992855698</v>
      </c>
      <c r="U13" s="16">
        <v>2.162669253941381</v>
      </c>
      <c r="V13" s="16">
        <v>9.6469999999999993E-3</v>
      </c>
      <c r="W13" s="16">
        <v>8.5518540000000005</v>
      </c>
      <c r="X13" s="16">
        <v>7.1656500000000003</v>
      </c>
      <c r="Y13" s="16">
        <v>44.150669999999998</v>
      </c>
      <c r="Z13" s="16">
        <v>42.528283999999999</v>
      </c>
      <c r="AA13" s="16">
        <v>1E-4</v>
      </c>
      <c r="AB13" s="16">
        <v>3.5333794506754348</v>
      </c>
      <c r="AC13" s="16">
        <v>9.9584996242521857</v>
      </c>
      <c r="AD13" s="16">
        <v>1.6426339999999999</v>
      </c>
      <c r="AE13" s="16">
        <v>0.27490580520813779</v>
      </c>
      <c r="AF13" s="17">
        <v>0.59371405082027096</v>
      </c>
      <c r="AG13">
        <v>0</v>
      </c>
    </row>
    <row r="14" spans="1:33" x14ac:dyDescent="0.3">
      <c r="A14" s="5">
        <v>13</v>
      </c>
      <c r="B14" t="s">
        <v>70</v>
      </c>
      <c r="C14">
        <v>5024.0627505999873</v>
      </c>
      <c r="D14">
        <v>83.734379176666451</v>
      </c>
      <c r="E14" t="s">
        <v>71</v>
      </c>
      <c r="G14" t="s">
        <v>34</v>
      </c>
      <c r="H14" t="s">
        <v>72</v>
      </c>
      <c r="J14" t="s">
        <v>36</v>
      </c>
      <c r="K14">
        <v>4.075483124784126E-2</v>
      </c>
      <c r="L14">
        <v>0</v>
      </c>
      <c r="M14">
        <v>4.075483124784126E-2</v>
      </c>
      <c r="N14" t="s">
        <v>17</v>
      </c>
      <c r="O14">
        <v>163</v>
      </c>
      <c r="P14" s="11">
        <v>9.4957242368113107E-5</v>
      </c>
      <c r="Q14">
        <v>1E-4</v>
      </c>
      <c r="R14">
        <v>2000</v>
      </c>
      <c r="S14" s="18">
        <v>0.47507925889546099</v>
      </c>
      <c r="T14" s="16">
        <v>1.7942830917244461</v>
      </c>
      <c r="U14" s="16">
        <v>1.536080827207515</v>
      </c>
      <c r="V14" s="16">
        <v>9.6469999999999993E-3</v>
      </c>
      <c r="W14" s="16">
        <v>8.5518540000000005</v>
      </c>
      <c r="X14" s="16">
        <v>7.1656500000000003</v>
      </c>
      <c r="Y14" s="16">
        <v>44.150669999999998</v>
      </c>
      <c r="Z14" s="16">
        <v>42.528283999999999</v>
      </c>
      <c r="AA14" s="16">
        <v>1E-4</v>
      </c>
      <c r="AB14" s="16">
        <v>3.0630033486266108</v>
      </c>
      <c r="AC14" s="16">
        <v>9.8713319233272756</v>
      </c>
      <c r="AD14" s="16">
        <v>1.6426339999999999</v>
      </c>
      <c r="AE14" s="16">
        <v>0.45417614586722482</v>
      </c>
      <c r="AF14" s="17">
        <v>0.37020863228583628</v>
      </c>
      <c r="AG14">
        <v>0</v>
      </c>
    </row>
    <row r="15" spans="1:33" x14ac:dyDescent="0.3">
      <c r="A15" s="5">
        <v>14</v>
      </c>
      <c r="B15" t="s">
        <v>73</v>
      </c>
      <c r="C15">
        <v>5644.6686482999939</v>
      </c>
      <c r="D15">
        <v>94.077810804999899</v>
      </c>
      <c r="E15" t="s">
        <v>74</v>
      </c>
      <c r="G15" t="s">
        <v>34</v>
      </c>
      <c r="H15" t="s">
        <v>75</v>
      </c>
      <c r="J15" t="s">
        <v>36</v>
      </c>
      <c r="K15">
        <v>2.3393480287682549E-2</v>
      </c>
      <c r="L15">
        <v>0</v>
      </c>
      <c r="M15">
        <v>2.3393480287682549E-2</v>
      </c>
      <c r="N15" t="s">
        <v>17</v>
      </c>
      <c r="O15">
        <v>593</v>
      </c>
      <c r="P15" s="11">
        <v>9.994242130357086E-5</v>
      </c>
      <c r="Q15">
        <v>1E-4</v>
      </c>
      <c r="R15">
        <v>2000</v>
      </c>
      <c r="S15" s="16">
        <v>0.1400943037433009</v>
      </c>
      <c r="T15" s="16">
        <v>2.5765714714097321</v>
      </c>
      <c r="U15" s="16">
        <v>2.8573243947471481</v>
      </c>
      <c r="V15" s="16">
        <v>9.6469999999999993E-3</v>
      </c>
      <c r="W15" s="16">
        <v>8.5518540000000005</v>
      </c>
      <c r="X15" s="16">
        <v>7.1656500000000003</v>
      </c>
      <c r="Y15" s="16">
        <v>44.150669999999998</v>
      </c>
      <c r="Z15" s="16">
        <v>42.528283999999999</v>
      </c>
      <c r="AA15" s="16">
        <v>1E-4</v>
      </c>
      <c r="AB15" s="16">
        <v>1.945967410891327</v>
      </c>
      <c r="AC15" s="16">
        <v>9.9831868103195394</v>
      </c>
      <c r="AD15" s="16">
        <v>1.6426339999999999</v>
      </c>
      <c r="AE15" s="16">
        <v>0.34218172241272238</v>
      </c>
      <c r="AF15" s="17">
        <v>0.51117062692806203</v>
      </c>
      <c r="AG15">
        <v>0</v>
      </c>
    </row>
    <row r="16" spans="1:33" x14ac:dyDescent="0.3">
      <c r="A16" s="5">
        <v>15</v>
      </c>
      <c r="B16" t="s">
        <v>76</v>
      </c>
      <c r="C16">
        <v>3150.2680907000031</v>
      </c>
      <c r="D16">
        <v>52.504468178333383</v>
      </c>
      <c r="E16" t="s">
        <v>77</v>
      </c>
      <c r="G16" t="s">
        <v>34</v>
      </c>
      <c r="H16" t="s">
        <v>78</v>
      </c>
      <c r="J16" t="s">
        <v>36</v>
      </c>
      <c r="K16">
        <v>4.8792226569489602E-2</v>
      </c>
      <c r="L16">
        <v>0</v>
      </c>
      <c r="M16">
        <v>4.8792226569489602E-2</v>
      </c>
      <c r="N16" t="s">
        <v>17</v>
      </c>
      <c r="O16">
        <v>297</v>
      </c>
      <c r="P16" s="11">
        <v>8.8844481270512529E-5</v>
      </c>
      <c r="Q16">
        <v>1E-4</v>
      </c>
      <c r="R16">
        <v>2000</v>
      </c>
      <c r="S16">
        <v>0.73049446761428727</v>
      </c>
      <c r="T16">
        <v>0.45594540635759689</v>
      </c>
      <c r="U16">
        <v>9.8888527982992258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2.346502237106856</v>
      </c>
      <c r="AC16">
        <v>1.27459639025463</v>
      </c>
      <c r="AD16">
        <v>1.6426339999999999</v>
      </c>
      <c r="AE16">
        <v>0.24741693023069031</v>
      </c>
      <c r="AF16" s="6">
        <v>0.60016251494780926</v>
      </c>
      <c r="AG16">
        <v>3</v>
      </c>
    </row>
    <row r="17" spans="1:33" x14ac:dyDescent="0.3">
      <c r="A17" s="5">
        <v>16</v>
      </c>
      <c r="B17" t="s">
        <v>79</v>
      </c>
      <c r="C17">
        <v>18658.914202199991</v>
      </c>
      <c r="D17">
        <v>310.98190336999983</v>
      </c>
      <c r="E17" t="s">
        <v>80</v>
      </c>
      <c r="G17" t="s">
        <v>34</v>
      </c>
      <c r="H17" t="s">
        <v>81</v>
      </c>
      <c r="J17" t="s">
        <v>36</v>
      </c>
      <c r="K17">
        <v>1.8639392445070579E-2</v>
      </c>
      <c r="L17">
        <v>0</v>
      </c>
      <c r="M17">
        <v>1.8639392445070579E-2</v>
      </c>
      <c r="N17" t="s">
        <v>17</v>
      </c>
      <c r="O17">
        <v>2001</v>
      </c>
      <c r="P17" s="11">
        <v>2.5010509107454318E-4</v>
      </c>
      <c r="Q17">
        <v>1E-4</v>
      </c>
      <c r="R17">
        <v>2000</v>
      </c>
      <c r="S17">
        <v>0.1070697432326719</v>
      </c>
      <c r="T17">
        <v>0.84108690838249922</v>
      </c>
      <c r="U17">
        <v>1.3930663481851771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7.0794181127694831</v>
      </c>
      <c r="AC17">
        <v>5.1024858503608908</v>
      </c>
      <c r="AD17">
        <v>1.6426339999999999</v>
      </c>
      <c r="AE17">
        <v>0.68414137490005245</v>
      </c>
      <c r="AF17" s="6">
        <v>0.22135648461899099</v>
      </c>
      <c r="AG17">
        <v>2</v>
      </c>
    </row>
    <row r="18" spans="1:33" x14ac:dyDescent="0.3">
      <c r="A18" s="5">
        <v>17</v>
      </c>
      <c r="B18" t="s">
        <v>82</v>
      </c>
      <c r="C18">
        <v>21111.6125092</v>
      </c>
      <c r="D18">
        <v>351.86020848666669</v>
      </c>
      <c r="E18" t="s">
        <v>83</v>
      </c>
      <c r="G18" t="s">
        <v>34</v>
      </c>
      <c r="H18" t="s">
        <v>84</v>
      </c>
      <c r="J18" t="s">
        <v>36</v>
      </c>
      <c r="K18">
        <v>1.9031896178424979E-2</v>
      </c>
      <c r="L18">
        <v>0</v>
      </c>
      <c r="M18">
        <v>1.9031896178424979E-2</v>
      </c>
      <c r="N18" t="s">
        <v>17</v>
      </c>
      <c r="O18">
        <v>2001</v>
      </c>
      <c r="P18" s="11">
        <v>1.604056233756677E-4</v>
      </c>
      <c r="Q18">
        <v>1E-4</v>
      </c>
      <c r="R18">
        <v>2000</v>
      </c>
      <c r="S18">
        <v>0.13943642659037339</v>
      </c>
      <c r="T18">
        <v>1.4375904770707839</v>
      </c>
      <c r="U18">
        <v>1.17514855524946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6.527551914797427</v>
      </c>
      <c r="AC18">
        <v>6.2341027278068388</v>
      </c>
      <c r="AD18">
        <v>1.6426339999999999</v>
      </c>
      <c r="AE18">
        <v>0.32014943742462582</v>
      </c>
      <c r="AF18" s="6">
        <v>0.54753100362087015</v>
      </c>
      <c r="AG18">
        <v>1</v>
      </c>
    </row>
    <row r="19" spans="1:33" x14ac:dyDescent="0.3">
      <c r="A19" s="5">
        <v>18</v>
      </c>
      <c r="B19" t="s">
        <v>85</v>
      </c>
      <c r="C19">
        <v>20588.614749</v>
      </c>
      <c r="D19">
        <v>343.14357914999999</v>
      </c>
      <c r="E19" t="s">
        <v>86</v>
      </c>
      <c r="G19" t="s">
        <v>34</v>
      </c>
      <c r="H19" t="s">
        <v>87</v>
      </c>
      <c r="J19" t="s">
        <v>36</v>
      </c>
      <c r="K19">
        <v>2.4723539734177399E-2</v>
      </c>
      <c r="L19">
        <v>0</v>
      </c>
      <c r="M19">
        <v>2.4723539734177399E-2</v>
      </c>
      <c r="N19" t="s">
        <v>17</v>
      </c>
      <c r="O19">
        <v>901</v>
      </c>
      <c r="P19" s="11">
        <v>9.5859297039156189E-5</v>
      </c>
      <c r="Q19">
        <v>1E-4</v>
      </c>
      <c r="R19">
        <v>2000</v>
      </c>
      <c r="S19" s="16">
        <v>0.1957220287925758</v>
      </c>
      <c r="T19" s="16">
        <v>1.8413149759623919</v>
      </c>
      <c r="U19" s="16">
        <v>1.142151867830226</v>
      </c>
      <c r="V19" s="16">
        <v>9.6469999999999993E-3</v>
      </c>
      <c r="W19" s="16">
        <v>8.5518540000000005</v>
      </c>
      <c r="X19" s="16">
        <v>7.1656500000000003</v>
      </c>
      <c r="Y19" s="16">
        <v>44.150669999999998</v>
      </c>
      <c r="Z19" s="16">
        <v>42.528283999999999</v>
      </c>
      <c r="AA19" s="16">
        <v>1E-4</v>
      </c>
      <c r="AB19" s="16">
        <v>4.357026494323847</v>
      </c>
      <c r="AC19" s="16">
        <v>9.5224248843655364</v>
      </c>
      <c r="AD19" s="16">
        <v>1.6426339999999999</v>
      </c>
      <c r="AE19" s="16">
        <v>0.50051089460210196</v>
      </c>
      <c r="AF19" s="17">
        <v>0.33005485774102938</v>
      </c>
      <c r="AG19">
        <v>0</v>
      </c>
    </row>
    <row r="20" spans="1:33" x14ac:dyDescent="0.3">
      <c r="A20" s="5">
        <v>19</v>
      </c>
      <c r="B20" t="s">
        <v>88</v>
      </c>
      <c r="C20">
        <v>4922.2885048000026</v>
      </c>
      <c r="D20">
        <v>82.03814174666671</v>
      </c>
      <c r="E20" t="s">
        <v>89</v>
      </c>
      <c r="G20" t="s">
        <v>34</v>
      </c>
      <c r="H20" t="s">
        <v>90</v>
      </c>
      <c r="J20" t="s">
        <v>36</v>
      </c>
      <c r="K20">
        <v>2.1089386883793221E-2</v>
      </c>
      <c r="L20">
        <v>0</v>
      </c>
      <c r="M20">
        <v>2.1089386883793221E-2</v>
      </c>
      <c r="N20" t="s">
        <v>17</v>
      </c>
      <c r="O20">
        <v>602</v>
      </c>
      <c r="P20" s="11">
        <v>9.8179584203664892E-5</v>
      </c>
      <c r="Q20">
        <v>1E-4</v>
      </c>
      <c r="R20">
        <v>2000</v>
      </c>
      <c r="S20" s="16">
        <v>0.2443548171277711</v>
      </c>
      <c r="T20" s="16">
        <v>1.688151118707405</v>
      </c>
      <c r="U20" s="16">
        <v>1.1020683670286131</v>
      </c>
      <c r="V20" s="16">
        <v>9.6469999999999993E-3</v>
      </c>
      <c r="W20" s="16">
        <v>8.5518540000000005</v>
      </c>
      <c r="X20" s="16">
        <v>7.1656500000000003</v>
      </c>
      <c r="Y20" s="16">
        <v>44.150669999999998</v>
      </c>
      <c r="Z20" s="16">
        <v>42.528283999999999</v>
      </c>
      <c r="AA20" s="16">
        <v>1E-4</v>
      </c>
      <c r="AB20" s="16">
        <v>5.0732425293949914</v>
      </c>
      <c r="AC20" s="16">
        <v>9.4576715142226693</v>
      </c>
      <c r="AD20" s="16">
        <v>1.6426339999999999</v>
      </c>
      <c r="AE20" s="16">
        <v>0.5665117530365259</v>
      </c>
      <c r="AF20" s="17">
        <v>0.26939164592091119</v>
      </c>
      <c r="AG20">
        <v>0</v>
      </c>
    </row>
    <row r="21" spans="1:33" x14ac:dyDescent="0.3">
      <c r="A21" s="5">
        <v>20</v>
      </c>
      <c r="B21" t="s">
        <v>91</v>
      </c>
      <c r="C21">
        <v>1461.625356399978</v>
      </c>
      <c r="D21">
        <v>24.360422606666301</v>
      </c>
      <c r="E21" t="s">
        <v>92</v>
      </c>
      <c r="G21" t="s">
        <v>34</v>
      </c>
      <c r="H21" t="s">
        <v>93</v>
      </c>
      <c r="J21" t="s">
        <v>36</v>
      </c>
      <c r="K21">
        <v>4.6013303754210019E-2</v>
      </c>
      <c r="L21">
        <v>0</v>
      </c>
      <c r="M21">
        <v>4.6013303754210019E-2</v>
      </c>
      <c r="N21" t="s">
        <v>17</v>
      </c>
      <c r="O21">
        <v>238</v>
      </c>
      <c r="P21" s="11">
        <v>8.9850374100776699E-5</v>
      </c>
      <c r="Q21">
        <v>1E-4</v>
      </c>
      <c r="R21">
        <v>2000</v>
      </c>
      <c r="S21">
        <v>0.57384487092889358</v>
      </c>
      <c r="T21">
        <v>0.85781285332391377</v>
      </c>
      <c r="U21">
        <v>9.6762141303577565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2.023255349818958</v>
      </c>
      <c r="AC21">
        <v>9.705414724740308</v>
      </c>
      <c r="AD21">
        <v>1.6426339999999999</v>
      </c>
      <c r="AE21">
        <v>0.38800431601736318</v>
      </c>
      <c r="AF21" s="6">
        <v>0.53291091905389765</v>
      </c>
      <c r="AG21">
        <v>1</v>
      </c>
    </row>
    <row r="22" spans="1:33" x14ac:dyDescent="0.3">
      <c r="A22" s="5">
        <v>21</v>
      </c>
      <c r="B22" t="s">
        <v>94</v>
      </c>
      <c r="C22">
        <v>13623.75451269999</v>
      </c>
      <c r="D22">
        <v>227.06257521166651</v>
      </c>
      <c r="E22" t="s">
        <v>95</v>
      </c>
      <c r="G22" t="s">
        <v>34</v>
      </c>
      <c r="H22" t="s">
        <v>96</v>
      </c>
      <c r="J22" t="s">
        <v>36</v>
      </c>
      <c r="K22">
        <v>1.74094920806762E-2</v>
      </c>
      <c r="L22">
        <v>0</v>
      </c>
      <c r="M22">
        <v>1.74094920806762E-2</v>
      </c>
      <c r="N22" t="s">
        <v>17</v>
      </c>
      <c r="O22">
        <v>1048</v>
      </c>
      <c r="P22" s="11">
        <v>8.9820340367870069E-5</v>
      </c>
      <c r="Q22">
        <v>1E-4</v>
      </c>
      <c r="R22">
        <v>2000</v>
      </c>
      <c r="S22" s="16">
        <v>0.18432378096980079</v>
      </c>
      <c r="T22" s="16">
        <v>2.4149638557808002</v>
      </c>
      <c r="U22" s="16">
        <v>1.3649814811210901</v>
      </c>
      <c r="V22" s="16">
        <v>9.6469999999999993E-3</v>
      </c>
      <c r="W22" s="16">
        <v>8.5518540000000005</v>
      </c>
      <c r="X22" s="16">
        <v>7.1656500000000003</v>
      </c>
      <c r="Y22" s="16">
        <v>44.150669999999998</v>
      </c>
      <c r="Z22" s="16">
        <v>42.528283999999999</v>
      </c>
      <c r="AA22" s="16">
        <v>1E-4</v>
      </c>
      <c r="AB22" s="16">
        <v>3.4242520685076201</v>
      </c>
      <c r="AC22" s="16">
        <v>9.9997745736004902</v>
      </c>
      <c r="AD22" s="16">
        <v>1.6426339999999999</v>
      </c>
      <c r="AE22" s="16">
        <v>0.45171710819292482</v>
      </c>
      <c r="AF22" s="17">
        <v>0.46110374288754669</v>
      </c>
      <c r="AG22">
        <v>0</v>
      </c>
    </row>
    <row r="23" spans="1:33" x14ac:dyDescent="0.3">
      <c r="A23" s="5">
        <v>22</v>
      </c>
      <c r="B23" t="s">
        <v>97</v>
      </c>
      <c r="C23">
        <v>7449.552884899982</v>
      </c>
      <c r="D23">
        <v>124.159214748333</v>
      </c>
      <c r="E23" t="s">
        <v>98</v>
      </c>
      <c r="G23" t="s">
        <v>34</v>
      </c>
      <c r="H23" t="s">
        <v>99</v>
      </c>
      <c r="J23" t="s">
        <v>36</v>
      </c>
      <c r="K23">
        <v>3.0807317000398619E-2</v>
      </c>
      <c r="L23">
        <v>0</v>
      </c>
      <c r="M23">
        <v>3.0807317000398619E-2</v>
      </c>
      <c r="N23" t="s">
        <v>17</v>
      </c>
      <c r="O23">
        <v>933</v>
      </c>
      <c r="P23" s="11">
        <v>5.7159296964075603E-5</v>
      </c>
      <c r="Q23">
        <v>1E-4</v>
      </c>
      <c r="R23">
        <v>2000</v>
      </c>
      <c r="S23">
        <v>0.1359084087448795</v>
      </c>
      <c r="T23">
        <v>3.3038070819419989</v>
      </c>
      <c r="U23">
        <v>6.9908380786620734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0.65955054452455097</v>
      </c>
      <c r="AC23">
        <v>6.6176297923569738</v>
      </c>
      <c r="AD23">
        <v>1.6426339999999999</v>
      </c>
      <c r="AE23">
        <v>0.26943243745875872</v>
      </c>
      <c r="AF23" s="6">
        <v>0.63907592800598911</v>
      </c>
      <c r="AG23">
        <v>2</v>
      </c>
    </row>
    <row r="24" spans="1:33" x14ac:dyDescent="0.3">
      <c r="A24" s="5">
        <v>23</v>
      </c>
      <c r="B24" t="s">
        <v>100</v>
      </c>
      <c r="C24">
        <v>5814.1657645999803</v>
      </c>
      <c r="D24">
        <v>96.902762743333</v>
      </c>
      <c r="E24" t="s">
        <v>101</v>
      </c>
      <c r="G24" t="s">
        <v>34</v>
      </c>
      <c r="H24" t="s">
        <v>102</v>
      </c>
      <c r="J24" t="s">
        <v>36</v>
      </c>
      <c r="K24">
        <v>2.5342726527727118E-2</v>
      </c>
      <c r="L24">
        <v>0</v>
      </c>
      <c r="M24">
        <v>2.5342726527727118E-2</v>
      </c>
      <c r="N24" t="s">
        <v>17</v>
      </c>
      <c r="O24">
        <v>232</v>
      </c>
      <c r="P24" s="11">
        <v>6.0758813264849172E-5</v>
      </c>
      <c r="Q24">
        <v>1E-4</v>
      </c>
      <c r="R24">
        <v>2000</v>
      </c>
      <c r="S24">
        <v>0.65230297039469942</v>
      </c>
      <c r="T24">
        <v>2.0770307526074339</v>
      </c>
      <c r="U24">
        <v>0.78075656968564511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3.9263394493182999</v>
      </c>
      <c r="AC24">
        <v>7.0427777304200028</v>
      </c>
      <c r="AD24">
        <v>1.6426339999999999</v>
      </c>
      <c r="AE24">
        <v>0.53593493485641408</v>
      </c>
      <c r="AF24" s="6">
        <v>0.21139776264460561</v>
      </c>
      <c r="AG24">
        <v>1</v>
      </c>
    </row>
    <row r="25" spans="1:33" x14ac:dyDescent="0.3">
      <c r="A25" s="5">
        <v>24</v>
      </c>
      <c r="B25" t="s">
        <v>103</v>
      </c>
      <c r="C25">
        <v>4185.7595682000101</v>
      </c>
      <c r="D25">
        <v>69.762659470000173</v>
      </c>
      <c r="E25" t="s">
        <v>104</v>
      </c>
      <c r="G25" t="s">
        <v>34</v>
      </c>
      <c r="H25" t="s">
        <v>105</v>
      </c>
      <c r="J25" t="s">
        <v>36</v>
      </c>
      <c r="K25">
        <v>1.7061836719004322E-2</v>
      </c>
      <c r="L25">
        <v>0</v>
      </c>
      <c r="M25">
        <v>1.7061836719004322E-2</v>
      </c>
      <c r="N25" t="s">
        <v>17</v>
      </c>
      <c r="O25">
        <v>240</v>
      </c>
      <c r="P25" s="11">
        <v>9.7299965244742958E-5</v>
      </c>
      <c r="Q25">
        <v>1E-4</v>
      </c>
      <c r="R25">
        <v>2000</v>
      </c>
      <c r="S25">
        <v>0.132546262650129</v>
      </c>
      <c r="T25">
        <v>3.893671184911172</v>
      </c>
      <c r="U25">
        <v>0.67255490702205023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3.921038778767866</v>
      </c>
      <c r="AC25">
        <v>9.991795607270566</v>
      </c>
      <c r="AD25">
        <v>1.6426339999999999</v>
      </c>
      <c r="AE25">
        <v>0.57030410431709933</v>
      </c>
      <c r="AF25" s="6">
        <v>0.27539095119876622</v>
      </c>
      <c r="AG25">
        <v>1</v>
      </c>
    </row>
    <row r="26" spans="1:33" x14ac:dyDescent="0.3">
      <c r="A26" s="5">
        <v>25</v>
      </c>
      <c r="B26" t="s">
        <v>106</v>
      </c>
      <c r="C26">
        <v>4901.0364973999967</v>
      </c>
      <c r="D26">
        <v>81.683941623333283</v>
      </c>
      <c r="E26" t="s">
        <v>107</v>
      </c>
      <c r="G26" t="s">
        <v>34</v>
      </c>
      <c r="H26" t="s">
        <v>108</v>
      </c>
      <c r="J26" t="s">
        <v>36</v>
      </c>
      <c r="K26">
        <v>3.2865191206284922E-2</v>
      </c>
      <c r="L26">
        <v>0</v>
      </c>
      <c r="M26">
        <v>3.2865191206284922E-2</v>
      </c>
      <c r="N26" t="s">
        <v>17</v>
      </c>
      <c r="O26">
        <v>832</v>
      </c>
      <c r="P26" s="11">
        <v>9.7801619461440078E-5</v>
      </c>
      <c r="Q26">
        <v>1E-4</v>
      </c>
      <c r="R26">
        <v>2000</v>
      </c>
      <c r="S26" s="16">
        <v>0.19413816212667731</v>
      </c>
      <c r="T26" s="16">
        <v>3.844084630584347</v>
      </c>
      <c r="U26" s="16">
        <v>1.2368361308460261</v>
      </c>
      <c r="V26" s="16">
        <v>9.6469999999999993E-3</v>
      </c>
      <c r="W26" s="16">
        <v>8.5518540000000005</v>
      </c>
      <c r="X26" s="16">
        <v>7.1656500000000003</v>
      </c>
      <c r="Y26" s="16">
        <v>44.150669999999998</v>
      </c>
      <c r="Z26" s="16">
        <v>42.528283999999999</v>
      </c>
      <c r="AA26" s="16">
        <v>1E-4</v>
      </c>
      <c r="AB26" s="16">
        <v>2.4274124306484648</v>
      </c>
      <c r="AC26" s="16">
        <v>9.9601620773877109</v>
      </c>
      <c r="AD26" s="16">
        <v>1.6426339999999999</v>
      </c>
      <c r="AE26" s="16">
        <v>0.59968154212108837</v>
      </c>
      <c r="AF26" s="17">
        <v>0.19259834076794369</v>
      </c>
      <c r="AG26">
        <v>0</v>
      </c>
    </row>
    <row r="27" spans="1:33" x14ac:dyDescent="0.3">
      <c r="A27" s="5">
        <v>26</v>
      </c>
      <c r="B27" t="s">
        <v>109</v>
      </c>
      <c r="C27">
        <v>2074.2730203999959</v>
      </c>
      <c r="D27">
        <v>34.571217006666608</v>
      </c>
      <c r="E27" t="s">
        <v>110</v>
      </c>
      <c r="G27" t="s">
        <v>34</v>
      </c>
      <c r="H27" t="s">
        <v>111</v>
      </c>
      <c r="J27" t="s">
        <v>36</v>
      </c>
      <c r="K27">
        <v>2.158008175818216E-2</v>
      </c>
      <c r="L27">
        <v>0</v>
      </c>
      <c r="M27">
        <v>2.158008175818216E-2</v>
      </c>
      <c r="N27" t="s">
        <v>17</v>
      </c>
      <c r="O27">
        <v>277</v>
      </c>
      <c r="P27" s="11">
        <v>9.9942092145659375E-5</v>
      </c>
      <c r="Q27">
        <v>1E-4</v>
      </c>
      <c r="R27">
        <v>2000</v>
      </c>
      <c r="S27">
        <v>0.37858929172535749</v>
      </c>
      <c r="T27">
        <v>2.614446601797082</v>
      </c>
      <c r="U27">
        <v>7.184449109992201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1.212010681004307</v>
      </c>
      <c r="AC27">
        <v>9.9930494297369474</v>
      </c>
      <c r="AD27">
        <v>1.6426339999999999</v>
      </c>
      <c r="AE27">
        <v>0.34845443192353331</v>
      </c>
      <c r="AF27" s="6">
        <v>0.53600703040912212</v>
      </c>
      <c r="AG27">
        <v>1</v>
      </c>
    </row>
    <row r="28" spans="1:33" x14ac:dyDescent="0.3">
      <c r="A28" s="5">
        <v>27</v>
      </c>
      <c r="B28" t="s">
        <v>112</v>
      </c>
      <c r="C28">
        <v>4781.5120207</v>
      </c>
      <c r="D28">
        <v>79.691867011666673</v>
      </c>
      <c r="E28" t="s">
        <v>113</v>
      </c>
      <c r="G28" t="s">
        <v>34</v>
      </c>
      <c r="H28" t="s">
        <v>114</v>
      </c>
      <c r="J28" t="s">
        <v>36</v>
      </c>
      <c r="K28">
        <v>3.5409677587260928E-2</v>
      </c>
      <c r="L28">
        <v>0</v>
      </c>
      <c r="M28">
        <v>3.5409677587260928E-2</v>
      </c>
      <c r="N28" t="s">
        <v>17</v>
      </c>
      <c r="O28">
        <v>695</v>
      </c>
      <c r="P28" s="11">
        <v>8.8803930078873696E-5</v>
      </c>
      <c r="Q28">
        <v>1E-4</v>
      </c>
      <c r="R28">
        <v>2000</v>
      </c>
      <c r="S28">
        <v>0.17552491149223229</v>
      </c>
      <c r="T28">
        <v>4.1577551963834054</v>
      </c>
      <c r="U28">
        <v>1.4753880067750491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2.0675212452253708</v>
      </c>
      <c r="AC28">
        <v>9.9962269957496606</v>
      </c>
      <c r="AD28">
        <v>1.6426339999999999</v>
      </c>
      <c r="AE28">
        <v>0.56432866694182982</v>
      </c>
      <c r="AF28" s="6">
        <v>0.2082087045653517</v>
      </c>
      <c r="AG28">
        <v>1</v>
      </c>
    </row>
    <row r="29" spans="1:33" x14ac:dyDescent="0.3">
      <c r="A29" s="5">
        <v>28</v>
      </c>
      <c r="B29" t="s">
        <v>115</v>
      </c>
      <c r="C29">
        <v>2133.3174923000038</v>
      </c>
      <c r="D29">
        <v>35.555291538333407</v>
      </c>
      <c r="E29" t="s">
        <v>116</v>
      </c>
      <c r="G29" t="s">
        <v>34</v>
      </c>
      <c r="H29" t="s">
        <v>117</v>
      </c>
      <c r="J29" t="s">
        <v>36</v>
      </c>
      <c r="K29">
        <v>1.10161903996707E-2</v>
      </c>
      <c r="L29">
        <v>0</v>
      </c>
      <c r="M29">
        <v>1.10161903996707E-2</v>
      </c>
      <c r="N29" t="s">
        <v>17</v>
      </c>
      <c r="O29">
        <v>255</v>
      </c>
      <c r="P29" s="11">
        <v>9.990303220302308E-5</v>
      </c>
      <c r="Q29">
        <v>1E-4</v>
      </c>
      <c r="R29">
        <v>2000</v>
      </c>
      <c r="S29" s="16">
        <v>0.1386956396634994</v>
      </c>
      <c r="T29" s="16">
        <v>0.35096545121603412</v>
      </c>
      <c r="U29" s="16">
        <v>5.6300792481507358</v>
      </c>
      <c r="V29" s="16">
        <v>9.6469999999999993E-3</v>
      </c>
      <c r="W29" s="16">
        <v>8.5518540000000005</v>
      </c>
      <c r="X29" s="16">
        <v>7.1656500000000003</v>
      </c>
      <c r="Y29" s="16">
        <v>44.150669999999998</v>
      </c>
      <c r="Z29" s="16">
        <v>42.528283999999999</v>
      </c>
      <c r="AA29" s="16">
        <v>1E-4</v>
      </c>
      <c r="AB29" s="16">
        <v>2.48489320225287</v>
      </c>
      <c r="AC29" s="16">
        <v>4.4853468547857913</v>
      </c>
      <c r="AD29" s="16">
        <v>1.6426339999999999</v>
      </c>
      <c r="AE29" s="16">
        <v>0.13702884973579349</v>
      </c>
      <c r="AF29" s="17">
        <v>0.61565639978424436</v>
      </c>
      <c r="AG29">
        <v>0</v>
      </c>
    </row>
    <row r="30" spans="1:33" x14ac:dyDescent="0.3">
      <c r="A30" s="5">
        <v>29</v>
      </c>
      <c r="B30" t="s">
        <v>118</v>
      </c>
      <c r="C30">
        <v>1720.9336680999841</v>
      </c>
      <c r="D30">
        <v>28.6822278016664</v>
      </c>
      <c r="E30" t="s">
        <v>119</v>
      </c>
      <c r="G30" t="s">
        <v>34</v>
      </c>
      <c r="H30" t="s">
        <v>120</v>
      </c>
      <c r="J30" t="s">
        <v>36</v>
      </c>
      <c r="K30">
        <v>1.528760483283453E-2</v>
      </c>
      <c r="L30">
        <v>0</v>
      </c>
      <c r="M30">
        <v>1.528760483283453E-2</v>
      </c>
      <c r="N30" t="s">
        <v>17</v>
      </c>
      <c r="O30">
        <v>334</v>
      </c>
      <c r="P30" s="11">
        <v>9.3982948527025596E-5</v>
      </c>
      <c r="Q30">
        <v>1E-4</v>
      </c>
      <c r="R30">
        <v>2000</v>
      </c>
      <c r="S30">
        <v>5.2075001580897208E-2</v>
      </c>
      <c r="T30">
        <v>1.8137100794334391</v>
      </c>
      <c r="U30">
        <v>1.5666984959853949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5.8649617967851384</v>
      </c>
      <c r="AC30">
        <v>4.2056147599870002</v>
      </c>
      <c r="AD30">
        <v>1.6426339999999999</v>
      </c>
      <c r="AE30">
        <v>0.1991690382268973</v>
      </c>
      <c r="AF30" s="6">
        <v>0.79546710150877675</v>
      </c>
      <c r="AG30">
        <v>1</v>
      </c>
    </row>
    <row r="31" spans="1:33" x14ac:dyDescent="0.3">
      <c r="A31" s="5">
        <v>30</v>
      </c>
      <c r="B31" t="s">
        <v>121</v>
      </c>
      <c r="C31">
        <v>9562.8541788000148</v>
      </c>
      <c r="D31">
        <v>159.38090298000029</v>
      </c>
      <c r="E31" t="s">
        <v>122</v>
      </c>
      <c r="G31" t="s">
        <v>34</v>
      </c>
      <c r="H31" t="s">
        <v>123</v>
      </c>
      <c r="J31" t="s">
        <v>36</v>
      </c>
      <c r="K31">
        <v>3.1160231464880579E-2</v>
      </c>
      <c r="L31">
        <v>0</v>
      </c>
      <c r="M31">
        <v>3.1160231464880579E-2</v>
      </c>
      <c r="N31" t="s">
        <v>17</v>
      </c>
      <c r="O31">
        <v>1156</v>
      </c>
      <c r="P31" s="11">
        <v>9.9623439468476128E-5</v>
      </c>
      <c r="Q31">
        <v>1E-4</v>
      </c>
      <c r="R31">
        <v>2000</v>
      </c>
      <c r="S31">
        <v>0.4018388425254531</v>
      </c>
      <c r="T31">
        <v>0.61404232777015577</v>
      </c>
      <c r="U31">
        <v>2.4462735119352401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3.3543712389456619</v>
      </c>
      <c r="AC31">
        <v>3.2130244179909879</v>
      </c>
      <c r="AD31">
        <v>1.6426339999999999</v>
      </c>
      <c r="AE31">
        <v>0.1648831061895614</v>
      </c>
      <c r="AF31" s="6">
        <v>0.8961940821529828</v>
      </c>
      <c r="AG31">
        <v>2</v>
      </c>
    </row>
    <row r="32" spans="1:33" x14ac:dyDescent="0.3">
      <c r="A32" s="5">
        <v>31</v>
      </c>
      <c r="B32" t="s">
        <v>124</v>
      </c>
      <c r="C32">
        <v>1135.8948174999971</v>
      </c>
      <c r="D32">
        <v>18.931580291666609</v>
      </c>
      <c r="E32" t="s">
        <v>125</v>
      </c>
      <c r="G32" t="s">
        <v>34</v>
      </c>
      <c r="H32" t="s">
        <v>126</v>
      </c>
      <c r="J32" t="s">
        <v>36</v>
      </c>
      <c r="K32">
        <v>1.2418892553136759E-2</v>
      </c>
      <c r="L32">
        <v>0</v>
      </c>
      <c r="M32">
        <v>1.2418892553136759E-2</v>
      </c>
      <c r="N32" t="s">
        <v>17</v>
      </c>
      <c r="O32">
        <v>173</v>
      </c>
      <c r="P32" s="11">
        <v>9.9952482821797579E-5</v>
      </c>
      <c r="Q32">
        <v>1E-4</v>
      </c>
      <c r="R32">
        <v>2000</v>
      </c>
      <c r="S32">
        <v>9.5131472790338165E-2</v>
      </c>
      <c r="T32">
        <v>1.3514976724639101</v>
      </c>
      <c r="U32">
        <v>1.378767963387493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5.7046777604247936</v>
      </c>
      <c r="AC32">
        <v>6.9959496868252078</v>
      </c>
      <c r="AD32">
        <v>1.6426339999999999</v>
      </c>
      <c r="AE32">
        <v>0.27282498101157071</v>
      </c>
      <c r="AF32" s="6">
        <v>0.70647905065370864</v>
      </c>
      <c r="AG32">
        <v>1</v>
      </c>
    </row>
    <row r="33" spans="1:33" x14ac:dyDescent="0.3">
      <c r="A33" s="5">
        <v>32</v>
      </c>
      <c r="B33" t="s">
        <v>127</v>
      </c>
      <c r="C33">
        <v>9774.8308117999986</v>
      </c>
      <c r="D33">
        <v>162.9138468633333</v>
      </c>
      <c r="E33" t="s">
        <v>128</v>
      </c>
      <c r="G33" t="s">
        <v>34</v>
      </c>
      <c r="H33" t="s">
        <v>129</v>
      </c>
      <c r="J33" t="s">
        <v>36</v>
      </c>
      <c r="K33">
        <v>3.5474141892733478E-2</v>
      </c>
      <c r="L33">
        <v>0</v>
      </c>
      <c r="M33">
        <v>3.5474141892733478E-2</v>
      </c>
      <c r="N33" t="s">
        <v>17</v>
      </c>
      <c r="O33">
        <v>576</v>
      </c>
      <c r="P33" s="11">
        <v>9.7171459345381795E-5</v>
      </c>
      <c r="Q33">
        <v>1E-4</v>
      </c>
      <c r="R33">
        <v>2000</v>
      </c>
      <c r="S33" s="16">
        <v>0.32234151004415629</v>
      </c>
      <c r="T33" s="16">
        <v>1.9991316186647099</v>
      </c>
      <c r="U33" s="16">
        <v>1.4055667221445689</v>
      </c>
      <c r="V33" s="16">
        <v>9.6469999999999993E-3</v>
      </c>
      <c r="W33" s="16">
        <v>8.5518540000000005</v>
      </c>
      <c r="X33" s="16">
        <v>7.1656500000000003</v>
      </c>
      <c r="Y33" s="16">
        <v>44.150669999999998</v>
      </c>
      <c r="Z33" s="16">
        <v>42.528283999999999</v>
      </c>
      <c r="AA33" s="16">
        <v>1E-4</v>
      </c>
      <c r="AB33" s="16">
        <v>3.566065080144825</v>
      </c>
      <c r="AC33" s="16">
        <v>6.1644202880710797</v>
      </c>
      <c r="AD33" s="16">
        <v>1.6426339999999999</v>
      </c>
      <c r="AE33" s="16">
        <v>0.49660288496814692</v>
      </c>
      <c r="AF33" s="17">
        <v>0.3550808755615506</v>
      </c>
      <c r="AG33">
        <v>0</v>
      </c>
    </row>
    <row r="34" spans="1:33" x14ac:dyDescent="0.3">
      <c r="A34" s="5">
        <v>33</v>
      </c>
      <c r="B34" t="s">
        <v>130</v>
      </c>
      <c r="C34">
        <v>4253.1494631999813</v>
      </c>
      <c r="D34">
        <v>70.885824386666357</v>
      </c>
      <c r="E34" t="s">
        <v>131</v>
      </c>
      <c r="G34" t="s">
        <v>34</v>
      </c>
      <c r="H34" t="s">
        <v>132</v>
      </c>
      <c r="J34" t="s">
        <v>36</v>
      </c>
      <c r="K34">
        <v>4.4191874799525091E-2</v>
      </c>
      <c r="L34">
        <v>0</v>
      </c>
      <c r="M34">
        <v>4.4191874799525091E-2</v>
      </c>
      <c r="N34" t="s">
        <v>17</v>
      </c>
      <c r="O34">
        <v>602</v>
      </c>
      <c r="P34" s="11">
        <v>7.0307574478676885E-5</v>
      </c>
      <c r="Q34">
        <v>1E-4</v>
      </c>
      <c r="R34">
        <v>2000</v>
      </c>
      <c r="S34">
        <v>0.65962327440448321</v>
      </c>
      <c r="T34">
        <v>4.4482599897689132</v>
      </c>
      <c r="U34">
        <v>5.0098081134271073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0.85232557149720689</v>
      </c>
      <c r="AC34">
        <v>9.9968986282814321</v>
      </c>
      <c r="AD34">
        <v>1.6426339999999999</v>
      </c>
      <c r="AE34">
        <v>0.41213678145615201</v>
      </c>
      <c r="AF34" s="6">
        <v>0.62659620795105597</v>
      </c>
      <c r="AG34">
        <v>2</v>
      </c>
    </row>
    <row r="35" spans="1:33" x14ac:dyDescent="0.3">
      <c r="A35" s="5">
        <v>34</v>
      </c>
      <c r="B35" t="s">
        <v>133</v>
      </c>
      <c r="C35">
        <v>2399.5497187000001</v>
      </c>
      <c r="D35">
        <v>39.992495311666673</v>
      </c>
      <c r="E35" t="s">
        <v>134</v>
      </c>
      <c r="G35" t="s">
        <v>34</v>
      </c>
      <c r="H35" t="s">
        <v>135</v>
      </c>
      <c r="J35" t="s">
        <v>36</v>
      </c>
      <c r="K35">
        <v>2.718230423091713E-2</v>
      </c>
      <c r="L35">
        <v>0</v>
      </c>
      <c r="M35">
        <v>2.718230423091713E-2</v>
      </c>
      <c r="N35" t="s">
        <v>17</v>
      </c>
      <c r="O35">
        <v>429</v>
      </c>
      <c r="P35" s="11">
        <v>9.9275834797104382E-5</v>
      </c>
      <c r="Q35">
        <v>1E-4</v>
      </c>
      <c r="R35">
        <v>2000</v>
      </c>
      <c r="S35">
        <v>5.9172438699637071E-2</v>
      </c>
      <c r="T35">
        <v>1.1187936440531281</v>
      </c>
      <c r="U35">
        <v>8.1363479882043865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7.3468442786090424</v>
      </c>
      <c r="AC35">
        <v>1.537417305912113</v>
      </c>
      <c r="AD35">
        <v>1.6426339999999999</v>
      </c>
      <c r="AE35">
        <v>0.72999562173552102</v>
      </c>
      <c r="AF35" s="6">
        <v>0.25443496210767719</v>
      </c>
      <c r="AG35">
        <v>4</v>
      </c>
    </row>
    <row r="36" spans="1:33" x14ac:dyDescent="0.3">
      <c r="A36" s="5">
        <v>35</v>
      </c>
      <c r="B36" t="s">
        <v>136</v>
      </c>
      <c r="C36">
        <v>1066.8020373000179</v>
      </c>
      <c r="D36">
        <v>17.780033955000299</v>
      </c>
      <c r="E36" t="s">
        <v>137</v>
      </c>
      <c r="G36" t="s">
        <v>34</v>
      </c>
      <c r="H36" t="s">
        <v>138</v>
      </c>
      <c r="J36" t="s">
        <v>36</v>
      </c>
      <c r="K36">
        <v>2.0386779345943549E-2</v>
      </c>
      <c r="L36">
        <v>0</v>
      </c>
      <c r="M36">
        <v>2.0386779345943549E-2</v>
      </c>
      <c r="N36" t="s">
        <v>17</v>
      </c>
      <c r="O36">
        <v>238</v>
      </c>
      <c r="P36" s="11">
        <v>9.7799410588132412E-5</v>
      </c>
      <c r="Q36">
        <v>1E-4</v>
      </c>
      <c r="R36">
        <v>2000</v>
      </c>
      <c r="S36" s="16">
        <v>0.1146204907562238</v>
      </c>
      <c r="T36" s="16">
        <v>1.2822339503207389</v>
      </c>
      <c r="U36" s="16">
        <v>3.3997732462060068</v>
      </c>
      <c r="V36" s="16">
        <v>9.6469999999999993E-3</v>
      </c>
      <c r="W36" s="16">
        <v>8.5518540000000005</v>
      </c>
      <c r="X36" s="16">
        <v>7.1656500000000003</v>
      </c>
      <c r="Y36" s="16">
        <v>44.150669999999998</v>
      </c>
      <c r="Z36" s="16">
        <v>42.528283999999999</v>
      </c>
      <c r="AA36" s="16">
        <v>1E-4</v>
      </c>
      <c r="AB36" s="16">
        <v>2.1198737333854409</v>
      </c>
      <c r="AC36" s="16">
        <v>5.6678882673044573</v>
      </c>
      <c r="AD36" s="16">
        <v>1.6426339999999999</v>
      </c>
      <c r="AE36" s="16">
        <v>0.28948593086548219</v>
      </c>
      <c r="AF36" s="17">
        <v>0.50893350559284523</v>
      </c>
      <c r="AG36">
        <v>0</v>
      </c>
    </row>
    <row r="37" spans="1:33" x14ac:dyDescent="0.3">
      <c r="A37" s="5">
        <v>36</v>
      </c>
      <c r="B37" t="s">
        <v>139</v>
      </c>
      <c r="C37">
        <v>2294.2875112000038</v>
      </c>
      <c r="D37">
        <v>38.238125186666728</v>
      </c>
      <c r="E37" t="s">
        <v>140</v>
      </c>
      <c r="G37" t="s">
        <v>34</v>
      </c>
      <c r="H37" t="s">
        <v>141</v>
      </c>
      <c r="J37" t="s">
        <v>36</v>
      </c>
      <c r="K37">
        <v>4.2882129783374037E-2</v>
      </c>
      <c r="L37">
        <v>0</v>
      </c>
      <c r="M37">
        <v>4.2882129783374037E-2</v>
      </c>
      <c r="N37" t="s">
        <v>17</v>
      </c>
      <c r="O37">
        <v>334</v>
      </c>
      <c r="P37" s="11">
        <v>9.8295988836569261E-5</v>
      </c>
      <c r="Q37">
        <v>1E-4</v>
      </c>
      <c r="R37">
        <v>2000</v>
      </c>
      <c r="S37">
        <v>0.67356462769414749</v>
      </c>
      <c r="T37">
        <v>0.57388886362052272</v>
      </c>
      <c r="U37">
        <v>3.6170171670026692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2.336016883177165</v>
      </c>
      <c r="AC37">
        <v>3.7032441470755901</v>
      </c>
      <c r="AD37">
        <v>1.6426339999999999</v>
      </c>
      <c r="AE37">
        <v>0.13360113217007261</v>
      </c>
      <c r="AF37" s="6">
        <v>0.96574481316584826</v>
      </c>
      <c r="AG37">
        <v>3</v>
      </c>
    </row>
    <row r="38" spans="1:33" x14ac:dyDescent="0.3">
      <c r="A38" s="5">
        <v>37</v>
      </c>
      <c r="B38" t="s">
        <v>142</v>
      </c>
      <c r="C38">
        <v>2741.5197531999729</v>
      </c>
      <c r="D38">
        <v>45.691995886666213</v>
      </c>
      <c r="E38" t="s">
        <v>143</v>
      </c>
      <c r="G38" t="s">
        <v>34</v>
      </c>
      <c r="H38" t="s">
        <v>144</v>
      </c>
      <c r="J38" t="s">
        <v>36</v>
      </c>
      <c r="K38">
        <v>3.6462153739501069E-2</v>
      </c>
      <c r="L38">
        <v>0</v>
      </c>
      <c r="M38">
        <v>3.6462153739501069E-2</v>
      </c>
      <c r="N38" t="s">
        <v>17</v>
      </c>
      <c r="O38">
        <v>473</v>
      </c>
      <c r="P38" s="11">
        <v>8.4768421213510278E-5</v>
      </c>
      <c r="Q38">
        <v>1E-4</v>
      </c>
      <c r="R38">
        <v>2000</v>
      </c>
      <c r="S38">
        <v>0.1004392902415865</v>
      </c>
      <c r="T38">
        <v>4.3800332930190624</v>
      </c>
      <c r="U38">
        <v>0.63567516180043038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2.9512050224277568</v>
      </c>
      <c r="AC38">
        <v>9.9091926377554085</v>
      </c>
      <c r="AD38">
        <v>1.6426339999999999</v>
      </c>
      <c r="AE38">
        <v>0.60218660480016539</v>
      </c>
      <c r="AF38" s="6">
        <v>0.14604862905263499</v>
      </c>
      <c r="AG38">
        <v>1</v>
      </c>
    </row>
    <row r="39" spans="1:33" x14ac:dyDescent="0.3">
      <c r="A39" s="5">
        <v>38</v>
      </c>
      <c r="B39" t="s">
        <v>145</v>
      </c>
      <c r="C39">
        <v>7975.0046935999999</v>
      </c>
      <c r="D39">
        <v>132.91674489333329</v>
      </c>
      <c r="E39" t="s">
        <v>146</v>
      </c>
      <c r="G39" t="s">
        <v>34</v>
      </c>
      <c r="H39" t="s">
        <v>147</v>
      </c>
      <c r="J39" t="s">
        <v>36</v>
      </c>
      <c r="K39">
        <v>3.260815693577121E-2</v>
      </c>
      <c r="L39">
        <v>0</v>
      </c>
      <c r="M39">
        <v>3.260815693577121E-2</v>
      </c>
      <c r="N39" t="s">
        <v>17</v>
      </c>
      <c r="O39">
        <v>384</v>
      </c>
      <c r="P39" s="11">
        <v>8.300816004010434E-5</v>
      </c>
      <c r="Q39">
        <v>1E-4</v>
      </c>
      <c r="R39">
        <v>2000</v>
      </c>
      <c r="S39" s="16">
        <v>0.17452147863439391</v>
      </c>
      <c r="T39" s="16">
        <v>2.6757654567366602</v>
      </c>
      <c r="U39" s="16">
        <v>0.81752363490333246</v>
      </c>
      <c r="V39" s="16">
        <v>9.6469999999999993E-3</v>
      </c>
      <c r="W39" s="16">
        <v>8.5518540000000005</v>
      </c>
      <c r="X39" s="16">
        <v>7.1656500000000003</v>
      </c>
      <c r="Y39" s="16">
        <v>44.150669999999998</v>
      </c>
      <c r="Z39" s="16">
        <v>42.528283999999999</v>
      </c>
      <c r="AA39" s="16">
        <v>1E-4</v>
      </c>
      <c r="AB39" s="16">
        <v>4.6126561510747308</v>
      </c>
      <c r="AC39" s="16">
        <v>9.9983768878087265</v>
      </c>
      <c r="AD39" s="16">
        <v>1.6426339999999999</v>
      </c>
      <c r="AE39" s="16">
        <v>0.59436989934675821</v>
      </c>
      <c r="AF39" s="17">
        <v>0.25578825498710922</v>
      </c>
      <c r="AG39">
        <v>0</v>
      </c>
    </row>
    <row r="40" spans="1:33" x14ac:dyDescent="0.3">
      <c r="A40" s="5">
        <v>39</v>
      </c>
      <c r="B40" t="s">
        <v>148</v>
      </c>
      <c r="C40">
        <v>2399.7903314</v>
      </c>
      <c r="D40">
        <v>39.996505523333333</v>
      </c>
      <c r="E40" t="s">
        <v>149</v>
      </c>
      <c r="G40" t="s">
        <v>34</v>
      </c>
      <c r="H40" t="s">
        <v>150</v>
      </c>
      <c r="J40" t="s">
        <v>36</v>
      </c>
      <c r="K40">
        <v>3.9624340522111133E-2</v>
      </c>
      <c r="L40">
        <v>0</v>
      </c>
      <c r="M40">
        <v>3.9624340522111133E-2</v>
      </c>
      <c r="N40" t="s">
        <v>17</v>
      </c>
      <c r="O40">
        <v>329</v>
      </c>
      <c r="P40" s="11">
        <v>6.4767194554348203E-5</v>
      </c>
      <c r="Q40">
        <v>1E-4</v>
      </c>
      <c r="R40">
        <v>2000</v>
      </c>
      <c r="S40" s="16">
        <v>0.10965967707491669</v>
      </c>
      <c r="T40" s="16">
        <v>2.955778978407098</v>
      </c>
      <c r="U40" s="16">
        <v>2.1872378522803202</v>
      </c>
      <c r="V40" s="16">
        <v>9.6469999999999993E-3</v>
      </c>
      <c r="W40" s="16">
        <v>8.5518540000000005</v>
      </c>
      <c r="X40" s="16">
        <v>7.1656500000000003</v>
      </c>
      <c r="Y40" s="16">
        <v>44.150669999999998</v>
      </c>
      <c r="Z40" s="16">
        <v>42.528283999999999</v>
      </c>
      <c r="AA40" s="16">
        <v>1E-4</v>
      </c>
      <c r="AB40" s="16">
        <v>2.655314943580394</v>
      </c>
      <c r="AC40" s="16">
        <v>9.000361131175044</v>
      </c>
      <c r="AD40" s="16">
        <v>1.6426339999999999</v>
      </c>
      <c r="AE40" s="16">
        <v>0.39369906643429131</v>
      </c>
      <c r="AF40" s="17">
        <v>0.47154905671617331</v>
      </c>
      <c r="AG40">
        <v>0</v>
      </c>
    </row>
    <row r="41" spans="1:33" x14ac:dyDescent="0.3">
      <c r="A41" s="5">
        <v>40</v>
      </c>
      <c r="B41" t="s">
        <v>151</v>
      </c>
      <c r="C41">
        <v>2150.890547700023</v>
      </c>
      <c r="D41">
        <v>35.84817579500038</v>
      </c>
      <c r="E41" t="s">
        <v>152</v>
      </c>
      <c r="G41" t="s">
        <v>34</v>
      </c>
      <c r="H41" t="s">
        <v>153</v>
      </c>
      <c r="J41" t="s">
        <v>36</v>
      </c>
      <c r="K41">
        <v>4.3342612504510339E-2</v>
      </c>
      <c r="L41">
        <v>0</v>
      </c>
      <c r="M41">
        <v>4.3342612504510339E-2</v>
      </c>
      <c r="N41" t="s">
        <v>17</v>
      </c>
      <c r="O41">
        <v>200</v>
      </c>
      <c r="P41" s="11">
        <v>9.8636369727282558E-5</v>
      </c>
      <c r="Q41">
        <v>1E-4</v>
      </c>
      <c r="R41">
        <v>2000</v>
      </c>
      <c r="S41">
        <v>0.74623867474013073</v>
      </c>
      <c r="T41">
        <v>0.38323233714267452</v>
      </c>
      <c r="U41">
        <v>5.189603952608044</v>
      </c>
      <c r="V41">
        <v>9.6469999999999993E-3</v>
      </c>
      <c r="W41">
        <v>8.5518540000000005</v>
      </c>
      <c r="X41">
        <v>7.1656500000000003</v>
      </c>
      <c r="Y41">
        <v>44.150669999999998</v>
      </c>
      <c r="Z41">
        <v>42.528283999999999</v>
      </c>
      <c r="AA41">
        <v>1E-4</v>
      </c>
      <c r="AB41">
        <v>4.1150732908538794</v>
      </c>
      <c r="AC41">
        <v>2.7688933293668101</v>
      </c>
      <c r="AD41">
        <v>1.6426339999999999</v>
      </c>
      <c r="AE41">
        <v>0.32734243950322528</v>
      </c>
      <c r="AF41" s="6">
        <v>0.53762638576624711</v>
      </c>
      <c r="AG41">
        <v>2</v>
      </c>
    </row>
    <row r="42" spans="1:33" x14ac:dyDescent="0.3">
      <c r="A42" s="5">
        <v>41</v>
      </c>
      <c r="B42" t="s">
        <v>154</v>
      </c>
      <c r="C42">
        <v>801.18145249999361</v>
      </c>
      <c r="D42">
        <v>13.353024208333229</v>
      </c>
      <c r="E42" t="s">
        <v>155</v>
      </c>
      <c r="G42" t="s">
        <v>34</v>
      </c>
      <c r="H42" t="s">
        <v>156</v>
      </c>
      <c r="J42" t="s">
        <v>36</v>
      </c>
      <c r="K42">
        <v>2.8191474311919811E-2</v>
      </c>
      <c r="L42">
        <v>0</v>
      </c>
      <c r="M42">
        <v>2.8191474311919811E-2</v>
      </c>
      <c r="N42" t="s">
        <v>17</v>
      </c>
      <c r="O42">
        <v>121</v>
      </c>
      <c r="P42" s="11">
        <v>9.4974927254155758E-5</v>
      </c>
      <c r="Q42">
        <v>1E-4</v>
      </c>
      <c r="R42">
        <v>2000</v>
      </c>
      <c r="S42">
        <v>0.1100526452209012</v>
      </c>
      <c r="T42">
        <v>4.4252058770277394</v>
      </c>
      <c r="U42">
        <v>0.28387301061526288</v>
      </c>
      <c r="V42">
        <v>9.6469999999999993E-3</v>
      </c>
      <c r="W42">
        <v>8.5518540000000005</v>
      </c>
      <c r="X42">
        <v>7.1656500000000003</v>
      </c>
      <c r="Y42">
        <v>44.150669999999998</v>
      </c>
      <c r="Z42">
        <v>42.528283999999999</v>
      </c>
      <c r="AA42">
        <v>1E-4</v>
      </c>
      <c r="AB42">
        <v>3.181449095176371</v>
      </c>
      <c r="AC42">
        <v>6.3954667337460576</v>
      </c>
      <c r="AD42">
        <v>1.6426339999999999</v>
      </c>
      <c r="AE42">
        <v>0.5828094220948038</v>
      </c>
      <c r="AF42" s="6">
        <v>0.1000003012946015</v>
      </c>
      <c r="AG42">
        <v>1</v>
      </c>
    </row>
    <row r="43" spans="1:33" x14ac:dyDescent="0.3">
      <c r="A43" s="5">
        <v>42</v>
      </c>
      <c r="B43" t="s">
        <v>157</v>
      </c>
      <c r="C43">
        <v>5815.0278800000087</v>
      </c>
      <c r="D43">
        <v>96.917131333333472</v>
      </c>
      <c r="E43" t="s">
        <v>158</v>
      </c>
      <c r="G43" t="s">
        <v>34</v>
      </c>
      <c r="H43" t="s">
        <v>159</v>
      </c>
      <c r="J43" t="s">
        <v>36</v>
      </c>
      <c r="K43">
        <v>1.9750574773232939E-2</v>
      </c>
      <c r="L43">
        <v>0</v>
      </c>
      <c r="M43">
        <v>1.9750574773232939E-2</v>
      </c>
      <c r="N43" t="s">
        <v>17</v>
      </c>
      <c r="O43">
        <v>598</v>
      </c>
      <c r="P43" s="11">
        <v>9.9638696878770399E-5</v>
      </c>
      <c r="Q43">
        <v>1E-4</v>
      </c>
      <c r="R43">
        <v>2000</v>
      </c>
      <c r="S43">
        <v>0.12605952622185199</v>
      </c>
      <c r="T43">
        <v>0.80898060182916187</v>
      </c>
      <c r="U43">
        <v>1.6505552513407891</v>
      </c>
      <c r="V43">
        <v>9.6469999999999993E-3</v>
      </c>
      <c r="W43">
        <v>8.5518540000000005</v>
      </c>
      <c r="X43">
        <v>7.1656500000000003</v>
      </c>
      <c r="Y43">
        <v>44.150669999999998</v>
      </c>
      <c r="Z43">
        <v>42.528283999999999</v>
      </c>
      <c r="AA43">
        <v>1E-4</v>
      </c>
      <c r="AB43">
        <v>6.3464584858163198</v>
      </c>
      <c r="AC43">
        <v>7.2077376194969194</v>
      </c>
      <c r="AD43">
        <v>1.6426339999999999</v>
      </c>
      <c r="AE43">
        <v>0.60668647705468071</v>
      </c>
      <c r="AF43" s="6">
        <v>0.25304596166561011</v>
      </c>
      <c r="AG43">
        <v>2</v>
      </c>
    </row>
    <row r="44" spans="1:33" x14ac:dyDescent="0.3">
      <c r="A44" s="5">
        <v>43</v>
      </c>
      <c r="B44" t="s">
        <v>160</v>
      </c>
      <c r="C44">
        <v>8238.3212055999902</v>
      </c>
      <c r="D44">
        <v>137.3053534266665</v>
      </c>
      <c r="E44" t="s">
        <v>161</v>
      </c>
      <c r="G44" t="s">
        <v>34</v>
      </c>
      <c r="H44" t="s">
        <v>162</v>
      </c>
      <c r="J44" t="s">
        <v>36</v>
      </c>
      <c r="K44">
        <v>1.7189471988636629E-2</v>
      </c>
      <c r="L44">
        <v>0</v>
      </c>
      <c r="M44">
        <v>1.7189471988636629E-2</v>
      </c>
      <c r="N44" t="s">
        <v>17</v>
      </c>
      <c r="O44">
        <v>841</v>
      </c>
      <c r="P44" s="11">
        <v>9.3389779026669382E-5</v>
      </c>
      <c r="Q44">
        <v>1E-4</v>
      </c>
      <c r="R44">
        <v>2000</v>
      </c>
      <c r="S44" s="16">
        <v>7.8883809403219776E-2</v>
      </c>
      <c r="T44" s="16">
        <v>1.989834202392571</v>
      </c>
      <c r="U44" s="16">
        <v>3.1129349638889261</v>
      </c>
      <c r="V44" s="16">
        <v>9.6469999999999993E-3</v>
      </c>
      <c r="W44" s="16">
        <v>8.5518540000000005</v>
      </c>
      <c r="X44" s="16">
        <v>7.1656500000000003</v>
      </c>
      <c r="Y44" s="16">
        <v>44.150669999999998</v>
      </c>
      <c r="Z44" s="16">
        <v>42.528283999999999</v>
      </c>
      <c r="AA44" s="16">
        <v>1E-4</v>
      </c>
      <c r="AB44" s="16">
        <v>2.461554532498798</v>
      </c>
      <c r="AC44" s="16">
        <v>5.9148049494740906</v>
      </c>
      <c r="AD44" s="16">
        <v>1.6426339999999999</v>
      </c>
      <c r="AE44" s="16">
        <v>0.31198441176541619</v>
      </c>
      <c r="AF44" s="17">
        <v>0.52920428717387114</v>
      </c>
      <c r="AG44">
        <v>0</v>
      </c>
    </row>
    <row r="45" spans="1:33" x14ac:dyDescent="0.3">
      <c r="A45" s="5">
        <v>44</v>
      </c>
      <c r="B45" t="s">
        <v>163</v>
      </c>
      <c r="C45">
        <v>1713.080664100009</v>
      </c>
      <c r="D45">
        <v>28.551344401666821</v>
      </c>
      <c r="E45" t="s">
        <v>164</v>
      </c>
      <c r="G45" t="s">
        <v>34</v>
      </c>
      <c r="H45" t="s">
        <v>165</v>
      </c>
      <c r="J45" t="s">
        <v>36</v>
      </c>
      <c r="K45">
        <v>2.5491717737612211E-2</v>
      </c>
      <c r="L45">
        <v>0</v>
      </c>
      <c r="M45">
        <v>2.5491717737612211E-2</v>
      </c>
      <c r="N45" t="s">
        <v>17</v>
      </c>
      <c r="O45">
        <v>277</v>
      </c>
      <c r="P45" s="11">
        <v>8.3926602150845891E-5</v>
      </c>
      <c r="Q45">
        <v>1E-4</v>
      </c>
      <c r="R45">
        <v>2000</v>
      </c>
      <c r="S45">
        <v>0.59027284533395008</v>
      </c>
      <c r="T45">
        <v>0.72967253887345185</v>
      </c>
      <c r="U45">
        <v>5.2004075887518528</v>
      </c>
      <c r="V45">
        <v>9.6469999999999993E-3</v>
      </c>
      <c r="W45">
        <v>8.5518540000000005</v>
      </c>
      <c r="X45">
        <v>7.1656500000000003</v>
      </c>
      <c r="Y45">
        <v>44.150669999999998</v>
      </c>
      <c r="Z45">
        <v>42.528283999999999</v>
      </c>
      <c r="AA45">
        <v>1E-4</v>
      </c>
      <c r="AB45">
        <v>1.992707408782082</v>
      </c>
      <c r="AC45">
        <v>3.7815374174516858</v>
      </c>
      <c r="AD45">
        <v>1.6426339999999999</v>
      </c>
      <c r="AE45">
        <v>0.2097603282626237</v>
      </c>
      <c r="AF45" s="6">
        <v>0.64192898817429889</v>
      </c>
      <c r="AG45">
        <v>2</v>
      </c>
    </row>
    <row r="46" spans="1:33" x14ac:dyDescent="0.3">
      <c r="A46" s="5">
        <v>45</v>
      </c>
      <c r="B46" t="s">
        <v>166</v>
      </c>
      <c r="C46">
        <v>2684.0802187000231</v>
      </c>
      <c r="D46">
        <v>44.734670311667053</v>
      </c>
      <c r="E46" t="s">
        <v>167</v>
      </c>
      <c r="G46" t="s">
        <v>34</v>
      </c>
      <c r="H46" t="s">
        <v>168</v>
      </c>
      <c r="J46" t="s">
        <v>36</v>
      </c>
      <c r="K46">
        <v>4.2273376204148103E-2</v>
      </c>
      <c r="L46">
        <v>0</v>
      </c>
      <c r="M46">
        <v>4.2273376204148103E-2</v>
      </c>
      <c r="N46" t="s">
        <v>17</v>
      </c>
      <c r="O46">
        <v>521</v>
      </c>
      <c r="P46" s="11">
        <v>9.9063731022885248E-5</v>
      </c>
      <c r="Q46">
        <v>1E-4</v>
      </c>
      <c r="R46">
        <v>2000</v>
      </c>
      <c r="S46">
        <v>0.57618409879936505</v>
      </c>
      <c r="T46">
        <v>1.7666765324772551</v>
      </c>
      <c r="U46">
        <v>1.797508525699276</v>
      </c>
      <c r="V46">
        <v>9.6469999999999993E-3</v>
      </c>
      <c r="W46">
        <v>8.5518540000000005</v>
      </c>
      <c r="X46">
        <v>7.1656500000000003</v>
      </c>
      <c r="Y46">
        <v>44.150669999999998</v>
      </c>
      <c r="Z46">
        <v>42.528283999999999</v>
      </c>
      <c r="AA46">
        <v>1E-4</v>
      </c>
      <c r="AB46">
        <v>2.5905178027153131</v>
      </c>
      <c r="AC46">
        <v>1.6255871023536539</v>
      </c>
      <c r="AD46">
        <v>1.6426339999999999</v>
      </c>
      <c r="AE46">
        <v>0.37283516593569932</v>
      </c>
      <c r="AF46" s="6">
        <v>0.54050542640947186</v>
      </c>
      <c r="AG46">
        <v>2</v>
      </c>
    </row>
    <row r="47" spans="1:33" s="28" customFormat="1" x14ac:dyDescent="0.3">
      <c r="A47" s="36">
        <v>46</v>
      </c>
      <c r="B47" s="28" t="s">
        <v>169</v>
      </c>
      <c r="C47" s="28">
        <v>7619.5466100000194</v>
      </c>
      <c r="D47" s="28">
        <v>126.99244350000031</v>
      </c>
      <c r="E47" s="28" t="s">
        <v>170</v>
      </c>
      <c r="G47" s="28" t="s">
        <v>34</v>
      </c>
      <c r="H47" s="28" t="s">
        <v>171</v>
      </c>
      <c r="J47" s="28" t="s">
        <v>36</v>
      </c>
      <c r="K47" s="28">
        <v>6.5581507067984292E-3</v>
      </c>
      <c r="L47" s="28">
        <v>0</v>
      </c>
      <c r="M47" s="28">
        <v>6.5581507067984292E-3</v>
      </c>
      <c r="N47" s="28" t="s">
        <v>17</v>
      </c>
      <c r="O47" s="28">
        <v>792</v>
      </c>
      <c r="P47" s="37">
        <v>9.6617142006042938E-5</v>
      </c>
      <c r="Q47" s="28">
        <v>1E-4</v>
      </c>
      <c r="R47" s="28">
        <v>2000</v>
      </c>
      <c r="S47" s="28">
        <v>0.104120612735653</v>
      </c>
      <c r="T47" s="28">
        <v>0.69987284158389496</v>
      </c>
      <c r="U47" s="28">
        <v>5.2848496376444301</v>
      </c>
      <c r="V47" s="28">
        <v>9.6469999999999993E-3</v>
      </c>
      <c r="W47" s="28">
        <v>8.5518540000000005</v>
      </c>
      <c r="X47" s="28">
        <v>7.1656500000000003</v>
      </c>
      <c r="Y47" s="28">
        <v>44.150669999999998</v>
      </c>
      <c r="Z47" s="28">
        <v>42.528283999999999</v>
      </c>
      <c r="AA47" s="28">
        <v>1E-4</v>
      </c>
      <c r="AB47" s="28">
        <v>4.5556791886315899</v>
      </c>
      <c r="AC47" s="28">
        <v>9.5958568691340407</v>
      </c>
      <c r="AD47" s="28">
        <v>1.6426339999999999</v>
      </c>
      <c r="AE47" s="28">
        <v>0.48521752171947302</v>
      </c>
      <c r="AF47" s="29">
        <v>0.42199546060608201</v>
      </c>
      <c r="AG47" s="28">
        <v>0</v>
      </c>
    </row>
    <row r="48" spans="1:33" x14ac:dyDescent="0.3">
      <c r="A48" s="5">
        <v>47</v>
      </c>
      <c r="B48" t="s">
        <v>172</v>
      </c>
      <c r="C48">
        <v>11826.519732199989</v>
      </c>
      <c r="D48">
        <v>197.1086622033331</v>
      </c>
      <c r="E48" t="s">
        <v>173</v>
      </c>
      <c r="G48" t="s">
        <v>34</v>
      </c>
      <c r="H48" t="s">
        <v>174</v>
      </c>
      <c r="J48" t="s">
        <v>36</v>
      </c>
      <c r="K48">
        <v>1.4965088059449979E-2</v>
      </c>
      <c r="L48">
        <v>0</v>
      </c>
      <c r="M48">
        <v>1.4965088059449979E-2</v>
      </c>
      <c r="N48" t="s">
        <v>17</v>
      </c>
      <c r="O48">
        <v>1095</v>
      </c>
      <c r="P48" s="11">
        <v>5.2661424167271222E-5</v>
      </c>
      <c r="Q48">
        <v>1E-4</v>
      </c>
      <c r="R48">
        <v>2000</v>
      </c>
      <c r="S48">
        <v>0.1532570313800844</v>
      </c>
      <c r="T48">
        <v>4.2858153856020049</v>
      </c>
      <c r="U48">
        <v>2.536698845023122</v>
      </c>
      <c r="V48">
        <v>9.6469999999999993E-3</v>
      </c>
      <c r="W48">
        <v>8.5518540000000005</v>
      </c>
      <c r="X48">
        <v>7.1656500000000003</v>
      </c>
      <c r="Y48">
        <v>44.150669999999998</v>
      </c>
      <c r="Z48">
        <v>42.528283999999999</v>
      </c>
      <c r="AA48">
        <v>1E-4</v>
      </c>
      <c r="AB48">
        <v>1.7310537172207709</v>
      </c>
      <c r="AC48">
        <v>5.6974743605757574</v>
      </c>
      <c r="AD48">
        <v>1.6426339999999999</v>
      </c>
      <c r="AE48">
        <v>0.65340654941529197</v>
      </c>
      <c r="AF48" s="6">
        <v>0.22357163673787189</v>
      </c>
      <c r="AG48">
        <v>2</v>
      </c>
    </row>
    <row r="49" spans="1:33" x14ac:dyDescent="0.3">
      <c r="A49" s="5">
        <v>48</v>
      </c>
      <c r="B49" t="s">
        <v>175</v>
      </c>
      <c r="C49">
        <v>20699.013515099999</v>
      </c>
      <c r="D49">
        <v>344.98355858500003</v>
      </c>
      <c r="E49" t="s">
        <v>176</v>
      </c>
      <c r="G49" t="s">
        <v>34</v>
      </c>
      <c r="H49" t="s">
        <v>177</v>
      </c>
      <c r="J49" t="s">
        <v>36</v>
      </c>
      <c r="K49">
        <v>3.1852124648471078E-2</v>
      </c>
      <c r="L49">
        <v>0</v>
      </c>
      <c r="M49">
        <v>3.1852124648471078E-2</v>
      </c>
      <c r="N49" t="s">
        <v>17</v>
      </c>
      <c r="O49">
        <v>2001</v>
      </c>
      <c r="P49" s="11">
        <v>5.7801786159527798E-4</v>
      </c>
      <c r="Q49">
        <v>1E-4</v>
      </c>
      <c r="R49">
        <v>2000</v>
      </c>
      <c r="S49">
        <v>0.25132863463943572</v>
      </c>
      <c r="T49">
        <v>1.865459686429324</v>
      </c>
      <c r="U49">
        <v>2.1127642458299349</v>
      </c>
      <c r="V49">
        <v>9.6469999999999993E-3</v>
      </c>
      <c r="W49">
        <v>8.5518540000000005</v>
      </c>
      <c r="X49">
        <v>7.1656500000000003</v>
      </c>
      <c r="Y49">
        <v>44.150669999999998</v>
      </c>
      <c r="Z49">
        <v>42.528283999999999</v>
      </c>
      <c r="AA49">
        <v>1E-4</v>
      </c>
      <c r="AB49">
        <v>3.8341718214547158</v>
      </c>
      <c r="AC49">
        <v>9.9996869851837449</v>
      </c>
      <c r="AD49">
        <v>1.6426339999999999</v>
      </c>
      <c r="AE49">
        <v>0.67902187981733841</v>
      </c>
      <c r="AF49" s="6">
        <v>0.22568589986582061</v>
      </c>
      <c r="AG49">
        <v>1</v>
      </c>
    </row>
    <row r="50" spans="1:33" x14ac:dyDescent="0.3">
      <c r="A50" s="5">
        <v>49</v>
      </c>
      <c r="B50" t="s">
        <v>178</v>
      </c>
      <c r="C50">
        <v>4765.2219034000009</v>
      </c>
      <c r="D50">
        <v>79.420365056666682</v>
      </c>
      <c r="E50" t="s">
        <v>179</v>
      </c>
      <c r="G50" t="s">
        <v>34</v>
      </c>
      <c r="H50" t="s">
        <v>180</v>
      </c>
      <c r="J50" t="s">
        <v>36</v>
      </c>
      <c r="K50">
        <v>5.2961521648141233E-2</v>
      </c>
      <c r="L50">
        <v>0</v>
      </c>
      <c r="M50">
        <v>5.2961521648141233E-2</v>
      </c>
      <c r="N50" t="s">
        <v>17</v>
      </c>
      <c r="O50">
        <v>80</v>
      </c>
      <c r="P50" s="11">
        <v>9.4732513920650326E-5</v>
      </c>
      <c r="Q50">
        <v>1E-4</v>
      </c>
      <c r="R50">
        <v>2000</v>
      </c>
      <c r="S50">
        <v>0.1404611143406049</v>
      </c>
      <c r="T50">
        <v>3.6442763566270329</v>
      </c>
      <c r="U50">
        <v>1.0005176361906339E-2</v>
      </c>
      <c r="V50">
        <v>9.6469999999999993E-3</v>
      </c>
      <c r="W50">
        <v>8.5518540000000005</v>
      </c>
      <c r="X50">
        <v>7.1656500000000003</v>
      </c>
      <c r="Y50">
        <v>44.150669999999998</v>
      </c>
      <c r="Z50">
        <v>42.528283999999999</v>
      </c>
      <c r="AA50">
        <v>1E-4</v>
      </c>
      <c r="AB50">
        <v>9.9988425803023429</v>
      </c>
      <c r="AC50">
        <v>8.3897582583256849</v>
      </c>
      <c r="AD50">
        <v>1.6426339999999999</v>
      </c>
      <c r="AE50">
        <v>0.72077261606258325</v>
      </c>
      <c r="AF50" s="6">
        <v>0.1000001033488027</v>
      </c>
      <c r="AG50">
        <v>2</v>
      </c>
    </row>
    <row r="51" spans="1:33" x14ac:dyDescent="0.3">
      <c r="A51" s="7">
        <v>50</v>
      </c>
      <c r="B51" s="8" t="s">
        <v>181</v>
      </c>
      <c r="C51" s="8">
        <v>23030.39911909998</v>
      </c>
      <c r="D51" s="8">
        <v>383.83998531833299</v>
      </c>
      <c r="E51" s="8" t="s">
        <v>182</v>
      </c>
      <c r="F51" s="8"/>
      <c r="G51" s="8" t="s">
        <v>34</v>
      </c>
      <c r="H51" s="8" t="s">
        <v>183</v>
      </c>
      <c r="I51" s="8"/>
      <c r="J51" s="8" t="s">
        <v>36</v>
      </c>
      <c r="K51" s="8">
        <v>2.795408067721538E-2</v>
      </c>
      <c r="L51" s="8">
        <v>0</v>
      </c>
      <c r="M51" s="8">
        <v>2.795408067721538E-2</v>
      </c>
      <c r="N51" s="8" t="s">
        <v>17</v>
      </c>
      <c r="O51" s="8">
        <v>1080</v>
      </c>
      <c r="P51" s="12">
        <v>2.8808391582529199E-5</v>
      </c>
      <c r="Q51" s="8">
        <v>1E-4</v>
      </c>
      <c r="R51" s="8">
        <v>2000</v>
      </c>
      <c r="S51" s="19">
        <v>0.18926287318219631</v>
      </c>
      <c r="T51" s="19">
        <v>2.1183458303736882</v>
      </c>
      <c r="U51" s="19">
        <v>0.7208950141080489</v>
      </c>
      <c r="V51" s="19">
        <v>9.6469999999999993E-3</v>
      </c>
      <c r="W51" s="19">
        <v>8.5518540000000005</v>
      </c>
      <c r="X51" s="19">
        <v>7.1656500000000003</v>
      </c>
      <c r="Y51" s="19">
        <v>44.150669999999998</v>
      </c>
      <c r="Z51" s="19">
        <v>42.528283999999999</v>
      </c>
      <c r="AA51" s="19">
        <v>1E-4</v>
      </c>
      <c r="AB51" s="19">
        <v>4.8733462729098376</v>
      </c>
      <c r="AC51" s="19">
        <v>9.9971870927159774</v>
      </c>
      <c r="AD51" s="19">
        <v>1.6426339999999999</v>
      </c>
      <c r="AE51" s="19">
        <v>0.54004090963627938</v>
      </c>
      <c r="AF51" s="20">
        <v>0.2783457776910146</v>
      </c>
      <c r="AG51">
        <v>0</v>
      </c>
    </row>
    <row r="53" spans="1:33" x14ac:dyDescent="0.3">
      <c r="K53">
        <f>MIN(K2:K51)</f>
        <v>6.5581507067984292E-3</v>
      </c>
      <c r="S53">
        <f>AVERAGE(S2:S51)</f>
        <v>0.25738966483908388</v>
      </c>
      <c r="T53">
        <f t="shared" ref="T53:AF53" si="0">AVERAGE(T2:T51)</f>
        <v>2.0372200214497731</v>
      </c>
      <c r="U53">
        <f t="shared" si="0"/>
        <v>3.041773907244171</v>
      </c>
      <c r="AB53">
        <f t="shared" si="0"/>
        <v>3.6388165954822811</v>
      </c>
      <c r="AC53">
        <f t="shared" si="0"/>
        <v>7.0958930969653684</v>
      </c>
      <c r="AE53">
        <f t="shared" si="0"/>
        <v>0.43242131484063928</v>
      </c>
      <c r="AF53">
        <f t="shared" si="0"/>
        <v>0.44421546170083981</v>
      </c>
    </row>
    <row r="54" spans="1:33" x14ac:dyDescent="0.3">
      <c r="S54">
        <f>STDEVA(S2:S51)</f>
        <v>0.20065849855659187</v>
      </c>
      <c r="T54">
        <f t="shared" ref="T54:AF54" si="1">STDEVA(T2:T51)</f>
        <v>1.2892875694282213</v>
      </c>
      <c r="U54">
        <f t="shared" si="1"/>
        <v>2.4960476819747823</v>
      </c>
      <c r="AB54">
        <f t="shared" si="1"/>
        <v>1.9437923710138838</v>
      </c>
      <c r="AC54">
        <f t="shared" si="1"/>
        <v>2.7954726459813446</v>
      </c>
      <c r="AE54">
        <f t="shared" si="1"/>
        <v>0.16826592298232318</v>
      </c>
      <c r="AF54">
        <f t="shared" si="1"/>
        <v>0.20131704862738331</v>
      </c>
    </row>
    <row r="75" spans="25:33" x14ac:dyDescent="0.3">
      <c r="Z75" s="34" t="s">
        <v>18</v>
      </c>
      <c r="AA75" s="34" t="s">
        <v>19</v>
      </c>
      <c r="AB75" s="34" t="s">
        <v>20</v>
      </c>
      <c r="AC75" s="34" t="s">
        <v>27</v>
      </c>
      <c r="AD75" s="34" t="s">
        <v>28</v>
      </c>
      <c r="AE75" s="34" t="s">
        <v>30</v>
      </c>
      <c r="AF75" s="34" t="s">
        <v>31</v>
      </c>
    </row>
    <row r="76" spans="25:33" x14ac:dyDescent="0.3">
      <c r="Y76" t="s">
        <v>194</v>
      </c>
      <c r="Z76" s="35">
        <f>S53</f>
        <v>0.25738966483908388</v>
      </c>
      <c r="AA76" s="35">
        <f t="shared" ref="AA76:AM76" si="2">T53</f>
        <v>2.0372200214497731</v>
      </c>
      <c r="AB76" s="35">
        <f t="shared" si="2"/>
        <v>3.041773907244171</v>
      </c>
      <c r="AC76" s="35">
        <f>AB53</f>
        <v>3.6388165954822811</v>
      </c>
      <c r="AD76" s="35">
        <f>AC53</f>
        <v>7.0958930969653684</v>
      </c>
      <c r="AE76" s="35">
        <f>AE53</f>
        <v>0.43242131484063928</v>
      </c>
      <c r="AF76" s="35">
        <f>AF53</f>
        <v>0.44421546170083981</v>
      </c>
      <c r="AG76" s="33"/>
    </row>
    <row r="77" spans="25:33" x14ac:dyDescent="0.3">
      <c r="Y77" t="s">
        <v>195</v>
      </c>
      <c r="Z77" s="35">
        <f>S54</f>
        <v>0.20065849855659187</v>
      </c>
      <c r="AA77" s="35">
        <f t="shared" ref="AA77:AM77" si="3">T54</f>
        <v>1.2892875694282213</v>
      </c>
      <c r="AB77" s="35">
        <f t="shared" si="3"/>
        <v>2.4960476819747823</v>
      </c>
      <c r="AC77" s="35">
        <f>AB54</f>
        <v>1.9437923710138838</v>
      </c>
      <c r="AD77" s="35">
        <f>AC54</f>
        <v>2.7954726459813446</v>
      </c>
      <c r="AE77" s="35">
        <f>AE54</f>
        <v>0.16826592298232318</v>
      </c>
      <c r="AF77" s="35">
        <f>AF54</f>
        <v>0.20131704862738331</v>
      </c>
      <c r="AG77" s="33"/>
    </row>
  </sheetData>
  <conditionalFormatting sqref="P2:P51">
    <cfRule type="cellIs" dxfId="33" priority="20" operator="greaterThan">
      <formula>0.0001</formula>
    </cfRule>
  </conditionalFormatting>
  <conditionalFormatting sqref="S2:S51">
    <cfRule type="top10" dxfId="32" priority="8" percent="1" rank="15"/>
  </conditionalFormatting>
  <conditionalFormatting sqref="T2:T51">
    <cfRule type="top10" dxfId="31" priority="7" percent="1" rank="15"/>
  </conditionalFormatting>
  <conditionalFormatting sqref="U2:U51">
    <cfRule type="top10" dxfId="30" priority="6" percent="1" rank="15"/>
  </conditionalFormatting>
  <conditionalFormatting sqref="AB2:AB51">
    <cfRule type="top10" dxfId="29" priority="5" percent="1" rank="15"/>
  </conditionalFormatting>
  <conditionalFormatting sqref="AC2:AC51">
    <cfRule type="top10" dxfId="28" priority="1" percent="1" bottom="1" rank="15"/>
  </conditionalFormatting>
  <conditionalFormatting sqref="AE2:AE51">
    <cfRule type="top10" dxfId="27" priority="3" percent="1" rank="15"/>
  </conditionalFormatting>
  <conditionalFormatting sqref="AF2:AF51">
    <cfRule type="top10" dxfId="26" priority="2" percent="1" rank="15"/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16613-F55F-4B3B-BA65-706A25AB561D}">
  <sheetPr filterMode="1"/>
  <dimension ref="A1:AG54"/>
  <sheetViews>
    <sheetView topLeftCell="N64" zoomScale="90" zoomScaleNormal="90" workbookViewId="0">
      <selection activeCell="Q80" sqref="Q80"/>
    </sheetView>
  </sheetViews>
  <sheetFormatPr baseColWidth="10" defaultColWidth="8.88671875" defaultRowHeight="14.4" x14ac:dyDescent="0.3"/>
  <cols>
    <col min="2" max="2" width="19.77734375" bestFit="1" customWidth="1"/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3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22">
        <v>0.49122929896424561</v>
      </c>
      <c r="T2" s="14">
        <v>1.5270804877388759</v>
      </c>
      <c r="U2" s="14">
        <v>1.9259065797858199</v>
      </c>
      <c r="V2" s="14">
        <v>9.6469999999999993E-3</v>
      </c>
      <c r="W2" s="14">
        <v>8.5518540000000005</v>
      </c>
      <c r="X2" s="14">
        <v>7.1656500000000003</v>
      </c>
      <c r="Y2" s="14">
        <v>44.150669999999998</v>
      </c>
      <c r="Z2" s="14">
        <v>42.528283999999999</v>
      </c>
      <c r="AA2" s="14">
        <v>1E-4</v>
      </c>
      <c r="AB2" s="14">
        <v>3.3107923860306911</v>
      </c>
      <c r="AC2" s="14">
        <v>6.1597599245610413</v>
      </c>
      <c r="AD2" s="14">
        <v>1.6426339999999999</v>
      </c>
      <c r="AE2" s="14">
        <v>0.31022465459519422</v>
      </c>
      <c r="AF2" s="15">
        <v>0.54665308919257394</v>
      </c>
    </row>
    <row r="3" spans="1:33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 s="2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  <c r="AG3">
        <v>1</v>
      </c>
    </row>
    <row r="4" spans="1:33" hidden="1" x14ac:dyDescent="0.3">
      <c r="A4" s="5">
        <v>3</v>
      </c>
      <c r="B4" t="s">
        <v>40</v>
      </c>
      <c r="C4">
        <v>2074.364482399978</v>
      </c>
      <c r="D4">
        <v>34.572741373332967</v>
      </c>
      <c r="E4" t="s">
        <v>41</v>
      </c>
      <c r="G4" t="s">
        <v>34</v>
      </c>
      <c r="H4" t="s">
        <v>42</v>
      </c>
      <c r="J4" t="s">
        <v>36</v>
      </c>
      <c r="K4">
        <v>3.0480169477601991E-2</v>
      </c>
      <c r="L4">
        <v>0</v>
      </c>
      <c r="M4">
        <v>3.0480169477601991E-2</v>
      </c>
      <c r="N4" t="s">
        <v>17</v>
      </c>
      <c r="O4">
        <v>198</v>
      </c>
      <c r="P4" s="11">
        <v>9.6730838317541095E-5</v>
      </c>
      <c r="Q4">
        <v>1E-4</v>
      </c>
      <c r="R4">
        <v>2000</v>
      </c>
      <c r="S4">
        <v>0.20492223174306631</v>
      </c>
      <c r="T4">
        <v>0.23553543382017861</v>
      </c>
      <c r="U4">
        <v>8.5432001351057245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2.968285090383584</v>
      </c>
      <c r="AC4">
        <v>8.643858849268673</v>
      </c>
      <c r="AD4">
        <v>1.6426339999999999</v>
      </c>
      <c r="AE4">
        <v>0.1259136526766475</v>
      </c>
      <c r="AF4" s="6">
        <v>0.59741654275506184</v>
      </c>
      <c r="AG4">
        <v>1</v>
      </c>
    </row>
    <row r="5" spans="1:33" x14ac:dyDescent="0.3">
      <c r="A5" s="5">
        <v>4</v>
      </c>
      <c r="B5" t="s">
        <v>43</v>
      </c>
      <c r="C5">
        <v>7318.5311609999917</v>
      </c>
      <c r="D5">
        <v>121.9755193499999</v>
      </c>
      <c r="E5" t="s">
        <v>44</v>
      </c>
      <c r="G5" t="s">
        <v>34</v>
      </c>
      <c r="H5" t="s">
        <v>45</v>
      </c>
      <c r="J5" t="s">
        <v>36</v>
      </c>
      <c r="K5">
        <v>1.9154109697566511E-2</v>
      </c>
      <c r="L5">
        <v>0</v>
      </c>
      <c r="M5">
        <v>1.9154109697566511E-2</v>
      </c>
      <c r="N5" t="s">
        <v>17</v>
      </c>
      <c r="O5">
        <v>170</v>
      </c>
      <c r="P5" s="11">
        <v>9.9770959924361978E-5</v>
      </c>
      <c r="Q5">
        <v>1E-4</v>
      </c>
      <c r="R5">
        <v>2000</v>
      </c>
      <c r="S5" s="24">
        <v>0.23867230327866931</v>
      </c>
      <c r="T5" s="16">
        <v>1.4789405335040691</v>
      </c>
      <c r="U5" s="16">
        <v>1.137318705859411</v>
      </c>
      <c r="V5" s="16">
        <v>9.6469999999999993E-3</v>
      </c>
      <c r="W5" s="16">
        <v>8.5518540000000005</v>
      </c>
      <c r="X5" s="16">
        <v>7.1656500000000003</v>
      </c>
      <c r="Y5" s="16">
        <v>44.150669999999998</v>
      </c>
      <c r="Z5" s="16">
        <v>42.528283999999999</v>
      </c>
      <c r="AA5" s="16">
        <v>1E-4</v>
      </c>
      <c r="AB5" s="16">
        <v>4.7487233770171322</v>
      </c>
      <c r="AC5" s="16">
        <v>5.5804137605699884</v>
      </c>
      <c r="AD5" s="16">
        <v>1.6426339999999999</v>
      </c>
      <c r="AE5" s="16">
        <v>0.35821627237548298</v>
      </c>
      <c r="AF5" s="17">
        <v>0.60828105216998085</v>
      </c>
      <c r="AG5">
        <v>0</v>
      </c>
    </row>
    <row r="6" spans="1:33" x14ac:dyDescent="0.3">
      <c r="A6" s="5">
        <v>5</v>
      </c>
      <c r="B6" t="s">
        <v>46</v>
      </c>
      <c r="C6">
        <v>7374.550728000002</v>
      </c>
      <c r="D6">
        <v>122.90917880000001</v>
      </c>
      <c r="E6" t="s">
        <v>47</v>
      </c>
      <c r="G6" t="s">
        <v>34</v>
      </c>
      <c r="H6" t="s">
        <v>48</v>
      </c>
      <c r="J6" t="s">
        <v>36</v>
      </c>
      <c r="K6">
        <v>3.4835567092652363E-2</v>
      </c>
      <c r="L6">
        <v>0</v>
      </c>
      <c r="M6">
        <v>3.4835567092652363E-2</v>
      </c>
      <c r="N6" t="s">
        <v>17</v>
      </c>
      <c r="O6">
        <v>820</v>
      </c>
      <c r="P6" s="11">
        <v>8.9495828330964918E-5</v>
      </c>
      <c r="Q6">
        <v>1E-4</v>
      </c>
      <c r="R6">
        <v>2000</v>
      </c>
      <c r="S6" s="25">
        <v>0.2215474581717817</v>
      </c>
      <c r="T6" s="16">
        <v>1.7632632704774971</v>
      </c>
      <c r="U6" s="16">
        <v>3.8822158056424811</v>
      </c>
      <c r="V6" s="16">
        <v>9.6469999999999993E-3</v>
      </c>
      <c r="W6" s="16">
        <v>8.5518540000000005</v>
      </c>
      <c r="X6" s="16">
        <v>7.1656500000000003</v>
      </c>
      <c r="Y6" s="16">
        <v>44.150669999999998</v>
      </c>
      <c r="Z6" s="16">
        <v>42.528283999999999</v>
      </c>
      <c r="AA6" s="16">
        <v>1E-4</v>
      </c>
      <c r="AB6" s="16">
        <v>2.5366740295826569</v>
      </c>
      <c r="AC6" s="16">
        <v>7.0276789570579181</v>
      </c>
      <c r="AD6" s="16">
        <v>1.6426339999999999</v>
      </c>
      <c r="AE6" s="16">
        <v>0.58980414277809312</v>
      </c>
      <c r="AF6" s="17">
        <v>0.29932090289880298</v>
      </c>
      <c r="AG6">
        <v>0</v>
      </c>
    </row>
    <row r="7" spans="1:33" x14ac:dyDescent="0.3">
      <c r="A7" s="5">
        <v>6</v>
      </c>
      <c r="B7" t="s">
        <v>49</v>
      </c>
      <c r="C7">
        <v>5694.3620688000228</v>
      </c>
      <c r="D7">
        <v>94.906034480000386</v>
      </c>
      <c r="E7" t="s">
        <v>50</v>
      </c>
      <c r="G7" t="s">
        <v>34</v>
      </c>
      <c r="H7" t="s">
        <v>51</v>
      </c>
      <c r="J7" t="s">
        <v>36</v>
      </c>
      <c r="K7">
        <v>1.2291011892049669E-2</v>
      </c>
      <c r="L7">
        <v>0</v>
      </c>
      <c r="M7">
        <v>1.2291011892049669E-2</v>
      </c>
      <c r="N7" t="s">
        <v>17</v>
      </c>
      <c r="O7">
        <v>378</v>
      </c>
      <c r="P7" s="11">
        <v>9.7765343569708419E-5</v>
      </c>
      <c r="Q7">
        <v>1E-4</v>
      </c>
      <c r="R7">
        <v>2000</v>
      </c>
      <c r="S7" s="25">
        <v>7.1046409533329261E-2</v>
      </c>
      <c r="T7" s="16">
        <v>3.3738439668184652</v>
      </c>
      <c r="U7" s="16">
        <v>2.3322033875726329</v>
      </c>
      <c r="V7" s="16">
        <v>9.6469999999999993E-3</v>
      </c>
      <c r="W7" s="16">
        <v>8.5518540000000005</v>
      </c>
      <c r="X7" s="16">
        <v>7.1656500000000003</v>
      </c>
      <c r="Y7" s="16">
        <v>44.150669999999998</v>
      </c>
      <c r="Z7" s="16">
        <v>42.528283999999999</v>
      </c>
      <c r="AA7" s="16">
        <v>1E-4</v>
      </c>
      <c r="AB7" s="16">
        <v>2.1760985567100839</v>
      </c>
      <c r="AC7" s="16">
        <v>7.3611499471052522</v>
      </c>
      <c r="AD7" s="16">
        <v>1.6426339999999999</v>
      </c>
      <c r="AE7" s="16">
        <v>0.42272115248163261</v>
      </c>
      <c r="AF7" s="17">
        <v>0.41214687694987062</v>
      </c>
      <c r="AG7">
        <v>0</v>
      </c>
    </row>
    <row r="8" spans="1:33" x14ac:dyDescent="0.3">
      <c r="A8" s="5">
        <v>7</v>
      </c>
      <c r="B8" t="s">
        <v>52</v>
      </c>
      <c r="C8">
        <v>15231.7497136</v>
      </c>
      <c r="D8">
        <v>253.86249522666671</v>
      </c>
      <c r="E8" t="s">
        <v>53</v>
      </c>
      <c r="G8" t="s">
        <v>34</v>
      </c>
      <c r="H8" t="s">
        <v>54</v>
      </c>
      <c r="J8" t="s">
        <v>36</v>
      </c>
      <c r="K8">
        <v>1.057828657334144E-2</v>
      </c>
      <c r="L8">
        <v>0</v>
      </c>
      <c r="M8">
        <v>1.057828657334144E-2</v>
      </c>
      <c r="N8" t="s">
        <v>17</v>
      </c>
      <c r="O8">
        <v>2001</v>
      </c>
      <c r="P8" s="11">
        <v>8.4329416212390856E-4</v>
      </c>
      <c r="Q8">
        <v>1E-4</v>
      </c>
      <c r="R8">
        <v>2000</v>
      </c>
      <c r="S8" s="26">
        <v>0.1297696297226717</v>
      </c>
      <c r="T8">
        <v>1.100316472242042</v>
      </c>
      <c r="U8">
        <v>3.2764644886323269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2.1972924445174771</v>
      </c>
      <c r="AC8">
        <v>5.6254618072746307</v>
      </c>
      <c r="AD8">
        <v>1.6426339999999999</v>
      </c>
      <c r="AE8">
        <v>0.22361832346956681</v>
      </c>
      <c r="AF8" s="6">
        <v>0.72267916407755917</v>
      </c>
      <c r="AG8">
        <v>1</v>
      </c>
    </row>
    <row r="9" spans="1:33" hidden="1" x14ac:dyDescent="0.3">
      <c r="A9" s="5">
        <v>8</v>
      </c>
      <c r="B9" t="s">
        <v>55</v>
      </c>
      <c r="C9">
        <v>1172.7976606000159</v>
      </c>
      <c r="D9">
        <v>19.54662767666693</v>
      </c>
      <c r="E9" t="s">
        <v>56</v>
      </c>
      <c r="G9" t="s">
        <v>34</v>
      </c>
      <c r="H9" t="s">
        <v>57</v>
      </c>
      <c r="J9" t="s">
        <v>36</v>
      </c>
      <c r="K9">
        <v>4.4329000736589151E-2</v>
      </c>
      <c r="L9">
        <v>0</v>
      </c>
      <c r="M9">
        <v>4.4329000736589151E-2</v>
      </c>
      <c r="N9" t="s">
        <v>17</v>
      </c>
      <c r="O9">
        <v>190</v>
      </c>
      <c r="P9" s="11">
        <v>9.8783236932635694E-5</v>
      </c>
      <c r="Q9">
        <v>1E-4</v>
      </c>
      <c r="R9">
        <v>2000</v>
      </c>
      <c r="S9" s="13">
        <v>0.14297876206247159</v>
      </c>
      <c r="T9">
        <v>0.4518752531907364</v>
      </c>
      <c r="U9">
        <v>2.9046386223428819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8.0880288968246639</v>
      </c>
      <c r="AC9">
        <v>0.10024870399304101</v>
      </c>
      <c r="AD9">
        <v>1.6426339999999999</v>
      </c>
      <c r="AE9">
        <v>0.58861342323341403</v>
      </c>
      <c r="AF9" s="6">
        <v>0.44198863174540948</v>
      </c>
      <c r="AG9">
        <v>2</v>
      </c>
    </row>
    <row r="10" spans="1:33" x14ac:dyDescent="0.3">
      <c r="A10" s="5">
        <v>9</v>
      </c>
      <c r="B10" t="s">
        <v>58</v>
      </c>
      <c r="C10">
        <v>2026.802363299998</v>
      </c>
      <c r="D10">
        <v>33.780039388333293</v>
      </c>
      <c r="E10" t="s">
        <v>59</v>
      </c>
      <c r="G10" t="s">
        <v>34</v>
      </c>
      <c r="H10" t="s">
        <v>60</v>
      </c>
      <c r="J10" t="s">
        <v>36</v>
      </c>
      <c r="K10">
        <v>2.0507348618881031E-2</v>
      </c>
      <c r="L10">
        <v>0</v>
      </c>
      <c r="M10">
        <v>2.0507348618881031E-2</v>
      </c>
      <c r="N10" t="s">
        <v>17</v>
      </c>
      <c r="O10">
        <v>301</v>
      </c>
      <c r="P10" s="11">
        <v>9.8301866082106659E-5</v>
      </c>
      <c r="Q10">
        <v>1E-4</v>
      </c>
      <c r="R10">
        <v>2000</v>
      </c>
      <c r="S10" s="25">
        <v>0.2312320810462489</v>
      </c>
      <c r="T10" s="16">
        <v>1.718642886072322</v>
      </c>
      <c r="U10" s="16">
        <v>2.997279945587831</v>
      </c>
      <c r="V10" s="16">
        <v>9.6469999999999993E-3</v>
      </c>
      <c r="W10" s="16">
        <v>8.5518540000000005</v>
      </c>
      <c r="X10" s="16">
        <v>7.1656500000000003</v>
      </c>
      <c r="Y10" s="16">
        <v>44.150669999999998</v>
      </c>
      <c r="Z10" s="16">
        <v>42.528283999999999</v>
      </c>
      <c r="AA10" s="16">
        <v>1E-4</v>
      </c>
      <c r="AB10" s="16">
        <v>2.3541994629890439</v>
      </c>
      <c r="AC10" s="16">
        <v>8.2355175536869432</v>
      </c>
      <c r="AD10" s="16">
        <v>1.6426339999999999</v>
      </c>
      <c r="AE10" s="16">
        <v>0.33402337444756869</v>
      </c>
      <c r="AF10" s="17">
        <v>0.52953327715501552</v>
      </c>
      <c r="AG10">
        <v>1</v>
      </c>
    </row>
    <row r="11" spans="1:33" hidden="1" x14ac:dyDescent="0.3">
      <c r="A11" s="5">
        <v>10</v>
      </c>
      <c r="B11" t="s">
        <v>61</v>
      </c>
      <c r="C11">
        <v>1530.2371418999969</v>
      </c>
      <c r="D11">
        <v>25.503952364999961</v>
      </c>
      <c r="E11" t="s">
        <v>62</v>
      </c>
      <c r="G11" t="s">
        <v>34</v>
      </c>
      <c r="H11" t="s">
        <v>63</v>
      </c>
      <c r="J11" t="s">
        <v>36</v>
      </c>
      <c r="K11">
        <v>1.1969113477333331E-2</v>
      </c>
      <c r="L11">
        <v>0</v>
      </c>
      <c r="M11">
        <v>1.1969113477333331E-2</v>
      </c>
      <c r="N11" t="s">
        <v>17</v>
      </c>
      <c r="O11">
        <v>139</v>
      </c>
      <c r="P11" s="11">
        <v>8.1968711594551565E-5</v>
      </c>
      <c r="Q11">
        <v>1E-4</v>
      </c>
      <c r="R11">
        <v>2000</v>
      </c>
      <c r="S11" s="13">
        <v>6.725487547653651E-2</v>
      </c>
      <c r="T11">
        <v>1.0803477171264659</v>
      </c>
      <c r="U11">
        <v>6.1542765257035938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5.9549315289016196</v>
      </c>
      <c r="AC11">
        <v>6.9661198977461716</v>
      </c>
      <c r="AD11">
        <v>1.6426339999999999</v>
      </c>
      <c r="AE11">
        <v>0.61744467411003801</v>
      </c>
      <c r="AF11" s="6">
        <v>0.31994190888732188</v>
      </c>
      <c r="AG11">
        <v>3</v>
      </c>
    </row>
    <row r="12" spans="1:33" x14ac:dyDescent="0.3">
      <c r="A12" s="5">
        <v>11</v>
      </c>
      <c r="B12" t="s">
        <v>64</v>
      </c>
      <c r="C12">
        <v>5786.3767086000007</v>
      </c>
      <c r="D12">
        <v>96.439611810000017</v>
      </c>
      <c r="E12" t="s">
        <v>65</v>
      </c>
      <c r="G12" t="s">
        <v>34</v>
      </c>
      <c r="H12" t="s">
        <v>66</v>
      </c>
      <c r="J12" t="s">
        <v>36</v>
      </c>
      <c r="K12">
        <v>2.4991082200323301E-2</v>
      </c>
      <c r="L12">
        <v>0</v>
      </c>
      <c r="M12">
        <v>2.4991082200323301E-2</v>
      </c>
      <c r="N12" t="s">
        <v>17</v>
      </c>
      <c r="O12">
        <v>283</v>
      </c>
      <c r="P12" s="11">
        <v>9.8613290712376561E-5</v>
      </c>
      <c r="Q12">
        <v>1E-4</v>
      </c>
      <c r="R12">
        <v>2000</v>
      </c>
      <c r="S12" s="25">
        <v>0.35445682383815608</v>
      </c>
      <c r="T12" s="16">
        <v>2.895646996567776</v>
      </c>
      <c r="U12" s="16">
        <v>2.4417178876658232</v>
      </c>
      <c r="V12" s="16">
        <v>9.6469999999999993E-3</v>
      </c>
      <c r="W12" s="16">
        <v>8.5518540000000005</v>
      </c>
      <c r="X12" s="16">
        <v>7.1656500000000003</v>
      </c>
      <c r="Y12" s="16">
        <v>44.150669999999998</v>
      </c>
      <c r="Z12" s="16">
        <v>42.528283999999999</v>
      </c>
      <c r="AA12" s="16">
        <v>1E-4</v>
      </c>
      <c r="AB12" s="16">
        <v>2.0720119469016951</v>
      </c>
      <c r="AC12" s="16">
        <v>8.140244314273005</v>
      </c>
      <c r="AD12" s="16">
        <v>1.6426339999999999</v>
      </c>
      <c r="AE12" s="16">
        <v>0.43603437708916032</v>
      </c>
      <c r="AF12" s="17">
        <v>0.4738792844859725</v>
      </c>
      <c r="AG12">
        <v>0</v>
      </c>
    </row>
    <row r="13" spans="1:33" x14ac:dyDescent="0.3">
      <c r="A13" s="5">
        <v>12</v>
      </c>
      <c r="B13" t="s">
        <v>67</v>
      </c>
      <c r="C13">
        <v>28266.52760229999</v>
      </c>
      <c r="D13">
        <v>471.10879337166648</v>
      </c>
      <c r="E13" t="s">
        <v>68</v>
      </c>
      <c r="G13" t="s">
        <v>34</v>
      </c>
      <c r="H13" t="s">
        <v>69</v>
      </c>
      <c r="J13" t="s">
        <v>36</v>
      </c>
      <c r="K13">
        <v>2.3834521668663389E-2</v>
      </c>
      <c r="L13">
        <v>0</v>
      </c>
      <c r="M13">
        <v>2.3834521668663389E-2</v>
      </c>
      <c r="N13" t="s">
        <v>17</v>
      </c>
      <c r="O13">
        <v>2001</v>
      </c>
      <c r="P13" s="11">
        <v>3.0236792461020489E-3</v>
      </c>
      <c r="Q13">
        <v>1E-4</v>
      </c>
      <c r="R13">
        <v>2000</v>
      </c>
      <c r="S13" s="25">
        <v>0.1937974998036483</v>
      </c>
      <c r="T13" s="16">
        <v>1.305003992855698</v>
      </c>
      <c r="U13" s="16">
        <v>2.162669253941381</v>
      </c>
      <c r="V13" s="16">
        <v>9.6469999999999993E-3</v>
      </c>
      <c r="W13" s="16">
        <v>8.5518540000000005</v>
      </c>
      <c r="X13" s="16">
        <v>7.1656500000000003</v>
      </c>
      <c r="Y13" s="16">
        <v>44.150669999999998</v>
      </c>
      <c r="Z13" s="16">
        <v>42.528283999999999</v>
      </c>
      <c r="AA13" s="16">
        <v>1E-4</v>
      </c>
      <c r="AB13" s="16">
        <v>3.5333794506754348</v>
      </c>
      <c r="AC13" s="16">
        <v>9.9584996242521857</v>
      </c>
      <c r="AD13" s="16">
        <v>1.6426339999999999</v>
      </c>
      <c r="AE13" s="16">
        <v>0.27490580520813779</v>
      </c>
      <c r="AF13" s="17">
        <v>0.59371405082027096</v>
      </c>
      <c r="AG13">
        <v>0</v>
      </c>
    </row>
    <row r="14" spans="1:33" x14ac:dyDescent="0.3">
      <c r="A14" s="5">
        <v>13</v>
      </c>
      <c r="B14" t="s">
        <v>70</v>
      </c>
      <c r="C14">
        <v>5024.0627505999873</v>
      </c>
      <c r="D14">
        <v>83.734379176666451</v>
      </c>
      <c r="E14" t="s">
        <v>71</v>
      </c>
      <c r="G14" t="s">
        <v>34</v>
      </c>
      <c r="H14" t="s">
        <v>72</v>
      </c>
      <c r="J14" t="s">
        <v>36</v>
      </c>
      <c r="K14">
        <v>4.075483124784126E-2</v>
      </c>
      <c r="L14">
        <v>0</v>
      </c>
      <c r="M14">
        <v>4.075483124784126E-2</v>
      </c>
      <c r="N14" t="s">
        <v>17</v>
      </c>
      <c r="O14">
        <v>163</v>
      </c>
      <c r="P14" s="11">
        <v>9.4957242368113107E-5</v>
      </c>
      <c r="Q14">
        <v>1E-4</v>
      </c>
      <c r="R14">
        <v>2000</v>
      </c>
      <c r="S14" s="25">
        <v>0.47507925889546099</v>
      </c>
      <c r="T14" s="16">
        <v>1.7942830917244461</v>
      </c>
      <c r="U14" s="16">
        <v>1.536080827207515</v>
      </c>
      <c r="V14" s="16">
        <v>9.6469999999999993E-3</v>
      </c>
      <c r="W14" s="16">
        <v>8.5518540000000005</v>
      </c>
      <c r="X14" s="16">
        <v>7.1656500000000003</v>
      </c>
      <c r="Y14" s="16">
        <v>44.150669999999998</v>
      </c>
      <c r="Z14" s="16">
        <v>42.528283999999999</v>
      </c>
      <c r="AA14" s="16">
        <v>1E-4</v>
      </c>
      <c r="AB14" s="16">
        <v>3.0630033486266108</v>
      </c>
      <c r="AC14" s="16">
        <v>9.8713319233272756</v>
      </c>
      <c r="AD14" s="16">
        <v>1.6426339999999999</v>
      </c>
      <c r="AE14" s="16">
        <v>0.45417614586722482</v>
      </c>
      <c r="AF14" s="17">
        <v>0.37020863228583628</v>
      </c>
      <c r="AG14">
        <v>0</v>
      </c>
    </row>
    <row r="15" spans="1:33" x14ac:dyDescent="0.3">
      <c r="A15" s="5">
        <v>14</v>
      </c>
      <c r="B15" t="s">
        <v>73</v>
      </c>
      <c r="C15">
        <v>5644.6686482999939</v>
      </c>
      <c r="D15">
        <v>94.077810804999899</v>
      </c>
      <c r="E15" t="s">
        <v>74</v>
      </c>
      <c r="G15" t="s">
        <v>34</v>
      </c>
      <c r="H15" t="s">
        <v>75</v>
      </c>
      <c r="J15" t="s">
        <v>36</v>
      </c>
      <c r="K15">
        <v>2.3393480287682549E-2</v>
      </c>
      <c r="L15">
        <v>0</v>
      </c>
      <c r="M15">
        <v>2.3393480287682549E-2</v>
      </c>
      <c r="N15" t="s">
        <v>17</v>
      </c>
      <c r="O15">
        <v>593</v>
      </c>
      <c r="P15" s="11">
        <v>9.994242130357086E-5</v>
      </c>
      <c r="Q15">
        <v>1E-4</v>
      </c>
      <c r="R15">
        <v>2000</v>
      </c>
      <c r="S15" s="24">
        <v>0.1400943037433009</v>
      </c>
      <c r="T15" s="16">
        <v>2.5765714714097321</v>
      </c>
      <c r="U15" s="16">
        <v>2.8573243947471481</v>
      </c>
      <c r="V15" s="16">
        <v>9.6469999999999993E-3</v>
      </c>
      <c r="W15" s="16">
        <v>8.5518540000000005</v>
      </c>
      <c r="X15" s="16">
        <v>7.1656500000000003</v>
      </c>
      <c r="Y15" s="16">
        <v>44.150669999999998</v>
      </c>
      <c r="Z15" s="16">
        <v>42.528283999999999</v>
      </c>
      <c r="AA15" s="16">
        <v>1E-4</v>
      </c>
      <c r="AB15" s="16">
        <v>1.945967410891327</v>
      </c>
      <c r="AC15" s="16">
        <v>9.9831868103195394</v>
      </c>
      <c r="AD15" s="16">
        <v>1.6426339999999999</v>
      </c>
      <c r="AE15" s="16">
        <v>0.34218172241272238</v>
      </c>
      <c r="AF15" s="17">
        <v>0.51117062692806203</v>
      </c>
      <c r="AG15">
        <v>0</v>
      </c>
    </row>
    <row r="16" spans="1:33" hidden="1" x14ac:dyDescent="0.3">
      <c r="A16" s="5">
        <v>15</v>
      </c>
      <c r="B16" t="s">
        <v>76</v>
      </c>
      <c r="C16">
        <v>3150.2680907000031</v>
      </c>
      <c r="D16">
        <v>52.504468178333383</v>
      </c>
      <c r="E16" t="s">
        <v>77</v>
      </c>
      <c r="G16" t="s">
        <v>34</v>
      </c>
      <c r="H16" t="s">
        <v>78</v>
      </c>
      <c r="J16" t="s">
        <v>36</v>
      </c>
      <c r="K16">
        <v>4.8792226569489602E-2</v>
      </c>
      <c r="L16">
        <v>0</v>
      </c>
      <c r="M16">
        <v>4.8792226569489602E-2</v>
      </c>
      <c r="N16" t="s">
        <v>17</v>
      </c>
      <c r="O16">
        <v>297</v>
      </c>
      <c r="P16" s="11">
        <v>8.8844481270512529E-5</v>
      </c>
      <c r="Q16">
        <v>1E-4</v>
      </c>
      <c r="R16">
        <v>2000</v>
      </c>
      <c r="S16">
        <v>0.73049446761428727</v>
      </c>
      <c r="T16">
        <v>0.45594540635759689</v>
      </c>
      <c r="U16">
        <v>9.8888527982992258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2.346502237106856</v>
      </c>
      <c r="AC16">
        <v>1.27459639025463</v>
      </c>
      <c r="AD16">
        <v>1.6426339999999999</v>
      </c>
      <c r="AE16">
        <v>0.24741693023069031</v>
      </c>
      <c r="AF16" s="6">
        <v>0.60016251494780926</v>
      </c>
      <c r="AG16">
        <v>3</v>
      </c>
    </row>
    <row r="17" spans="1:33" x14ac:dyDescent="0.3">
      <c r="A17" s="5">
        <v>16</v>
      </c>
      <c r="B17" t="s">
        <v>79</v>
      </c>
      <c r="C17">
        <v>18658.914202199991</v>
      </c>
      <c r="D17">
        <v>310.98190336999983</v>
      </c>
      <c r="E17" t="s">
        <v>80</v>
      </c>
      <c r="G17" t="s">
        <v>34</v>
      </c>
      <c r="H17" t="s">
        <v>81</v>
      </c>
      <c r="J17" t="s">
        <v>36</v>
      </c>
      <c r="K17">
        <v>1.8639392445070579E-2</v>
      </c>
      <c r="L17">
        <v>0</v>
      </c>
      <c r="M17">
        <v>1.8639392445070579E-2</v>
      </c>
      <c r="N17" t="s">
        <v>17</v>
      </c>
      <c r="O17">
        <v>2001</v>
      </c>
      <c r="P17" s="11">
        <v>2.5010509107454318E-4</v>
      </c>
      <c r="Q17">
        <v>1E-4</v>
      </c>
      <c r="R17">
        <v>2000</v>
      </c>
      <c r="S17" s="23">
        <v>0.1070697432326719</v>
      </c>
      <c r="T17">
        <v>0.84108690838249922</v>
      </c>
      <c r="U17">
        <v>1.3930663481851771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7.0794181127694831</v>
      </c>
      <c r="AC17">
        <v>5.1024858503608908</v>
      </c>
      <c r="AD17">
        <v>1.6426339999999999</v>
      </c>
      <c r="AE17">
        <v>0.68414137490005245</v>
      </c>
      <c r="AF17" s="6">
        <v>0.22135648461899099</v>
      </c>
      <c r="AG17">
        <v>2</v>
      </c>
    </row>
    <row r="18" spans="1:33" x14ac:dyDescent="0.3">
      <c r="A18" s="5">
        <v>17</v>
      </c>
      <c r="B18" t="s">
        <v>82</v>
      </c>
      <c r="C18">
        <v>21111.6125092</v>
      </c>
      <c r="D18">
        <v>351.86020848666669</v>
      </c>
      <c r="E18" t="s">
        <v>83</v>
      </c>
      <c r="G18" t="s">
        <v>34</v>
      </c>
      <c r="H18" t="s">
        <v>84</v>
      </c>
      <c r="J18" t="s">
        <v>36</v>
      </c>
      <c r="K18">
        <v>1.9031896178424979E-2</v>
      </c>
      <c r="L18">
        <v>0</v>
      </c>
      <c r="M18">
        <v>1.9031896178424979E-2</v>
      </c>
      <c r="N18" t="s">
        <v>17</v>
      </c>
      <c r="O18">
        <v>2001</v>
      </c>
      <c r="P18" s="11">
        <v>1.604056233756677E-4</v>
      </c>
      <c r="Q18">
        <v>1E-4</v>
      </c>
      <c r="R18">
        <v>2000</v>
      </c>
      <c r="S18" s="23">
        <v>0.13943642659037339</v>
      </c>
      <c r="T18">
        <v>1.4375904770707839</v>
      </c>
      <c r="U18">
        <v>1.17514855524946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6.527551914797427</v>
      </c>
      <c r="AC18">
        <v>6.2341027278068388</v>
      </c>
      <c r="AD18">
        <v>1.6426339999999999</v>
      </c>
      <c r="AE18">
        <v>0.32014943742462582</v>
      </c>
      <c r="AF18" s="6">
        <v>0.54753100362087015</v>
      </c>
      <c r="AG18">
        <v>1</v>
      </c>
    </row>
    <row r="19" spans="1:33" x14ac:dyDescent="0.3">
      <c r="A19" s="5">
        <v>18</v>
      </c>
      <c r="B19" t="s">
        <v>85</v>
      </c>
      <c r="C19">
        <v>20588.614749</v>
      </c>
      <c r="D19">
        <v>343.14357914999999</v>
      </c>
      <c r="E19" t="s">
        <v>86</v>
      </c>
      <c r="G19" t="s">
        <v>34</v>
      </c>
      <c r="H19" t="s">
        <v>87</v>
      </c>
      <c r="J19" t="s">
        <v>36</v>
      </c>
      <c r="K19">
        <v>2.4723539734177399E-2</v>
      </c>
      <c r="L19">
        <v>0</v>
      </c>
      <c r="M19">
        <v>2.4723539734177399E-2</v>
      </c>
      <c r="N19" t="s">
        <v>17</v>
      </c>
      <c r="O19">
        <v>901</v>
      </c>
      <c r="P19" s="11">
        <v>9.5859297039156189E-5</v>
      </c>
      <c r="Q19">
        <v>1E-4</v>
      </c>
      <c r="R19">
        <v>2000</v>
      </c>
      <c r="S19" s="24">
        <v>0.1957220287925758</v>
      </c>
      <c r="T19" s="16">
        <v>1.8413149759623919</v>
      </c>
      <c r="U19" s="16">
        <v>1.142151867830226</v>
      </c>
      <c r="V19" s="16">
        <v>9.6469999999999993E-3</v>
      </c>
      <c r="W19" s="16">
        <v>8.5518540000000005</v>
      </c>
      <c r="X19" s="16">
        <v>7.1656500000000003</v>
      </c>
      <c r="Y19" s="16">
        <v>44.150669999999998</v>
      </c>
      <c r="Z19" s="16">
        <v>42.528283999999999</v>
      </c>
      <c r="AA19" s="16">
        <v>1E-4</v>
      </c>
      <c r="AB19" s="16">
        <v>4.357026494323847</v>
      </c>
      <c r="AC19" s="16">
        <v>9.5224248843655364</v>
      </c>
      <c r="AD19" s="16">
        <v>1.6426339999999999</v>
      </c>
      <c r="AE19" s="16">
        <v>0.50051089460210196</v>
      </c>
      <c r="AF19" s="17">
        <v>0.33005485774102938</v>
      </c>
      <c r="AG19">
        <v>0</v>
      </c>
    </row>
    <row r="20" spans="1:33" x14ac:dyDescent="0.3">
      <c r="A20" s="5">
        <v>19</v>
      </c>
      <c r="B20" t="s">
        <v>88</v>
      </c>
      <c r="C20">
        <v>4922.2885048000026</v>
      </c>
      <c r="D20">
        <v>82.03814174666671</v>
      </c>
      <c r="E20" t="s">
        <v>89</v>
      </c>
      <c r="G20" t="s">
        <v>34</v>
      </c>
      <c r="H20" t="s">
        <v>90</v>
      </c>
      <c r="J20" t="s">
        <v>36</v>
      </c>
      <c r="K20">
        <v>2.1089386883793221E-2</v>
      </c>
      <c r="L20">
        <v>0</v>
      </c>
      <c r="M20">
        <v>2.1089386883793221E-2</v>
      </c>
      <c r="N20" t="s">
        <v>17</v>
      </c>
      <c r="O20">
        <v>602</v>
      </c>
      <c r="P20" s="11">
        <v>9.8179584203664892E-5</v>
      </c>
      <c r="Q20">
        <v>1E-4</v>
      </c>
      <c r="R20">
        <v>2000</v>
      </c>
      <c r="S20" s="24">
        <v>0.2443548171277711</v>
      </c>
      <c r="T20" s="16">
        <v>1.688151118707405</v>
      </c>
      <c r="U20" s="16">
        <v>1.1020683670286131</v>
      </c>
      <c r="V20" s="16">
        <v>9.6469999999999993E-3</v>
      </c>
      <c r="W20" s="16">
        <v>8.5518540000000005</v>
      </c>
      <c r="X20" s="16">
        <v>7.1656500000000003</v>
      </c>
      <c r="Y20" s="16">
        <v>44.150669999999998</v>
      </c>
      <c r="Z20" s="16">
        <v>42.528283999999999</v>
      </c>
      <c r="AA20" s="16">
        <v>1E-4</v>
      </c>
      <c r="AB20" s="16">
        <v>5.0732425293949914</v>
      </c>
      <c r="AC20" s="16">
        <v>9.4576715142226693</v>
      </c>
      <c r="AD20" s="16">
        <v>1.6426339999999999</v>
      </c>
      <c r="AE20" s="16">
        <v>0.5665117530365259</v>
      </c>
      <c r="AF20" s="17">
        <v>0.26939164592091119</v>
      </c>
      <c r="AG20">
        <v>0</v>
      </c>
    </row>
    <row r="21" spans="1:33" hidden="1" x14ac:dyDescent="0.3">
      <c r="A21" s="5">
        <v>20</v>
      </c>
      <c r="B21" t="s">
        <v>91</v>
      </c>
      <c r="C21">
        <v>1461.625356399978</v>
      </c>
      <c r="D21">
        <v>24.360422606666301</v>
      </c>
      <c r="E21" t="s">
        <v>92</v>
      </c>
      <c r="G21" t="s">
        <v>34</v>
      </c>
      <c r="H21" t="s">
        <v>93</v>
      </c>
      <c r="J21" t="s">
        <v>36</v>
      </c>
      <c r="K21">
        <v>4.6013303754210019E-2</v>
      </c>
      <c r="L21">
        <v>0</v>
      </c>
      <c r="M21">
        <v>4.6013303754210019E-2</v>
      </c>
      <c r="N21" t="s">
        <v>17</v>
      </c>
      <c r="O21">
        <v>238</v>
      </c>
      <c r="P21" s="11">
        <v>8.9850374100776699E-5</v>
      </c>
      <c r="Q21">
        <v>1E-4</v>
      </c>
      <c r="R21">
        <v>2000</v>
      </c>
      <c r="S21">
        <v>0.57384487092889358</v>
      </c>
      <c r="T21">
        <v>0.85781285332391377</v>
      </c>
      <c r="U21">
        <v>9.6762141303577565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2.023255349818958</v>
      </c>
      <c r="AC21">
        <v>9.705414724740308</v>
      </c>
      <c r="AD21">
        <v>1.6426339999999999</v>
      </c>
      <c r="AE21">
        <v>0.38800431601736318</v>
      </c>
      <c r="AF21" s="6">
        <v>0.53291091905389765</v>
      </c>
      <c r="AG21">
        <v>1</v>
      </c>
    </row>
    <row r="22" spans="1:33" x14ac:dyDescent="0.3">
      <c r="A22" s="5">
        <v>21</v>
      </c>
      <c r="B22" t="s">
        <v>94</v>
      </c>
      <c r="C22">
        <v>13623.75451269999</v>
      </c>
      <c r="D22">
        <v>227.06257521166651</v>
      </c>
      <c r="E22" t="s">
        <v>95</v>
      </c>
      <c r="G22" t="s">
        <v>34</v>
      </c>
      <c r="H22" t="s">
        <v>96</v>
      </c>
      <c r="J22" t="s">
        <v>36</v>
      </c>
      <c r="K22">
        <v>1.74094920806762E-2</v>
      </c>
      <c r="L22">
        <v>0</v>
      </c>
      <c r="M22">
        <v>1.74094920806762E-2</v>
      </c>
      <c r="N22" t="s">
        <v>17</v>
      </c>
      <c r="O22">
        <v>1048</v>
      </c>
      <c r="P22" s="11">
        <v>8.9820340367870069E-5</v>
      </c>
      <c r="Q22">
        <v>1E-4</v>
      </c>
      <c r="R22">
        <v>2000</v>
      </c>
      <c r="S22" s="24">
        <v>0.18432378096980079</v>
      </c>
      <c r="T22" s="16">
        <v>2.4149638557808002</v>
      </c>
      <c r="U22" s="16">
        <v>1.3649814811210901</v>
      </c>
      <c r="V22" s="16">
        <v>9.6469999999999993E-3</v>
      </c>
      <c r="W22" s="16">
        <v>8.5518540000000005</v>
      </c>
      <c r="X22" s="16">
        <v>7.1656500000000003</v>
      </c>
      <c r="Y22" s="16">
        <v>44.150669999999998</v>
      </c>
      <c r="Z22" s="16">
        <v>42.528283999999999</v>
      </c>
      <c r="AA22" s="16">
        <v>1E-4</v>
      </c>
      <c r="AB22" s="16">
        <v>3.4242520685076201</v>
      </c>
      <c r="AC22" s="16">
        <v>9.9997745736004902</v>
      </c>
      <c r="AD22" s="16">
        <v>1.6426339999999999</v>
      </c>
      <c r="AE22" s="16">
        <v>0.45171710819292482</v>
      </c>
      <c r="AF22" s="17">
        <v>0.46110374288754669</v>
      </c>
      <c r="AG22">
        <v>0</v>
      </c>
    </row>
    <row r="23" spans="1:33" hidden="1" x14ac:dyDescent="0.3">
      <c r="A23" s="5">
        <v>22</v>
      </c>
      <c r="B23" t="s">
        <v>97</v>
      </c>
      <c r="C23">
        <v>7449.552884899982</v>
      </c>
      <c r="D23">
        <v>124.159214748333</v>
      </c>
      <c r="E23" t="s">
        <v>98</v>
      </c>
      <c r="G23" t="s">
        <v>34</v>
      </c>
      <c r="H23" t="s">
        <v>99</v>
      </c>
      <c r="J23" t="s">
        <v>36</v>
      </c>
      <c r="K23">
        <v>3.0807317000398619E-2</v>
      </c>
      <c r="L23">
        <v>0</v>
      </c>
      <c r="M23">
        <v>3.0807317000398619E-2</v>
      </c>
      <c r="N23" t="s">
        <v>17</v>
      </c>
      <c r="O23">
        <v>933</v>
      </c>
      <c r="P23" s="11">
        <v>5.7159296964075603E-5</v>
      </c>
      <c r="Q23">
        <v>1E-4</v>
      </c>
      <c r="R23">
        <v>2000</v>
      </c>
      <c r="S23" s="23">
        <v>0.1359084087448795</v>
      </c>
      <c r="T23">
        <v>3.3038070819419989</v>
      </c>
      <c r="U23">
        <v>6.9908380786620734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0.65955054452455097</v>
      </c>
      <c r="AC23">
        <v>6.6176297923569738</v>
      </c>
      <c r="AD23">
        <v>1.6426339999999999</v>
      </c>
      <c r="AE23">
        <v>0.26943243745875872</v>
      </c>
      <c r="AF23" s="6">
        <v>0.63907592800598911</v>
      </c>
      <c r="AG23">
        <v>2</v>
      </c>
    </row>
    <row r="24" spans="1:33" hidden="1" x14ac:dyDescent="0.3">
      <c r="A24" s="5">
        <v>23</v>
      </c>
      <c r="B24" t="s">
        <v>100</v>
      </c>
      <c r="C24">
        <v>5814.1657645999803</v>
      </c>
      <c r="D24">
        <v>96.902762743333</v>
      </c>
      <c r="E24" t="s">
        <v>101</v>
      </c>
      <c r="G24" t="s">
        <v>34</v>
      </c>
      <c r="H24" t="s">
        <v>102</v>
      </c>
      <c r="J24" t="s">
        <v>36</v>
      </c>
      <c r="K24">
        <v>2.5342726527727118E-2</v>
      </c>
      <c r="L24">
        <v>0</v>
      </c>
      <c r="M24">
        <v>2.5342726527727118E-2</v>
      </c>
      <c r="N24" t="s">
        <v>17</v>
      </c>
      <c r="O24">
        <v>232</v>
      </c>
      <c r="P24" s="11">
        <v>6.0758813264849172E-5</v>
      </c>
      <c r="Q24">
        <v>1E-4</v>
      </c>
      <c r="R24">
        <v>2000</v>
      </c>
      <c r="S24">
        <v>0.65230297039469942</v>
      </c>
      <c r="T24">
        <v>2.0770307526074339</v>
      </c>
      <c r="U24">
        <v>0.78075656968564511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3.9263394493182999</v>
      </c>
      <c r="AC24">
        <v>7.0427777304200028</v>
      </c>
      <c r="AD24">
        <v>1.6426339999999999</v>
      </c>
      <c r="AE24">
        <v>0.53593493485641408</v>
      </c>
      <c r="AF24" s="6">
        <v>0.21139776264460561</v>
      </c>
      <c r="AG24">
        <v>1</v>
      </c>
    </row>
    <row r="25" spans="1:33" x14ac:dyDescent="0.3">
      <c r="A25" s="5">
        <v>24</v>
      </c>
      <c r="B25" t="s">
        <v>103</v>
      </c>
      <c r="C25">
        <v>4185.7595682000101</v>
      </c>
      <c r="D25">
        <v>69.762659470000173</v>
      </c>
      <c r="E25" t="s">
        <v>104</v>
      </c>
      <c r="G25" t="s">
        <v>34</v>
      </c>
      <c r="H25" t="s">
        <v>105</v>
      </c>
      <c r="J25" t="s">
        <v>36</v>
      </c>
      <c r="K25">
        <v>1.7061836719004322E-2</v>
      </c>
      <c r="L25">
        <v>0</v>
      </c>
      <c r="M25">
        <v>1.7061836719004322E-2</v>
      </c>
      <c r="N25" t="s">
        <v>17</v>
      </c>
      <c r="O25">
        <v>240</v>
      </c>
      <c r="P25" s="11">
        <v>9.7299965244742958E-5</v>
      </c>
      <c r="Q25">
        <v>1E-4</v>
      </c>
      <c r="R25">
        <v>2000</v>
      </c>
      <c r="S25" s="23">
        <v>0.132546262650129</v>
      </c>
      <c r="T25">
        <v>3.893671184911172</v>
      </c>
      <c r="U25">
        <v>0.67255490702205023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3.921038778767866</v>
      </c>
      <c r="AC25">
        <v>9.991795607270566</v>
      </c>
      <c r="AD25">
        <v>1.6426339999999999</v>
      </c>
      <c r="AE25">
        <v>0.57030410431709933</v>
      </c>
      <c r="AF25" s="6">
        <v>0.27539095119876622</v>
      </c>
      <c r="AG25">
        <v>1</v>
      </c>
    </row>
    <row r="26" spans="1:33" x14ac:dyDescent="0.3">
      <c r="A26" s="5">
        <v>25</v>
      </c>
      <c r="B26" t="s">
        <v>106</v>
      </c>
      <c r="C26">
        <v>4901.0364973999967</v>
      </c>
      <c r="D26">
        <v>81.683941623333283</v>
      </c>
      <c r="E26" t="s">
        <v>107</v>
      </c>
      <c r="G26" t="s">
        <v>34</v>
      </c>
      <c r="H26" t="s">
        <v>108</v>
      </c>
      <c r="J26" t="s">
        <v>36</v>
      </c>
      <c r="K26">
        <v>3.2865191206284922E-2</v>
      </c>
      <c r="L26">
        <v>0</v>
      </c>
      <c r="M26">
        <v>3.2865191206284922E-2</v>
      </c>
      <c r="N26" t="s">
        <v>17</v>
      </c>
      <c r="O26">
        <v>832</v>
      </c>
      <c r="P26" s="11">
        <v>9.7801619461440078E-5</v>
      </c>
      <c r="Q26">
        <v>1E-4</v>
      </c>
      <c r="R26">
        <v>2000</v>
      </c>
      <c r="S26" s="24">
        <v>0.19413816212667731</v>
      </c>
      <c r="T26" s="16">
        <v>3.844084630584347</v>
      </c>
      <c r="U26" s="16">
        <v>1.2368361308460261</v>
      </c>
      <c r="V26" s="16">
        <v>9.6469999999999993E-3</v>
      </c>
      <c r="W26" s="16">
        <v>8.5518540000000005</v>
      </c>
      <c r="X26" s="16">
        <v>7.1656500000000003</v>
      </c>
      <c r="Y26" s="16">
        <v>44.150669999999998</v>
      </c>
      <c r="Z26" s="16">
        <v>42.528283999999999</v>
      </c>
      <c r="AA26" s="16">
        <v>1E-4</v>
      </c>
      <c r="AB26" s="16">
        <v>2.4274124306484648</v>
      </c>
      <c r="AC26" s="16">
        <v>9.9601620773877109</v>
      </c>
      <c r="AD26" s="16">
        <v>1.6426339999999999</v>
      </c>
      <c r="AE26" s="16">
        <v>0.59968154212108837</v>
      </c>
      <c r="AF26" s="17">
        <v>0.19259834076794369</v>
      </c>
      <c r="AG26">
        <v>0</v>
      </c>
    </row>
    <row r="27" spans="1:33" x14ac:dyDescent="0.3">
      <c r="A27" s="5">
        <v>26</v>
      </c>
      <c r="B27" t="s">
        <v>109</v>
      </c>
      <c r="C27">
        <v>2074.2730203999959</v>
      </c>
      <c r="D27">
        <v>34.571217006666608</v>
      </c>
      <c r="E27" t="s">
        <v>110</v>
      </c>
      <c r="G27" t="s">
        <v>34</v>
      </c>
      <c r="H27" t="s">
        <v>111</v>
      </c>
      <c r="J27" t="s">
        <v>36</v>
      </c>
      <c r="K27">
        <v>2.158008175818216E-2</v>
      </c>
      <c r="L27">
        <v>0</v>
      </c>
      <c r="M27">
        <v>2.158008175818216E-2</v>
      </c>
      <c r="N27" t="s">
        <v>17</v>
      </c>
      <c r="O27">
        <v>277</v>
      </c>
      <c r="P27" s="11">
        <v>9.9942092145659375E-5</v>
      </c>
      <c r="Q27">
        <v>1E-4</v>
      </c>
      <c r="R27">
        <v>2000</v>
      </c>
      <c r="S27" s="23">
        <v>0.37858929172535749</v>
      </c>
      <c r="T27">
        <v>2.614446601797082</v>
      </c>
      <c r="U27">
        <v>7.184449109992201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1.212010681004307</v>
      </c>
      <c r="AC27">
        <v>9.9930494297369474</v>
      </c>
      <c r="AD27">
        <v>1.6426339999999999</v>
      </c>
      <c r="AE27">
        <v>0.34845443192353331</v>
      </c>
      <c r="AF27" s="6">
        <v>0.53600703040912212</v>
      </c>
      <c r="AG27">
        <v>1</v>
      </c>
    </row>
    <row r="28" spans="1:33" x14ac:dyDescent="0.3">
      <c r="A28" s="5">
        <v>27</v>
      </c>
      <c r="B28" t="s">
        <v>112</v>
      </c>
      <c r="C28">
        <v>4781.5120207</v>
      </c>
      <c r="D28">
        <v>79.691867011666673</v>
      </c>
      <c r="E28" t="s">
        <v>113</v>
      </c>
      <c r="G28" t="s">
        <v>34</v>
      </c>
      <c r="H28" t="s">
        <v>114</v>
      </c>
      <c r="J28" t="s">
        <v>36</v>
      </c>
      <c r="K28">
        <v>3.5409677587260928E-2</v>
      </c>
      <c r="L28">
        <v>0</v>
      </c>
      <c r="M28">
        <v>3.5409677587260928E-2</v>
      </c>
      <c r="N28" t="s">
        <v>17</v>
      </c>
      <c r="O28">
        <v>695</v>
      </c>
      <c r="P28" s="11">
        <v>8.8803930078873696E-5</v>
      </c>
      <c r="Q28">
        <v>1E-4</v>
      </c>
      <c r="R28">
        <v>2000</v>
      </c>
      <c r="S28" s="23">
        <v>0.17552491149223229</v>
      </c>
      <c r="T28">
        <v>4.1577551963834054</v>
      </c>
      <c r="U28">
        <v>1.4753880067750491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2.0675212452253708</v>
      </c>
      <c r="AC28">
        <v>9.9962269957496606</v>
      </c>
      <c r="AD28">
        <v>1.6426339999999999</v>
      </c>
      <c r="AE28">
        <v>0.56432866694182982</v>
      </c>
      <c r="AF28" s="6">
        <v>0.2082087045653517</v>
      </c>
      <c r="AG28">
        <v>1</v>
      </c>
    </row>
    <row r="29" spans="1:33" x14ac:dyDescent="0.3">
      <c r="A29" s="5">
        <v>28</v>
      </c>
      <c r="B29" t="s">
        <v>115</v>
      </c>
      <c r="C29">
        <v>2133.3174923000038</v>
      </c>
      <c r="D29">
        <v>35.555291538333407</v>
      </c>
      <c r="E29" t="s">
        <v>116</v>
      </c>
      <c r="G29" t="s">
        <v>34</v>
      </c>
      <c r="H29" t="s">
        <v>117</v>
      </c>
      <c r="J29" t="s">
        <v>36</v>
      </c>
      <c r="K29">
        <v>1.10161903996707E-2</v>
      </c>
      <c r="L29">
        <v>0</v>
      </c>
      <c r="M29">
        <v>1.10161903996707E-2</v>
      </c>
      <c r="N29" t="s">
        <v>17</v>
      </c>
      <c r="O29">
        <v>255</v>
      </c>
      <c r="P29" s="11">
        <v>9.990303220302308E-5</v>
      </c>
      <c r="Q29">
        <v>1E-4</v>
      </c>
      <c r="R29">
        <v>2000</v>
      </c>
      <c r="S29" s="24">
        <v>0.1386956396634994</v>
      </c>
      <c r="T29" s="16">
        <v>0.35096545121603412</v>
      </c>
      <c r="U29" s="16">
        <v>5.6300792481507358</v>
      </c>
      <c r="V29" s="16">
        <v>9.6469999999999993E-3</v>
      </c>
      <c r="W29" s="16">
        <v>8.5518540000000005</v>
      </c>
      <c r="X29" s="16">
        <v>7.1656500000000003</v>
      </c>
      <c r="Y29" s="16">
        <v>44.150669999999998</v>
      </c>
      <c r="Z29" s="16">
        <v>42.528283999999999</v>
      </c>
      <c r="AA29" s="16">
        <v>1E-4</v>
      </c>
      <c r="AB29" s="16">
        <v>2.48489320225287</v>
      </c>
      <c r="AC29" s="16">
        <v>4.4853468547857913</v>
      </c>
      <c r="AD29" s="16">
        <v>1.6426339999999999</v>
      </c>
      <c r="AE29" s="16">
        <v>0.13702884973579349</v>
      </c>
      <c r="AF29" s="17">
        <v>0.61565639978424436</v>
      </c>
      <c r="AG29">
        <v>0</v>
      </c>
    </row>
    <row r="30" spans="1:33" x14ac:dyDescent="0.3">
      <c r="A30" s="5">
        <v>29</v>
      </c>
      <c r="B30" t="s">
        <v>118</v>
      </c>
      <c r="C30">
        <v>1720.9336680999841</v>
      </c>
      <c r="D30">
        <v>28.6822278016664</v>
      </c>
      <c r="E30" t="s">
        <v>119</v>
      </c>
      <c r="G30" t="s">
        <v>34</v>
      </c>
      <c r="H30" t="s">
        <v>120</v>
      </c>
      <c r="J30" t="s">
        <v>36</v>
      </c>
      <c r="K30">
        <v>1.528760483283453E-2</v>
      </c>
      <c r="L30">
        <v>0</v>
      </c>
      <c r="M30">
        <v>1.528760483283453E-2</v>
      </c>
      <c r="N30" t="s">
        <v>17</v>
      </c>
      <c r="O30">
        <v>334</v>
      </c>
      <c r="P30" s="11">
        <v>9.3982948527025596E-5</v>
      </c>
      <c r="Q30">
        <v>1E-4</v>
      </c>
      <c r="R30">
        <v>2000</v>
      </c>
      <c r="S30" s="23">
        <v>5.2075001580897208E-2</v>
      </c>
      <c r="T30">
        <v>1.8137100794334391</v>
      </c>
      <c r="U30">
        <v>1.5666984959853949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5.8649617967851384</v>
      </c>
      <c r="AC30">
        <v>4.2056147599870002</v>
      </c>
      <c r="AD30">
        <v>1.6426339999999999</v>
      </c>
      <c r="AE30">
        <v>0.1991690382268973</v>
      </c>
      <c r="AF30" s="6">
        <v>0.79546710150877675</v>
      </c>
      <c r="AG30">
        <v>1</v>
      </c>
    </row>
    <row r="31" spans="1:33" hidden="1" x14ac:dyDescent="0.3">
      <c r="A31" s="5">
        <v>30</v>
      </c>
      <c r="B31" t="s">
        <v>121</v>
      </c>
      <c r="C31">
        <v>9562.8541788000148</v>
      </c>
      <c r="D31">
        <v>159.38090298000029</v>
      </c>
      <c r="E31" t="s">
        <v>122</v>
      </c>
      <c r="G31" t="s">
        <v>34</v>
      </c>
      <c r="H31" t="s">
        <v>123</v>
      </c>
      <c r="J31" t="s">
        <v>36</v>
      </c>
      <c r="K31">
        <v>3.1160231464880579E-2</v>
      </c>
      <c r="L31">
        <v>0</v>
      </c>
      <c r="M31">
        <v>3.1160231464880579E-2</v>
      </c>
      <c r="N31" t="s">
        <v>17</v>
      </c>
      <c r="O31">
        <v>1156</v>
      </c>
      <c r="P31" s="11">
        <v>9.9623439468476128E-5</v>
      </c>
      <c r="Q31">
        <v>1E-4</v>
      </c>
      <c r="R31">
        <v>2000</v>
      </c>
      <c r="S31">
        <v>0.4018388425254531</v>
      </c>
      <c r="T31">
        <v>0.61404232777015577</v>
      </c>
      <c r="U31">
        <v>2.4462735119352401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3.3543712389456619</v>
      </c>
      <c r="AC31">
        <v>3.2130244179909879</v>
      </c>
      <c r="AD31">
        <v>1.6426339999999999</v>
      </c>
      <c r="AE31">
        <v>0.1648831061895614</v>
      </c>
      <c r="AF31" s="6">
        <v>0.8961940821529828</v>
      </c>
      <c r="AG31">
        <v>2</v>
      </c>
    </row>
    <row r="32" spans="1:33" x14ac:dyDescent="0.3">
      <c r="A32" s="5">
        <v>31</v>
      </c>
      <c r="B32" t="s">
        <v>124</v>
      </c>
      <c r="C32">
        <v>1135.8948174999971</v>
      </c>
      <c r="D32">
        <v>18.931580291666609</v>
      </c>
      <c r="E32" t="s">
        <v>125</v>
      </c>
      <c r="G32" t="s">
        <v>34</v>
      </c>
      <c r="H32" t="s">
        <v>126</v>
      </c>
      <c r="J32" t="s">
        <v>36</v>
      </c>
      <c r="K32">
        <v>1.2418892553136759E-2</v>
      </c>
      <c r="L32">
        <v>0</v>
      </c>
      <c r="M32">
        <v>1.2418892553136759E-2</v>
      </c>
      <c r="N32" t="s">
        <v>17</v>
      </c>
      <c r="O32">
        <v>173</v>
      </c>
      <c r="P32" s="11">
        <v>9.9952482821797579E-5</v>
      </c>
      <c r="Q32">
        <v>1E-4</v>
      </c>
      <c r="R32">
        <v>2000</v>
      </c>
      <c r="S32" s="23">
        <v>9.5131472790338165E-2</v>
      </c>
      <c r="T32">
        <v>1.3514976724639101</v>
      </c>
      <c r="U32">
        <v>1.378767963387493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5.7046777604247936</v>
      </c>
      <c r="AC32">
        <v>6.9959496868252078</v>
      </c>
      <c r="AD32">
        <v>1.6426339999999999</v>
      </c>
      <c r="AE32">
        <v>0.27282498101157071</v>
      </c>
      <c r="AF32" s="6">
        <v>0.70647905065370864</v>
      </c>
      <c r="AG32">
        <v>1</v>
      </c>
    </row>
    <row r="33" spans="1:33" x14ac:dyDescent="0.3">
      <c r="A33" s="5">
        <v>32</v>
      </c>
      <c r="B33" t="s">
        <v>127</v>
      </c>
      <c r="C33">
        <v>9774.8308117999986</v>
      </c>
      <c r="D33">
        <v>162.9138468633333</v>
      </c>
      <c r="E33" t="s">
        <v>128</v>
      </c>
      <c r="G33" t="s">
        <v>34</v>
      </c>
      <c r="H33" t="s">
        <v>129</v>
      </c>
      <c r="J33" t="s">
        <v>36</v>
      </c>
      <c r="K33">
        <v>3.5474141892733478E-2</v>
      </c>
      <c r="L33">
        <v>0</v>
      </c>
      <c r="M33">
        <v>3.5474141892733478E-2</v>
      </c>
      <c r="N33" t="s">
        <v>17</v>
      </c>
      <c r="O33">
        <v>576</v>
      </c>
      <c r="P33" s="11">
        <v>9.7171459345381795E-5</v>
      </c>
      <c r="Q33">
        <v>1E-4</v>
      </c>
      <c r="R33">
        <v>2000</v>
      </c>
      <c r="S33" s="24">
        <v>0.32234151004415629</v>
      </c>
      <c r="T33" s="16">
        <v>1.9991316186647099</v>
      </c>
      <c r="U33" s="16">
        <v>1.4055667221445689</v>
      </c>
      <c r="V33" s="16">
        <v>9.6469999999999993E-3</v>
      </c>
      <c r="W33" s="16">
        <v>8.5518540000000005</v>
      </c>
      <c r="X33" s="16">
        <v>7.1656500000000003</v>
      </c>
      <c r="Y33" s="16">
        <v>44.150669999999998</v>
      </c>
      <c r="Z33" s="16">
        <v>42.528283999999999</v>
      </c>
      <c r="AA33" s="16">
        <v>1E-4</v>
      </c>
      <c r="AB33" s="16">
        <v>3.566065080144825</v>
      </c>
      <c r="AC33" s="16">
        <v>6.1644202880710797</v>
      </c>
      <c r="AD33" s="16">
        <v>1.6426339999999999</v>
      </c>
      <c r="AE33" s="16">
        <v>0.49660288496814692</v>
      </c>
      <c r="AF33" s="17">
        <v>0.3550808755615506</v>
      </c>
      <c r="AG33">
        <v>0</v>
      </c>
    </row>
    <row r="34" spans="1:33" hidden="1" x14ac:dyDescent="0.3">
      <c r="A34" s="5">
        <v>33</v>
      </c>
      <c r="B34" t="s">
        <v>130</v>
      </c>
      <c r="C34">
        <v>4253.1494631999813</v>
      </c>
      <c r="D34">
        <v>70.885824386666357</v>
      </c>
      <c r="E34" t="s">
        <v>131</v>
      </c>
      <c r="G34" t="s">
        <v>34</v>
      </c>
      <c r="H34" t="s">
        <v>132</v>
      </c>
      <c r="J34" t="s">
        <v>36</v>
      </c>
      <c r="K34">
        <v>4.4191874799525091E-2</v>
      </c>
      <c r="L34">
        <v>0</v>
      </c>
      <c r="M34">
        <v>4.4191874799525091E-2</v>
      </c>
      <c r="N34" t="s">
        <v>17</v>
      </c>
      <c r="O34">
        <v>602</v>
      </c>
      <c r="P34" s="11">
        <v>7.0307574478676885E-5</v>
      </c>
      <c r="Q34">
        <v>1E-4</v>
      </c>
      <c r="R34">
        <v>2000</v>
      </c>
      <c r="S34">
        <v>0.65962327440448321</v>
      </c>
      <c r="T34">
        <v>4.4482599897689132</v>
      </c>
      <c r="U34">
        <v>5.0098081134271073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0.85232557149720689</v>
      </c>
      <c r="AC34">
        <v>9.9968986282814321</v>
      </c>
      <c r="AD34">
        <v>1.6426339999999999</v>
      </c>
      <c r="AE34">
        <v>0.41213678145615201</v>
      </c>
      <c r="AF34" s="6">
        <v>0.62659620795105597</v>
      </c>
      <c r="AG34">
        <v>2</v>
      </c>
    </row>
    <row r="35" spans="1:33" hidden="1" x14ac:dyDescent="0.3">
      <c r="A35" s="5">
        <v>34</v>
      </c>
      <c r="B35" t="s">
        <v>133</v>
      </c>
      <c r="C35">
        <v>2399.5497187000001</v>
      </c>
      <c r="D35">
        <v>39.992495311666673</v>
      </c>
      <c r="E35" t="s">
        <v>134</v>
      </c>
      <c r="G35" t="s">
        <v>34</v>
      </c>
      <c r="H35" t="s">
        <v>135</v>
      </c>
      <c r="J35" t="s">
        <v>36</v>
      </c>
      <c r="K35">
        <v>2.718230423091713E-2</v>
      </c>
      <c r="L35">
        <v>0</v>
      </c>
      <c r="M35">
        <v>2.718230423091713E-2</v>
      </c>
      <c r="N35" t="s">
        <v>17</v>
      </c>
      <c r="O35">
        <v>429</v>
      </c>
      <c r="P35" s="11">
        <v>9.9275834797104382E-5</v>
      </c>
      <c r="Q35">
        <v>1E-4</v>
      </c>
      <c r="R35">
        <v>2000</v>
      </c>
      <c r="S35">
        <v>5.9172438699637071E-2</v>
      </c>
      <c r="T35">
        <v>1.1187936440531281</v>
      </c>
      <c r="U35">
        <v>8.1363479882043865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7.3468442786090424</v>
      </c>
      <c r="AC35">
        <v>1.537417305912113</v>
      </c>
      <c r="AD35">
        <v>1.6426339999999999</v>
      </c>
      <c r="AE35">
        <v>0.72999562173552102</v>
      </c>
      <c r="AF35" s="6">
        <v>0.25443496210767719</v>
      </c>
      <c r="AG35">
        <v>4</v>
      </c>
    </row>
    <row r="36" spans="1:33" x14ac:dyDescent="0.3">
      <c r="A36" s="5">
        <v>35</v>
      </c>
      <c r="B36" t="s">
        <v>136</v>
      </c>
      <c r="C36">
        <v>1066.8020373000179</v>
      </c>
      <c r="D36">
        <v>17.780033955000299</v>
      </c>
      <c r="E36" t="s">
        <v>137</v>
      </c>
      <c r="G36" t="s">
        <v>34</v>
      </c>
      <c r="H36" t="s">
        <v>138</v>
      </c>
      <c r="J36" t="s">
        <v>36</v>
      </c>
      <c r="K36">
        <v>2.0386779345943549E-2</v>
      </c>
      <c r="L36">
        <v>0</v>
      </c>
      <c r="M36">
        <v>2.0386779345943549E-2</v>
      </c>
      <c r="N36" t="s">
        <v>17</v>
      </c>
      <c r="O36">
        <v>238</v>
      </c>
      <c r="P36" s="11">
        <v>9.7799410588132412E-5</v>
      </c>
      <c r="Q36">
        <v>1E-4</v>
      </c>
      <c r="R36">
        <v>2000</v>
      </c>
      <c r="S36" s="24">
        <v>0.1146204907562238</v>
      </c>
      <c r="T36" s="16">
        <v>1.2822339503207389</v>
      </c>
      <c r="U36" s="16">
        <v>3.3997732462060068</v>
      </c>
      <c r="V36" s="16">
        <v>9.6469999999999993E-3</v>
      </c>
      <c r="W36" s="16">
        <v>8.5518540000000005</v>
      </c>
      <c r="X36" s="16">
        <v>7.1656500000000003</v>
      </c>
      <c r="Y36" s="16">
        <v>44.150669999999998</v>
      </c>
      <c r="Z36" s="16">
        <v>42.528283999999999</v>
      </c>
      <c r="AA36" s="16">
        <v>1E-4</v>
      </c>
      <c r="AB36" s="16">
        <v>2.1198737333854409</v>
      </c>
      <c r="AC36" s="16">
        <v>5.6678882673044573</v>
      </c>
      <c r="AD36" s="16">
        <v>1.6426339999999999</v>
      </c>
      <c r="AE36" s="16">
        <v>0.28948593086548219</v>
      </c>
      <c r="AF36" s="17">
        <v>0.50893350559284523</v>
      </c>
      <c r="AG36">
        <v>0</v>
      </c>
    </row>
    <row r="37" spans="1:33" hidden="1" x14ac:dyDescent="0.3">
      <c r="A37" s="5">
        <v>36</v>
      </c>
      <c r="B37" t="s">
        <v>139</v>
      </c>
      <c r="C37">
        <v>2294.2875112000038</v>
      </c>
      <c r="D37">
        <v>38.238125186666728</v>
      </c>
      <c r="E37" t="s">
        <v>140</v>
      </c>
      <c r="G37" t="s">
        <v>34</v>
      </c>
      <c r="H37" t="s">
        <v>141</v>
      </c>
      <c r="J37" t="s">
        <v>36</v>
      </c>
      <c r="K37">
        <v>4.2882129783374037E-2</v>
      </c>
      <c r="L37">
        <v>0</v>
      </c>
      <c r="M37">
        <v>4.2882129783374037E-2</v>
      </c>
      <c r="N37" t="s">
        <v>17</v>
      </c>
      <c r="O37">
        <v>334</v>
      </c>
      <c r="P37" s="11">
        <v>9.8295988836569261E-5</v>
      </c>
      <c r="Q37">
        <v>1E-4</v>
      </c>
      <c r="R37">
        <v>2000</v>
      </c>
      <c r="S37">
        <v>0.67356462769414749</v>
      </c>
      <c r="T37">
        <v>0.57388886362052272</v>
      </c>
      <c r="U37">
        <v>3.6170171670026692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2.336016883177165</v>
      </c>
      <c r="AC37">
        <v>3.7032441470755901</v>
      </c>
      <c r="AD37">
        <v>1.6426339999999999</v>
      </c>
      <c r="AE37">
        <v>0.13360113217007261</v>
      </c>
      <c r="AF37" s="6">
        <v>0.96574481316584826</v>
      </c>
      <c r="AG37">
        <v>3</v>
      </c>
    </row>
    <row r="38" spans="1:33" x14ac:dyDescent="0.3">
      <c r="A38" s="5">
        <v>37</v>
      </c>
      <c r="B38" t="s">
        <v>142</v>
      </c>
      <c r="C38">
        <v>2741.5197531999729</v>
      </c>
      <c r="D38">
        <v>45.691995886666213</v>
      </c>
      <c r="E38" t="s">
        <v>143</v>
      </c>
      <c r="G38" t="s">
        <v>34</v>
      </c>
      <c r="H38" t="s">
        <v>144</v>
      </c>
      <c r="J38" t="s">
        <v>36</v>
      </c>
      <c r="K38">
        <v>3.6462153739501069E-2</v>
      </c>
      <c r="L38">
        <v>0</v>
      </c>
      <c r="M38">
        <v>3.6462153739501069E-2</v>
      </c>
      <c r="N38" t="s">
        <v>17</v>
      </c>
      <c r="O38">
        <v>473</v>
      </c>
      <c r="P38" s="11">
        <v>8.4768421213510278E-5</v>
      </c>
      <c r="Q38">
        <v>1E-4</v>
      </c>
      <c r="R38">
        <v>2000</v>
      </c>
      <c r="S38" s="23">
        <v>0.1004392902415865</v>
      </c>
      <c r="T38">
        <v>4.3800332930190624</v>
      </c>
      <c r="U38">
        <v>0.63567516180043038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2.9512050224277568</v>
      </c>
      <c r="AC38">
        <v>9.9091926377554085</v>
      </c>
      <c r="AD38">
        <v>1.6426339999999999</v>
      </c>
      <c r="AE38">
        <v>0.60218660480016539</v>
      </c>
      <c r="AF38" s="6">
        <v>0.14604862905263499</v>
      </c>
      <c r="AG38">
        <v>1</v>
      </c>
    </row>
    <row r="39" spans="1:33" x14ac:dyDescent="0.3">
      <c r="A39" s="5">
        <v>38</v>
      </c>
      <c r="B39" t="s">
        <v>145</v>
      </c>
      <c r="C39">
        <v>7975.0046935999999</v>
      </c>
      <c r="D39">
        <v>132.91674489333329</v>
      </c>
      <c r="E39" t="s">
        <v>146</v>
      </c>
      <c r="G39" t="s">
        <v>34</v>
      </c>
      <c r="H39" t="s">
        <v>147</v>
      </c>
      <c r="J39" t="s">
        <v>36</v>
      </c>
      <c r="K39">
        <v>3.260815693577121E-2</v>
      </c>
      <c r="L39">
        <v>0</v>
      </c>
      <c r="M39">
        <v>3.260815693577121E-2</v>
      </c>
      <c r="N39" t="s">
        <v>17</v>
      </c>
      <c r="O39">
        <v>384</v>
      </c>
      <c r="P39" s="11">
        <v>8.300816004010434E-5</v>
      </c>
      <c r="Q39">
        <v>1E-4</v>
      </c>
      <c r="R39">
        <v>2000</v>
      </c>
      <c r="S39" s="24">
        <v>0.17452147863439391</v>
      </c>
      <c r="T39" s="16">
        <v>2.6757654567366602</v>
      </c>
      <c r="U39" s="16">
        <v>0.81752363490333246</v>
      </c>
      <c r="V39" s="16">
        <v>9.6469999999999993E-3</v>
      </c>
      <c r="W39" s="16">
        <v>8.5518540000000005</v>
      </c>
      <c r="X39" s="16">
        <v>7.1656500000000003</v>
      </c>
      <c r="Y39" s="16">
        <v>44.150669999999998</v>
      </c>
      <c r="Z39" s="16">
        <v>42.528283999999999</v>
      </c>
      <c r="AA39" s="16">
        <v>1E-4</v>
      </c>
      <c r="AB39" s="16">
        <v>4.6126561510747308</v>
      </c>
      <c r="AC39" s="16">
        <v>9.9983768878087265</v>
      </c>
      <c r="AD39" s="16">
        <v>1.6426339999999999</v>
      </c>
      <c r="AE39" s="16">
        <v>0.59436989934675821</v>
      </c>
      <c r="AF39" s="17">
        <v>0.25578825498710922</v>
      </c>
      <c r="AG39">
        <v>0</v>
      </c>
    </row>
    <row r="40" spans="1:33" x14ac:dyDescent="0.3">
      <c r="A40" s="5">
        <v>39</v>
      </c>
      <c r="B40" t="s">
        <v>148</v>
      </c>
      <c r="C40">
        <v>2399.7903314</v>
      </c>
      <c r="D40">
        <v>39.996505523333333</v>
      </c>
      <c r="E40" t="s">
        <v>149</v>
      </c>
      <c r="G40" t="s">
        <v>34</v>
      </c>
      <c r="H40" t="s">
        <v>150</v>
      </c>
      <c r="J40" t="s">
        <v>36</v>
      </c>
      <c r="K40">
        <v>3.9624340522111133E-2</v>
      </c>
      <c r="L40">
        <v>0</v>
      </c>
      <c r="M40">
        <v>3.9624340522111133E-2</v>
      </c>
      <c r="N40" t="s">
        <v>17</v>
      </c>
      <c r="O40">
        <v>329</v>
      </c>
      <c r="P40" s="11">
        <v>6.4767194554348203E-5</v>
      </c>
      <c r="Q40">
        <v>1E-4</v>
      </c>
      <c r="R40">
        <v>2000</v>
      </c>
      <c r="S40" s="24">
        <v>0.10965967707491669</v>
      </c>
      <c r="T40" s="16">
        <v>2.955778978407098</v>
      </c>
      <c r="U40" s="16">
        <v>2.1872378522803202</v>
      </c>
      <c r="V40" s="16">
        <v>9.6469999999999993E-3</v>
      </c>
      <c r="W40" s="16">
        <v>8.5518540000000005</v>
      </c>
      <c r="X40" s="16">
        <v>7.1656500000000003</v>
      </c>
      <c r="Y40" s="16">
        <v>44.150669999999998</v>
      </c>
      <c r="Z40" s="16">
        <v>42.528283999999999</v>
      </c>
      <c r="AA40" s="16">
        <v>1E-4</v>
      </c>
      <c r="AB40" s="16">
        <v>2.655314943580394</v>
      </c>
      <c r="AC40" s="16">
        <v>9.000361131175044</v>
      </c>
      <c r="AD40" s="16">
        <v>1.6426339999999999</v>
      </c>
      <c r="AE40" s="16">
        <v>0.39369906643429131</v>
      </c>
      <c r="AF40" s="17">
        <v>0.47154905671617331</v>
      </c>
      <c r="AG40">
        <v>0</v>
      </c>
    </row>
    <row r="41" spans="1:33" hidden="1" x14ac:dyDescent="0.3">
      <c r="A41" s="5">
        <v>40</v>
      </c>
      <c r="B41" t="s">
        <v>151</v>
      </c>
      <c r="C41">
        <v>2150.890547700023</v>
      </c>
      <c r="D41">
        <v>35.84817579500038</v>
      </c>
      <c r="E41" t="s">
        <v>152</v>
      </c>
      <c r="G41" t="s">
        <v>34</v>
      </c>
      <c r="H41" t="s">
        <v>153</v>
      </c>
      <c r="J41" t="s">
        <v>36</v>
      </c>
      <c r="K41">
        <v>4.3342612504510339E-2</v>
      </c>
      <c r="L41">
        <v>0</v>
      </c>
      <c r="M41">
        <v>4.3342612504510339E-2</v>
      </c>
      <c r="N41" t="s">
        <v>17</v>
      </c>
      <c r="O41">
        <v>200</v>
      </c>
      <c r="P41" s="11">
        <v>9.8636369727282558E-5</v>
      </c>
      <c r="Q41">
        <v>1E-4</v>
      </c>
      <c r="R41">
        <v>2000</v>
      </c>
      <c r="S41">
        <v>0.74623867474013073</v>
      </c>
      <c r="T41">
        <v>0.38323233714267452</v>
      </c>
      <c r="U41">
        <v>5.189603952608044</v>
      </c>
      <c r="V41">
        <v>9.6469999999999993E-3</v>
      </c>
      <c r="W41">
        <v>8.5518540000000005</v>
      </c>
      <c r="X41">
        <v>7.1656500000000003</v>
      </c>
      <c r="Y41">
        <v>44.150669999999998</v>
      </c>
      <c r="Z41">
        <v>42.528283999999999</v>
      </c>
      <c r="AA41">
        <v>1E-4</v>
      </c>
      <c r="AB41">
        <v>4.1150732908538794</v>
      </c>
      <c r="AC41">
        <v>2.7688933293668101</v>
      </c>
      <c r="AD41">
        <v>1.6426339999999999</v>
      </c>
      <c r="AE41">
        <v>0.32734243950322528</v>
      </c>
      <c r="AF41" s="6">
        <v>0.53762638576624711</v>
      </c>
      <c r="AG41">
        <v>2</v>
      </c>
    </row>
    <row r="42" spans="1:33" x14ac:dyDescent="0.3">
      <c r="A42" s="5">
        <v>41</v>
      </c>
      <c r="B42" t="s">
        <v>154</v>
      </c>
      <c r="C42">
        <v>801.18145249999361</v>
      </c>
      <c r="D42">
        <v>13.353024208333229</v>
      </c>
      <c r="E42" t="s">
        <v>155</v>
      </c>
      <c r="G42" t="s">
        <v>34</v>
      </c>
      <c r="H42" t="s">
        <v>156</v>
      </c>
      <c r="J42" t="s">
        <v>36</v>
      </c>
      <c r="K42">
        <v>2.8191474311919811E-2</v>
      </c>
      <c r="L42">
        <v>0</v>
      </c>
      <c r="M42">
        <v>2.8191474311919811E-2</v>
      </c>
      <c r="N42" t="s">
        <v>17</v>
      </c>
      <c r="O42">
        <v>121</v>
      </c>
      <c r="P42" s="11">
        <v>9.4974927254155758E-5</v>
      </c>
      <c r="Q42">
        <v>1E-4</v>
      </c>
      <c r="R42">
        <v>2000</v>
      </c>
      <c r="S42" s="23">
        <v>0.1100526452209012</v>
      </c>
      <c r="T42">
        <v>4.4252058770277394</v>
      </c>
      <c r="U42">
        <v>0.28387301061526288</v>
      </c>
      <c r="V42">
        <v>9.6469999999999993E-3</v>
      </c>
      <c r="W42">
        <v>8.5518540000000005</v>
      </c>
      <c r="X42">
        <v>7.1656500000000003</v>
      </c>
      <c r="Y42">
        <v>44.150669999999998</v>
      </c>
      <c r="Z42">
        <v>42.528283999999999</v>
      </c>
      <c r="AA42">
        <v>1E-4</v>
      </c>
      <c r="AB42">
        <v>3.181449095176371</v>
      </c>
      <c r="AC42">
        <v>6.3954667337460576</v>
      </c>
      <c r="AD42">
        <v>1.6426339999999999</v>
      </c>
      <c r="AE42">
        <v>0.5828094220948038</v>
      </c>
      <c r="AF42" s="6">
        <v>0.1000003012946015</v>
      </c>
      <c r="AG42">
        <v>1</v>
      </c>
    </row>
    <row r="43" spans="1:33" x14ac:dyDescent="0.3">
      <c r="A43" s="5">
        <v>42</v>
      </c>
      <c r="B43" t="s">
        <v>157</v>
      </c>
      <c r="C43">
        <v>5815.0278800000087</v>
      </c>
      <c r="D43">
        <v>96.917131333333472</v>
      </c>
      <c r="E43" t="s">
        <v>158</v>
      </c>
      <c r="G43" t="s">
        <v>34</v>
      </c>
      <c r="H43" t="s">
        <v>159</v>
      </c>
      <c r="J43" t="s">
        <v>36</v>
      </c>
      <c r="K43">
        <v>1.9750574773232939E-2</v>
      </c>
      <c r="L43">
        <v>0</v>
      </c>
      <c r="M43">
        <v>1.9750574773232939E-2</v>
      </c>
      <c r="N43" t="s">
        <v>17</v>
      </c>
      <c r="O43">
        <v>598</v>
      </c>
      <c r="P43" s="11">
        <v>9.9638696878770399E-5</v>
      </c>
      <c r="Q43">
        <v>1E-4</v>
      </c>
      <c r="R43">
        <v>2000</v>
      </c>
      <c r="S43" s="23">
        <v>0.12605952622185199</v>
      </c>
      <c r="T43">
        <v>0.80898060182916187</v>
      </c>
      <c r="U43">
        <v>1.6505552513407891</v>
      </c>
      <c r="V43">
        <v>9.6469999999999993E-3</v>
      </c>
      <c r="W43">
        <v>8.5518540000000005</v>
      </c>
      <c r="X43">
        <v>7.1656500000000003</v>
      </c>
      <c r="Y43">
        <v>44.150669999999998</v>
      </c>
      <c r="Z43">
        <v>42.528283999999999</v>
      </c>
      <c r="AA43">
        <v>1E-4</v>
      </c>
      <c r="AB43">
        <v>6.3464584858163198</v>
      </c>
      <c r="AC43">
        <v>7.2077376194969194</v>
      </c>
      <c r="AD43">
        <v>1.6426339999999999</v>
      </c>
      <c r="AE43">
        <v>0.60668647705468071</v>
      </c>
      <c r="AF43" s="6">
        <v>0.25304596166561011</v>
      </c>
      <c r="AG43">
        <v>2</v>
      </c>
    </row>
    <row r="44" spans="1:33" x14ac:dyDescent="0.3">
      <c r="A44" s="5">
        <v>43</v>
      </c>
      <c r="B44" t="s">
        <v>160</v>
      </c>
      <c r="C44">
        <v>8238.3212055999902</v>
      </c>
      <c r="D44">
        <v>137.3053534266665</v>
      </c>
      <c r="E44" t="s">
        <v>161</v>
      </c>
      <c r="G44" t="s">
        <v>34</v>
      </c>
      <c r="H44" t="s">
        <v>162</v>
      </c>
      <c r="J44" t="s">
        <v>36</v>
      </c>
      <c r="K44">
        <v>1.7189471988636629E-2</v>
      </c>
      <c r="L44">
        <v>0</v>
      </c>
      <c r="M44">
        <v>1.7189471988636629E-2</v>
      </c>
      <c r="N44" t="s">
        <v>17</v>
      </c>
      <c r="O44">
        <v>841</v>
      </c>
      <c r="P44" s="11">
        <v>9.3389779026669382E-5</v>
      </c>
      <c r="Q44">
        <v>1E-4</v>
      </c>
      <c r="R44">
        <v>2000</v>
      </c>
      <c r="S44" s="24">
        <v>7.8883809403219776E-2</v>
      </c>
      <c r="T44" s="16">
        <v>1.989834202392571</v>
      </c>
      <c r="U44" s="16">
        <v>3.1129349638889261</v>
      </c>
      <c r="V44" s="16">
        <v>9.6469999999999993E-3</v>
      </c>
      <c r="W44" s="16">
        <v>8.5518540000000005</v>
      </c>
      <c r="X44" s="16">
        <v>7.1656500000000003</v>
      </c>
      <c r="Y44" s="16">
        <v>44.150669999999998</v>
      </c>
      <c r="Z44" s="16">
        <v>42.528283999999999</v>
      </c>
      <c r="AA44" s="16">
        <v>1E-4</v>
      </c>
      <c r="AB44" s="16">
        <v>2.461554532498798</v>
      </c>
      <c r="AC44" s="16">
        <v>5.9148049494740906</v>
      </c>
      <c r="AD44" s="16">
        <v>1.6426339999999999</v>
      </c>
      <c r="AE44" s="16">
        <v>0.31198441176541619</v>
      </c>
      <c r="AF44" s="17">
        <v>0.52920428717387114</v>
      </c>
      <c r="AG44">
        <v>0</v>
      </c>
    </row>
    <row r="45" spans="1:33" hidden="1" x14ac:dyDescent="0.3">
      <c r="A45" s="5">
        <v>44</v>
      </c>
      <c r="B45" t="s">
        <v>163</v>
      </c>
      <c r="C45">
        <v>1713.080664100009</v>
      </c>
      <c r="D45">
        <v>28.551344401666821</v>
      </c>
      <c r="E45" t="s">
        <v>164</v>
      </c>
      <c r="G45" t="s">
        <v>34</v>
      </c>
      <c r="H45" t="s">
        <v>165</v>
      </c>
      <c r="J45" t="s">
        <v>36</v>
      </c>
      <c r="K45">
        <v>2.5491717737612211E-2</v>
      </c>
      <c r="L45">
        <v>0</v>
      </c>
      <c r="M45">
        <v>2.5491717737612211E-2</v>
      </c>
      <c r="N45" t="s">
        <v>17</v>
      </c>
      <c r="O45">
        <v>277</v>
      </c>
      <c r="P45" s="11">
        <v>8.3926602150845891E-5</v>
      </c>
      <c r="Q45">
        <v>1E-4</v>
      </c>
      <c r="R45">
        <v>2000</v>
      </c>
      <c r="S45" s="23">
        <v>0.59027284533395008</v>
      </c>
      <c r="T45">
        <v>0.72967253887345185</v>
      </c>
      <c r="U45">
        <v>5.2004075887518528</v>
      </c>
      <c r="V45">
        <v>9.6469999999999993E-3</v>
      </c>
      <c r="W45">
        <v>8.5518540000000005</v>
      </c>
      <c r="X45">
        <v>7.1656500000000003</v>
      </c>
      <c r="Y45">
        <v>44.150669999999998</v>
      </c>
      <c r="Z45">
        <v>42.528283999999999</v>
      </c>
      <c r="AA45">
        <v>1E-4</v>
      </c>
      <c r="AB45">
        <v>1.992707408782082</v>
      </c>
      <c r="AC45">
        <v>3.7815374174516858</v>
      </c>
      <c r="AD45">
        <v>1.6426339999999999</v>
      </c>
      <c r="AE45">
        <v>0.2097603282626237</v>
      </c>
      <c r="AF45" s="6">
        <v>0.64192898817429889</v>
      </c>
      <c r="AG45">
        <v>2</v>
      </c>
    </row>
    <row r="46" spans="1:33" hidden="1" x14ac:dyDescent="0.3">
      <c r="A46" s="5">
        <v>45</v>
      </c>
      <c r="B46" t="s">
        <v>166</v>
      </c>
      <c r="C46">
        <v>2684.0802187000231</v>
      </c>
      <c r="D46">
        <v>44.734670311667053</v>
      </c>
      <c r="E46" t="s">
        <v>167</v>
      </c>
      <c r="G46" t="s">
        <v>34</v>
      </c>
      <c r="H46" t="s">
        <v>168</v>
      </c>
      <c r="J46" t="s">
        <v>36</v>
      </c>
      <c r="K46">
        <v>4.2273376204148103E-2</v>
      </c>
      <c r="L46">
        <v>0</v>
      </c>
      <c r="M46">
        <v>4.2273376204148103E-2</v>
      </c>
      <c r="N46" t="s">
        <v>17</v>
      </c>
      <c r="O46">
        <v>521</v>
      </c>
      <c r="P46" s="11">
        <v>9.9063731022885248E-5</v>
      </c>
      <c r="Q46">
        <v>1E-4</v>
      </c>
      <c r="R46">
        <v>2000</v>
      </c>
      <c r="S46" s="23">
        <v>0.57618409879936505</v>
      </c>
      <c r="T46">
        <v>1.7666765324772551</v>
      </c>
      <c r="U46">
        <v>1.797508525699276</v>
      </c>
      <c r="V46">
        <v>9.6469999999999993E-3</v>
      </c>
      <c r="W46">
        <v>8.5518540000000005</v>
      </c>
      <c r="X46">
        <v>7.1656500000000003</v>
      </c>
      <c r="Y46">
        <v>44.150669999999998</v>
      </c>
      <c r="Z46">
        <v>42.528283999999999</v>
      </c>
      <c r="AA46">
        <v>1E-4</v>
      </c>
      <c r="AB46">
        <v>2.5905178027153131</v>
      </c>
      <c r="AC46">
        <v>1.6255871023536539</v>
      </c>
      <c r="AD46">
        <v>1.6426339999999999</v>
      </c>
      <c r="AE46">
        <v>0.37283516593569932</v>
      </c>
      <c r="AF46" s="6">
        <v>0.54050542640947186</v>
      </c>
      <c r="AG46">
        <v>2</v>
      </c>
    </row>
    <row r="47" spans="1:33" x14ac:dyDescent="0.3">
      <c r="A47" s="5">
        <v>46</v>
      </c>
      <c r="B47" t="s">
        <v>169</v>
      </c>
      <c r="C47">
        <v>7619.5466100000194</v>
      </c>
      <c r="D47">
        <v>126.99244350000031</v>
      </c>
      <c r="E47" t="s">
        <v>170</v>
      </c>
      <c r="G47" t="s">
        <v>34</v>
      </c>
      <c r="H47" t="s">
        <v>171</v>
      </c>
      <c r="J47" t="s">
        <v>36</v>
      </c>
      <c r="K47">
        <v>6.5581507067984292E-3</v>
      </c>
      <c r="L47">
        <v>0</v>
      </c>
      <c r="M47">
        <v>6.5581507067984292E-3</v>
      </c>
      <c r="N47" t="s">
        <v>17</v>
      </c>
      <c r="O47">
        <v>792</v>
      </c>
      <c r="P47" s="11">
        <v>9.6617142006042938E-5</v>
      </c>
      <c r="Q47">
        <v>1E-4</v>
      </c>
      <c r="R47">
        <v>2000</v>
      </c>
      <c r="S47" s="24">
        <v>0.1041206127356531</v>
      </c>
      <c r="T47" s="16">
        <v>0.69987284158389507</v>
      </c>
      <c r="U47" s="16">
        <v>5.2848496376444292</v>
      </c>
      <c r="V47" s="16">
        <v>9.6469999999999993E-3</v>
      </c>
      <c r="W47" s="16">
        <v>8.5518540000000005</v>
      </c>
      <c r="X47" s="16">
        <v>7.1656500000000003</v>
      </c>
      <c r="Y47" s="16">
        <v>44.150669999999998</v>
      </c>
      <c r="Z47" s="16">
        <v>42.528283999999999</v>
      </c>
      <c r="AA47" s="16">
        <v>1E-4</v>
      </c>
      <c r="AB47" s="16">
        <v>4.5556791886315926</v>
      </c>
      <c r="AC47" s="16">
        <v>9.5958568691340425</v>
      </c>
      <c r="AD47" s="16">
        <v>1.6426339999999999</v>
      </c>
      <c r="AE47" s="16">
        <v>0.48521752171947308</v>
      </c>
      <c r="AF47" s="17">
        <v>0.42199546060608167</v>
      </c>
      <c r="AG47">
        <v>0</v>
      </c>
    </row>
    <row r="48" spans="1:33" x14ac:dyDescent="0.3">
      <c r="A48" s="5">
        <v>47</v>
      </c>
      <c r="B48" t="s">
        <v>172</v>
      </c>
      <c r="C48">
        <v>11826.519732199989</v>
      </c>
      <c r="D48">
        <v>197.1086622033331</v>
      </c>
      <c r="E48" t="s">
        <v>173</v>
      </c>
      <c r="G48" t="s">
        <v>34</v>
      </c>
      <c r="H48" t="s">
        <v>174</v>
      </c>
      <c r="J48" t="s">
        <v>36</v>
      </c>
      <c r="K48">
        <v>1.4965088059449979E-2</v>
      </c>
      <c r="L48">
        <v>0</v>
      </c>
      <c r="M48">
        <v>1.4965088059449979E-2</v>
      </c>
      <c r="N48" t="s">
        <v>17</v>
      </c>
      <c r="O48">
        <v>1095</v>
      </c>
      <c r="P48" s="11">
        <v>5.2661424167271222E-5</v>
      </c>
      <c r="Q48">
        <v>1E-4</v>
      </c>
      <c r="R48">
        <v>2000</v>
      </c>
      <c r="S48" s="23">
        <v>0.1532570313800844</v>
      </c>
      <c r="T48">
        <v>4.2858153856020049</v>
      </c>
      <c r="U48">
        <v>2.536698845023122</v>
      </c>
      <c r="V48">
        <v>9.6469999999999993E-3</v>
      </c>
      <c r="W48">
        <v>8.5518540000000005</v>
      </c>
      <c r="X48">
        <v>7.1656500000000003</v>
      </c>
      <c r="Y48">
        <v>44.150669999999998</v>
      </c>
      <c r="Z48">
        <v>42.528283999999999</v>
      </c>
      <c r="AA48">
        <v>1E-4</v>
      </c>
      <c r="AB48">
        <v>1.7310537172207709</v>
      </c>
      <c r="AC48">
        <v>5.6974743605757574</v>
      </c>
      <c r="AD48">
        <v>1.6426339999999999</v>
      </c>
      <c r="AE48">
        <v>0.65340654941529219</v>
      </c>
      <c r="AF48" s="6">
        <v>0.22357163673787189</v>
      </c>
      <c r="AG48">
        <v>2</v>
      </c>
    </row>
    <row r="49" spans="1:33" x14ac:dyDescent="0.3">
      <c r="A49" s="5">
        <v>48</v>
      </c>
      <c r="B49" t="s">
        <v>175</v>
      </c>
      <c r="C49">
        <v>20699.013515099999</v>
      </c>
      <c r="D49">
        <v>344.98355858500003</v>
      </c>
      <c r="E49" t="s">
        <v>176</v>
      </c>
      <c r="G49" t="s">
        <v>34</v>
      </c>
      <c r="H49" t="s">
        <v>177</v>
      </c>
      <c r="J49" t="s">
        <v>36</v>
      </c>
      <c r="K49">
        <v>3.1852124648471078E-2</v>
      </c>
      <c r="L49">
        <v>0</v>
      </c>
      <c r="M49">
        <v>3.1852124648471078E-2</v>
      </c>
      <c r="N49" t="s">
        <v>17</v>
      </c>
      <c r="O49">
        <v>2001</v>
      </c>
      <c r="P49" s="11">
        <v>5.7801786159527798E-4</v>
      </c>
      <c r="Q49">
        <v>1E-4</v>
      </c>
      <c r="R49">
        <v>2000</v>
      </c>
      <c r="S49" s="23">
        <v>0.25132863463943572</v>
      </c>
      <c r="T49">
        <v>1.865459686429324</v>
      </c>
      <c r="U49">
        <v>2.1127642458299349</v>
      </c>
      <c r="V49">
        <v>9.6469999999999993E-3</v>
      </c>
      <c r="W49">
        <v>8.5518540000000005</v>
      </c>
      <c r="X49">
        <v>7.1656500000000003</v>
      </c>
      <c r="Y49">
        <v>44.150669999999998</v>
      </c>
      <c r="Z49">
        <v>42.528283999999999</v>
      </c>
      <c r="AA49">
        <v>1E-4</v>
      </c>
      <c r="AB49">
        <v>3.8341718214547158</v>
      </c>
      <c r="AC49">
        <v>9.9996869851837449</v>
      </c>
      <c r="AD49">
        <v>1.6426339999999999</v>
      </c>
      <c r="AE49">
        <v>0.67902187981733841</v>
      </c>
      <c r="AF49" s="6">
        <v>0.22568589986582061</v>
      </c>
      <c r="AG49">
        <v>1</v>
      </c>
    </row>
    <row r="50" spans="1:33" hidden="1" x14ac:dyDescent="0.3">
      <c r="A50" s="5">
        <v>49</v>
      </c>
      <c r="B50" t="s">
        <v>178</v>
      </c>
      <c r="C50">
        <v>4765.2219034000009</v>
      </c>
      <c r="D50">
        <v>79.420365056666682</v>
      </c>
      <c r="E50" t="s">
        <v>179</v>
      </c>
      <c r="G50" t="s">
        <v>34</v>
      </c>
      <c r="H50" t="s">
        <v>180</v>
      </c>
      <c r="J50" t="s">
        <v>36</v>
      </c>
      <c r="K50">
        <v>5.2961521648141233E-2</v>
      </c>
      <c r="L50">
        <v>0</v>
      </c>
      <c r="M50">
        <v>5.2961521648141233E-2</v>
      </c>
      <c r="N50" t="s">
        <v>17</v>
      </c>
      <c r="O50">
        <v>80</v>
      </c>
      <c r="P50" s="11">
        <v>9.4732513920650326E-5</v>
      </c>
      <c r="Q50">
        <v>1E-4</v>
      </c>
      <c r="R50">
        <v>2000</v>
      </c>
      <c r="S50">
        <v>0.1404611143406049</v>
      </c>
      <c r="T50">
        <v>3.6442763566270329</v>
      </c>
      <c r="U50">
        <v>1.0005176361906339E-2</v>
      </c>
      <c r="V50">
        <v>9.6469999999999993E-3</v>
      </c>
      <c r="W50">
        <v>8.5518540000000005</v>
      </c>
      <c r="X50">
        <v>7.1656500000000003</v>
      </c>
      <c r="Y50">
        <v>44.150669999999998</v>
      </c>
      <c r="Z50">
        <v>42.528283999999999</v>
      </c>
      <c r="AA50">
        <v>1E-4</v>
      </c>
      <c r="AB50">
        <v>9.9988425803023429</v>
      </c>
      <c r="AC50">
        <v>8.3897582583256849</v>
      </c>
      <c r="AD50">
        <v>1.6426339999999999</v>
      </c>
      <c r="AE50">
        <v>0.72077261606258325</v>
      </c>
      <c r="AF50" s="6">
        <v>0.1000001033488027</v>
      </c>
      <c r="AG50">
        <v>2</v>
      </c>
    </row>
    <row r="51" spans="1:33" x14ac:dyDescent="0.3">
      <c r="A51" s="7">
        <v>50</v>
      </c>
      <c r="B51" s="8" t="s">
        <v>181</v>
      </c>
      <c r="C51" s="8">
        <v>23030.39911909998</v>
      </c>
      <c r="D51" s="8">
        <v>383.83998531833299</v>
      </c>
      <c r="E51" s="8" t="s">
        <v>182</v>
      </c>
      <c r="F51" s="8"/>
      <c r="G51" s="8" t="s">
        <v>34</v>
      </c>
      <c r="H51" s="8" t="s">
        <v>183</v>
      </c>
      <c r="I51" s="8"/>
      <c r="J51" s="8" t="s">
        <v>36</v>
      </c>
      <c r="K51" s="8">
        <v>2.795408067721538E-2</v>
      </c>
      <c r="L51" s="8">
        <v>0</v>
      </c>
      <c r="M51" s="8">
        <v>2.795408067721538E-2</v>
      </c>
      <c r="N51" s="8" t="s">
        <v>17</v>
      </c>
      <c r="O51" s="8">
        <v>1080</v>
      </c>
      <c r="P51" s="12">
        <v>2.8808391582529199E-5</v>
      </c>
      <c r="Q51" s="8">
        <v>1E-4</v>
      </c>
      <c r="R51" s="8">
        <v>2000</v>
      </c>
      <c r="S51" s="27">
        <v>0.18926287318219631</v>
      </c>
      <c r="T51" s="19">
        <v>2.1183458303736882</v>
      </c>
      <c r="U51" s="19">
        <v>0.7208950141080489</v>
      </c>
      <c r="V51" s="19">
        <v>9.6469999999999993E-3</v>
      </c>
      <c r="W51" s="19">
        <v>8.5518540000000005</v>
      </c>
      <c r="X51" s="19">
        <v>7.1656500000000003</v>
      </c>
      <c r="Y51" s="19">
        <v>44.150669999999998</v>
      </c>
      <c r="Z51" s="19">
        <v>42.528283999999999</v>
      </c>
      <c r="AA51" s="19">
        <v>1E-4</v>
      </c>
      <c r="AB51" s="19">
        <v>4.8733462729098376</v>
      </c>
      <c r="AC51" s="19">
        <v>9.9971870927159774</v>
      </c>
      <c r="AD51" s="19">
        <v>1.6426339999999999</v>
      </c>
      <c r="AE51" s="19">
        <v>0.54004090963627938</v>
      </c>
      <c r="AF51" s="20">
        <v>0.2783457776910146</v>
      </c>
      <c r="AG51">
        <v>0</v>
      </c>
    </row>
    <row r="53" spans="1:33" x14ac:dyDescent="0.3">
      <c r="S53">
        <f>AVERAGE(S2:S51)</f>
        <v>0.25738966483908388</v>
      </c>
      <c r="T53">
        <f t="shared" ref="T53:AF53" si="0">AVERAGE(T2:T51)</f>
        <v>2.0372200214497731</v>
      </c>
      <c r="U53">
        <f t="shared" si="0"/>
        <v>3.041773907244171</v>
      </c>
      <c r="AB53">
        <f t="shared" si="0"/>
        <v>3.6388165954822811</v>
      </c>
      <c r="AC53">
        <f t="shared" si="0"/>
        <v>7.0958930969653684</v>
      </c>
      <c r="AE53">
        <f t="shared" si="0"/>
        <v>0.43242131484063928</v>
      </c>
      <c r="AF53">
        <f t="shared" si="0"/>
        <v>0.44421546170083981</v>
      </c>
    </row>
    <row r="54" spans="1:33" x14ac:dyDescent="0.3">
      <c r="S54">
        <f>STDEVA(S2:S51)</f>
        <v>0.20065849855659187</v>
      </c>
      <c r="T54">
        <f t="shared" ref="T54:AF54" si="1">STDEVA(T2:T51)</f>
        <v>1.2892875694282213</v>
      </c>
      <c r="U54">
        <f t="shared" si="1"/>
        <v>2.4960476819747823</v>
      </c>
      <c r="AB54">
        <f t="shared" si="1"/>
        <v>1.9437923710138838</v>
      </c>
      <c r="AC54">
        <f t="shared" si="1"/>
        <v>2.7954726459813446</v>
      </c>
      <c r="AE54">
        <f t="shared" si="1"/>
        <v>0.16826592298232318</v>
      </c>
      <c r="AF54">
        <f t="shared" si="1"/>
        <v>0.20131704862738331</v>
      </c>
    </row>
  </sheetData>
  <autoFilter ref="A1:AG51" xr:uid="{0F016613-F55F-4B3B-BA65-706A25AB561D}">
    <filterColumn colId="0">
      <filters>
        <filter val="1"/>
        <filter val="11"/>
        <filter val="12"/>
        <filter val="13"/>
        <filter val="14"/>
        <filter val="16"/>
        <filter val="17"/>
        <filter val="18"/>
        <filter val="19"/>
        <filter val="2"/>
        <filter val="21"/>
        <filter val="24"/>
        <filter val="25"/>
        <filter val="26"/>
        <filter val="27"/>
        <filter val="28"/>
        <filter val="29"/>
        <filter val="31"/>
        <filter val="32"/>
        <filter val="35"/>
        <filter val="37"/>
        <filter val="38"/>
        <filter val="39"/>
        <filter val="4"/>
        <filter val="41"/>
        <filter val="42"/>
        <filter val="43"/>
        <filter val="46"/>
        <filter val="47"/>
        <filter val="48"/>
        <filter val="5"/>
        <filter val="50"/>
        <filter val="6"/>
        <filter val="7"/>
        <filter val="9"/>
      </filters>
    </filterColumn>
  </autoFilter>
  <conditionalFormatting sqref="P2:P51">
    <cfRule type="cellIs" dxfId="25" priority="8" operator="greaterThan">
      <formula>0.0001</formula>
    </cfRule>
  </conditionalFormatting>
  <conditionalFormatting sqref="S2:S51">
    <cfRule type="top10" dxfId="24" priority="7" percent="1" rank="15"/>
  </conditionalFormatting>
  <conditionalFormatting sqref="T2:T51">
    <cfRule type="top10" dxfId="23" priority="6" percent="1" rank="15"/>
  </conditionalFormatting>
  <conditionalFormatting sqref="U2:U51">
    <cfRule type="top10" dxfId="22" priority="5" percent="1" rank="15"/>
  </conditionalFormatting>
  <conditionalFormatting sqref="AB2:AB51">
    <cfRule type="top10" dxfId="21" priority="4" percent="1" rank="15"/>
  </conditionalFormatting>
  <conditionalFormatting sqref="AC2:AC51">
    <cfRule type="top10" dxfId="20" priority="1" percent="1" bottom="1" rank="15"/>
  </conditionalFormatting>
  <conditionalFormatting sqref="AE2:AE51">
    <cfRule type="top10" dxfId="19" priority="3" percent="1" rank="15"/>
  </conditionalFormatting>
  <conditionalFormatting sqref="AF2:AF51">
    <cfRule type="top10" dxfId="18" priority="2" percent="1" rank="15"/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7F96-AC29-4757-AA59-69C061CA028A}">
  <dimension ref="A1:AF44"/>
  <sheetViews>
    <sheetView topLeftCell="G19" zoomScale="79" zoomScaleNormal="80" workbookViewId="0">
      <selection activeCell="D96" sqref="D96"/>
    </sheetView>
  </sheetViews>
  <sheetFormatPr baseColWidth="10" defaultColWidth="8.88671875" defaultRowHeight="14.4" x14ac:dyDescent="0.3"/>
  <cols>
    <col min="2" max="2" width="18" bestFit="1" customWidth="1"/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3">
        <v>0.49122929896424561</v>
      </c>
      <c r="T2" s="3">
        <v>1.5270804877388759</v>
      </c>
      <c r="U2" s="3">
        <v>1.9259065797858199</v>
      </c>
      <c r="V2" s="3">
        <v>9.6469999999999993E-3</v>
      </c>
      <c r="W2" s="3">
        <v>8.5518540000000005</v>
      </c>
      <c r="X2" s="3">
        <v>7.1656500000000003</v>
      </c>
      <c r="Y2" s="3">
        <v>44.150669999999998</v>
      </c>
      <c r="Z2" s="3">
        <v>42.528283999999999</v>
      </c>
      <c r="AA2" s="3">
        <v>1E-4</v>
      </c>
      <c r="AB2" s="3">
        <v>3.3107923860306911</v>
      </c>
      <c r="AC2" s="3">
        <v>6.1597599245610413</v>
      </c>
      <c r="AD2" s="3">
        <v>1.6426339999999999</v>
      </c>
      <c r="AE2" s="3">
        <v>0.31022465459519422</v>
      </c>
      <c r="AF2" s="4">
        <v>0.54665308919257394</v>
      </c>
    </row>
    <row r="3" spans="1:32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</row>
    <row r="4" spans="1:32" x14ac:dyDescent="0.3">
      <c r="A4" s="5">
        <v>4</v>
      </c>
      <c r="B4" t="s">
        <v>43</v>
      </c>
      <c r="C4">
        <v>7318.5311609999917</v>
      </c>
      <c r="D4">
        <v>121.9755193499999</v>
      </c>
      <c r="E4" t="s">
        <v>44</v>
      </c>
      <c r="G4" t="s">
        <v>34</v>
      </c>
      <c r="H4" t="s">
        <v>45</v>
      </c>
      <c r="J4" t="s">
        <v>36</v>
      </c>
      <c r="K4">
        <v>1.9154109697566511E-2</v>
      </c>
      <c r="L4">
        <v>0</v>
      </c>
      <c r="M4">
        <v>1.9154109697566511E-2</v>
      </c>
      <c r="N4" t="s">
        <v>17</v>
      </c>
      <c r="O4">
        <v>170</v>
      </c>
      <c r="P4" s="11">
        <v>9.9770959924361978E-5</v>
      </c>
      <c r="Q4">
        <v>1E-4</v>
      </c>
      <c r="R4">
        <v>2000</v>
      </c>
      <c r="S4">
        <v>0.23867230327866931</v>
      </c>
      <c r="T4">
        <v>1.4789405335040691</v>
      </c>
      <c r="U4">
        <v>1.137318705859411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4.7487233770171322</v>
      </c>
      <c r="AC4">
        <v>5.5804137605699884</v>
      </c>
      <c r="AD4">
        <v>1.6426339999999999</v>
      </c>
      <c r="AE4">
        <v>0.35821627237548298</v>
      </c>
      <c r="AF4" s="6">
        <v>0.60828105216998085</v>
      </c>
    </row>
    <row r="5" spans="1:32" x14ac:dyDescent="0.3">
      <c r="A5" s="5">
        <v>5</v>
      </c>
      <c r="B5" t="s">
        <v>46</v>
      </c>
      <c r="C5">
        <v>7374.550728000002</v>
      </c>
      <c r="D5">
        <v>122.90917880000001</v>
      </c>
      <c r="E5" t="s">
        <v>47</v>
      </c>
      <c r="G5" t="s">
        <v>34</v>
      </c>
      <c r="H5" t="s">
        <v>48</v>
      </c>
      <c r="J5" t="s">
        <v>36</v>
      </c>
      <c r="K5">
        <v>3.4835567092652363E-2</v>
      </c>
      <c r="L5">
        <v>0</v>
      </c>
      <c r="M5">
        <v>3.4835567092652363E-2</v>
      </c>
      <c r="N5" t="s">
        <v>17</v>
      </c>
      <c r="O5">
        <v>820</v>
      </c>
      <c r="P5" s="11">
        <v>8.9495828330964918E-5</v>
      </c>
      <c r="Q5">
        <v>1E-4</v>
      </c>
      <c r="R5">
        <v>2000</v>
      </c>
      <c r="S5" s="13">
        <v>0.2215474581717817</v>
      </c>
      <c r="T5">
        <v>1.7632632704774971</v>
      </c>
      <c r="U5">
        <v>3.8822158056424811</v>
      </c>
      <c r="V5">
        <v>9.6469999999999993E-3</v>
      </c>
      <c r="W5">
        <v>8.5518540000000005</v>
      </c>
      <c r="X5">
        <v>7.1656500000000003</v>
      </c>
      <c r="Y5">
        <v>44.150669999999998</v>
      </c>
      <c r="Z5">
        <v>42.528283999999999</v>
      </c>
      <c r="AA5">
        <v>1E-4</v>
      </c>
      <c r="AB5">
        <v>2.5366740295826569</v>
      </c>
      <c r="AC5">
        <v>7.0276789570579181</v>
      </c>
      <c r="AD5">
        <v>1.6426339999999999</v>
      </c>
      <c r="AE5">
        <v>0.58980414277809312</v>
      </c>
      <c r="AF5" s="6">
        <v>0.29932090289880298</v>
      </c>
    </row>
    <row r="6" spans="1:32" x14ac:dyDescent="0.3">
      <c r="A6" s="5">
        <v>6</v>
      </c>
      <c r="B6" t="s">
        <v>49</v>
      </c>
      <c r="C6">
        <v>5694.3620688000228</v>
      </c>
      <c r="D6">
        <v>94.906034480000386</v>
      </c>
      <c r="E6" t="s">
        <v>50</v>
      </c>
      <c r="G6" t="s">
        <v>34</v>
      </c>
      <c r="H6" t="s">
        <v>51</v>
      </c>
      <c r="J6" t="s">
        <v>36</v>
      </c>
      <c r="K6">
        <v>1.2291011892049669E-2</v>
      </c>
      <c r="L6">
        <v>0</v>
      </c>
      <c r="M6">
        <v>1.2291011892049669E-2</v>
      </c>
      <c r="N6" t="s">
        <v>17</v>
      </c>
      <c r="O6">
        <v>378</v>
      </c>
      <c r="P6" s="11">
        <v>9.7765343569708419E-5</v>
      </c>
      <c r="Q6">
        <v>1E-4</v>
      </c>
      <c r="R6">
        <v>2000</v>
      </c>
      <c r="S6" s="13">
        <v>7.1046409533329261E-2</v>
      </c>
      <c r="T6">
        <v>3.3738439668184652</v>
      </c>
      <c r="U6">
        <v>2.3322033875726329</v>
      </c>
      <c r="V6">
        <v>9.6469999999999993E-3</v>
      </c>
      <c r="W6">
        <v>8.5518540000000005</v>
      </c>
      <c r="X6">
        <v>7.1656500000000003</v>
      </c>
      <c r="Y6">
        <v>44.150669999999998</v>
      </c>
      <c r="Z6">
        <v>42.528283999999999</v>
      </c>
      <c r="AA6">
        <v>1E-4</v>
      </c>
      <c r="AB6">
        <v>2.1760985567100839</v>
      </c>
      <c r="AC6">
        <v>7.3611499471052522</v>
      </c>
      <c r="AD6">
        <v>1.6426339999999999</v>
      </c>
      <c r="AE6">
        <v>0.42272115248163261</v>
      </c>
      <c r="AF6" s="6">
        <v>0.41214687694987062</v>
      </c>
    </row>
    <row r="7" spans="1:32" x14ac:dyDescent="0.3">
      <c r="A7" s="5">
        <v>7</v>
      </c>
      <c r="B7" t="s">
        <v>52</v>
      </c>
      <c r="C7">
        <v>15231.7497136</v>
      </c>
      <c r="D7">
        <v>253.86249522666671</v>
      </c>
      <c r="E7" t="s">
        <v>53</v>
      </c>
      <c r="G7" t="s">
        <v>34</v>
      </c>
      <c r="H7" t="s">
        <v>54</v>
      </c>
      <c r="J7" t="s">
        <v>36</v>
      </c>
      <c r="K7">
        <v>1.057828657334144E-2</v>
      </c>
      <c r="L7">
        <v>0</v>
      </c>
      <c r="M7">
        <v>1.057828657334144E-2</v>
      </c>
      <c r="N7" t="s">
        <v>17</v>
      </c>
      <c r="O7">
        <v>2001</v>
      </c>
      <c r="P7" s="11">
        <v>8.4329416212390856E-4</v>
      </c>
      <c r="Q7">
        <v>1E-4</v>
      </c>
      <c r="R7">
        <v>2000</v>
      </c>
      <c r="S7" s="13">
        <v>0.1297696297226717</v>
      </c>
      <c r="T7">
        <v>1.100316472242042</v>
      </c>
      <c r="U7">
        <v>3.2764644886323269</v>
      </c>
      <c r="V7">
        <v>9.6469999999999993E-3</v>
      </c>
      <c r="W7">
        <v>8.5518540000000005</v>
      </c>
      <c r="X7">
        <v>7.1656500000000003</v>
      </c>
      <c r="Y7">
        <v>44.150669999999998</v>
      </c>
      <c r="Z7">
        <v>42.528283999999999</v>
      </c>
      <c r="AA7">
        <v>1E-4</v>
      </c>
      <c r="AB7">
        <v>2.1972924445174771</v>
      </c>
      <c r="AC7">
        <v>5.6254618072746307</v>
      </c>
      <c r="AD7">
        <v>1.6426339999999999</v>
      </c>
      <c r="AE7">
        <v>0.22361832346956681</v>
      </c>
      <c r="AF7" s="6">
        <v>0.72267916407755917</v>
      </c>
    </row>
    <row r="8" spans="1:32" x14ac:dyDescent="0.3">
      <c r="A8" s="5">
        <v>9</v>
      </c>
      <c r="B8" t="s">
        <v>58</v>
      </c>
      <c r="C8">
        <v>2026.802363299998</v>
      </c>
      <c r="D8">
        <v>33.780039388333293</v>
      </c>
      <c r="E8" t="s">
        <v>59</v>
      </c>
      <c r="G8" t="s">
        <v>34</v>
      </c>
      <c r="H8" t="s">
        <v>60</v>
      </c>
      <c r="J8" t="s">
        <v>36</v>
      </c>
      <c r="K8">
        <v>2.0507348618881031E-2</v>
      </c>
      <c r="L8">
        <v>0</v>
      </c>
      <c r="M8">
        <v>2.0507348618881031E-2</v>
      </c>
      <c r="N8" t="s">
        <v>17</v>
      </c>
      <c r="O8">
        <v>301</v>
      </c>
      <c r="P8" s="11">
        <v>9.8301866082106659E-5</v>
      </c>
      <c r="Q8">
        <v>1E-4</v>
      </c>
      <c r="R8">
        <v>2000</v>
      </c>
      <c r="S8" s="13">
        <v>0.2312320810462489</v>
      </c>
      <c r="T8">
        <v>1.718642886072322</v>
      </c>
      <c r="U8">
        <v>2.997279945587831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2.3541994629890439</v>
      </c>
      <c r="AC8">
        <v>8.2355175536869432</v>
      </c>
      <c r="AD8">
        <v>1.6426339999999999</v>
      </c>
      <c r="AE8">
        <v>0.33402337444756869</v>
      </c>
      <c r="AF8" s="6">
        <v>0.52953327715501552</v>
      </c>
    </row>
    <row r="9" spans="1:32" x14ac:dyDescent="0.3">
      <c r="A9" s="5">
        <v>11</v>
      </c>
      <c r="B9" t="s">
        <v>64</v>
      </c>
      <c r="C9">
        <v>5786.3767086000007</v>
      </c>
      <c r="D9">
        <v>96.439611810000017</v>
      </c>
      <c r="E9" t="s">
        <v>65</v>
      </c>
      <c r="G9" t="s">
        <v>34</v>
      </c>
      <c r="H9" t="s">
        <v>66</v>
      </c>
      <c r="J9" t="s">
        <v>36</v>
      </c>
      <c r="K9">
        <v>2.4991082200323301E-2</v>
      </c>
      <c r="L9">
        <v>0</v>
      </c>
      <c r="M9">
        <v>2.4991082200323301E-2</v>
      </c>
      <c r="N9" t="s">
        <v>17</v>
      </c>
      <c r="O9">
        <v>283</v>
      </c>
      <c r="P9" s="11">
        <v>9.8613290712376561E-5</v>
      </c>
      <c r="Q9">
        <v>1E-4</v>
      </c>
      <c r="R9">
        <v>2000</v>
      </c>
      <c r="S9" s="13">
        <v>0.35445682383815608</v>
      </c>
      <c r="T9">
        <v>2.895646996567776</v>
      </c>
      <c r="U9">
        <v>2.4417178876658232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2.0720119469016951</v>
      </c>
      <c r="AC9">
        <v>8.140244314273005</v>
      </c>
      <c r="AD9">
        <v>1.6426339999999999</v>
      </c>
      <c r="AE9">
        <v>0.43603437708916032</v>
      </c>
      <c r="AF9" s="6">
        <v>0.4738792844859725</v>
      </c>
    </row>
    <row r="10" spans="1:32" x14ac:dyDescent="0.3">
      <c r="A10" s="5">
        <v>12</v>
      </c>
      <c r="B10" t="s">
        <v>67</v>
      </c>
      <c r="C10">
        <v>28266.52760229999</v>
      </c>
      <c r="D10">
        <v>471.10879337166648</v>
      </c>
      <c r="E10" t="s">
        <v>68</v>
      </c>
      <c r="G10" t="s">
        <v>34</v>
      </c>
      <c r="H10" t="s">
        <v>69</v>
      </c>
      <c r="J10" t="s">
        <v>36</v>
      </c>
      <c r="K10">
        <v>2.3834521668663389E-2</v>
      </c>
      <c r="L10">
        <v>0</v>
      </c>
      <c r="M10">
        <v>2.3834521668663389E-2</v>
      </c>
      <c r="N10" t="s">
        <v>17</v>
      </c>
      <c r="O10">
        <v>2001</v>
      </c>
      <c r="P10" s="11">
        <v>3.0236792461020489E-3</v>
      </c>
      <c r="Q10">
        <v>1E-4</v>
      </c>
      <c r="R10">
        <v>2000</v>
      </c>
      <c r="S10" s="13">
        <v>0.1937974998036483</v>
      </c>
      <c r="T10">
        <v>1.305003992855698</v>
      </c>
      <c r="U10">
        <v>2.162669253941381</v>
      </c>
      <c r="V10">
        <v>9.6469999999999993E-3</v>
      </c>
      <c r="W10">
        <v>8.5518540000000005</v>
      </c>
      <c r="X10">
        <v>7.1656500000000003</v>
      </c>
      <c r="Y10">
        <v>44.150669999999998</v>
      </c>
      <c r="Z10">
        <v>42.528283999999999</v>
      </c>
      <c r="AA10">
        <v>1E-4</v>
      </c>
      <c r="AB10">
        <v>3.5333794506754348</v>
      </c>
      <c r="AC10">
        <v>9.9584996242521857</v>
      </c>
      <c r="AD10">
        <v>1.6426339999999999</v>
      </c>
      <c r="AE10">
        <v>0.27490580520813779</v>
      </c>
      <c r="AF10" s="6">
        <v>0.59371405082027096</v>
      </c>
    </row>
    <row r="11" spans="1:32" x14ac:dyDescent="0.3">
      <c r="A11" s="5">
        <v>13</v>
      </c>
      <c r="B11" t="s">
        <v>70</v>
      </c>
      <c r="C11">
        <v>5024.0627505999873</v>
      </c>
      <c r="D11">
        <v>83.734379176666451</v>
      </c>
      <c r="E11" t="s">
        <v>71</v>
      </c>
      <c r="G11" t="s">
        <v>34</v>
      </c>
      <c r="H11" t="s">
        <v>72</v>
      </c>
      <c r="J11" t="s">
        <v>36</v>
      </c>
      <c r="K11">
        <v>4.075483124784126E-2</v>
      </c>
      <c r="L11">
        <v>0</v>
      </c>
      <c r="M11">
        <v>4.075483124784126E-2</v>
      </c>
      <c r="N11" t="s">
        <v>17</v>
      </c>
      <c r="O11">
        <v>163</v>
      </c>
      <c r="P11" s="11">
        <v>9.4957242368113107E-5</v>
      </c>
      <c r="Q11">
        <v>1E-4</v>
      </c>
      <c r="R11">
        <v>2000</v>
      </c>
      <c r="S11" s="13">
        <v>0.47507925889546099</v>
      </c>
      <c r="T11">
        <v>1.7942830917244461</v>
      </c>
      <c r="U11">
        <v>1.536080827207515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3.0630033486266108</v>
      </c>
      <c r="AC11">
        <v>9.8713319233272756</v>
      </c>
      <c r="AD11">
        <v>1.6426339999999999</v>
      </c>
      <c r="AE11">
        <v>0.45417614586722482</v>
      </c>
      <c r="AF11" s="6">
        <v>0.37020863228583628</v>
      </c>
    </row>
    <row r="12" spans="1:32" x14ac:dyDescent="0.3">
      <c r="A12" s="5">
        <v>14</v>
      </c>
      <c r="B12" t="s">
        <v>73</v>
      </c>
      <c r="C12">
        <v>5644.6686482999939</v>
      </c>
      <c r="D12">
        <v>94.077810804999899</v>
      </c>
      <c r="E12" t="s">
        <v>74</v>
      </c>
      <c r="G12" t="s">
        <v>34</v>
      </c>
      <c r="H12" t="s">
        <v>75</v>
      </c>
      <c r="J12" t="s">
        <v>36</v>
      </c>
      <c r="K12">
        <v>2.3393480287682549E-2</v>
      </c>
      <c r="L12">
        <v>0</v>
      </c>
      <c r="M12">
        <v>2.3393480287682549E-2</v>
      </c>
      <c r="N12" t="s">
        <v>17</v>
      </c>
      <c r="O12">
        <v>593</v>
      </c>
      <c r="P12" s="11">
        <v>9.994242130357086E-5</v>
      </c>
      <c r="Q12">
        <v>1E-4</v>
      </c>
      <c r="R12">
        <v>2000</v>
      </c>
      <c r="S12">
        <v>0.1400943037433009</v>
      </c>
      <c r="T12">
        <v>2.5765714714097321</v>
      </c>
      <c r="U12">
        <v>2.8573243947471481</v>
      </c>
      <c r="V12">
        <v>9.6469999999999993E-3</v>
      </c>
      <c r="W12">
        <v>8.5518540000000005</v>
      </c>
      <c r="X12">
        <v>7.1656500000000003</v>
      </c>
      <c r="Y12">
        <v>44.150669999999998</v>
      </c>
      <c r="Z12">
        <v>42.528283999999999</v>
      </c>
      <c r="AA12">
        <v>1E-4</v>
      </c>
      <c r="AB12">
        <v>1.945967410891327</v>
      </c>
      <c r="AC12">
        <v>9.9831868103195394</v>
      </c>
      <c r="AD12">
        <v>1.6426339999999999</v>
      </c>
      <c r="AE12">
        <v>0.34218172241272238</v>
      </c>
      <c r="AF12" s="6">
        <v>0.51117062692806203</v>
      </c>
    </row>
    <row r="13" spans="1:32" x14ac:dyDescent="0.3">
      <c r="A13" s="5">
        <v>16</v>
      </c>
      <c r="B13" t="s">
        <v>79</v>
      </c>
      <c r="C13">
        <v>18658.914202199991</v>
      </c>
      <c r="D13">
        <v>310.98190336999983</v>
      </c>
      <c r="E13" t="s">
        <v>80</v>
      </c>
      <c r="G13" t="s">
        <v>34</v>
      </c>
      <c r="H13" t="s">
        <v>81</v>
      </c>
      <c r="J13" t="s">
        <v>36</v>
      </c>
      <c r="K13">
        <v>1.8639392445070579E-2</v>
      </c>
      <c r="L13">
        <v>0</v>
      </c>
      <c r="M13">
        <v>1.8639392445070579E-2</v>
      </c>
      <c r="N13" t="s">
        <v>17</v>
      </c>
      <c r="O13">
        <v>2001</v>
      </c>
      <c r="P13" s="11">
        <v>2.5010509107454318E-4</v>
      </c>
      <c r="Q13">
        <v>1E-4</v>
      </c>
      <c r="R13">
        <v>2000</v>
      </c>
      <c r="S13">
        <v>0.1070697432326719</v>
      </c>
      <c r="T13">
        <v>0.84108690838249922</v>
      </c>
      <c r="U13">
        <v>1.3930663481851771</v>
      </c>
      <c r="V13">
        <v>9.6469999999999993E-3</v>
      </c>
      <c r="W13">
        <v>8.5518540000000005</v>
      </c>
      <c r="X13">
        <v>7.1656500000000003</v>
      </c>
      <c r="Y13">
        <v>44.150669999999998</v>
      </c>
      <c r="Z13">
        <v>42.528283999999999</v>
      </c>
      <c r="AA13">
        <v>1E-4</v>
      </c>
      <c r="AB13">
        <v>7.0794181127694831</v>
      </c>
      <c r="AC13">
        <v>5.1024858503608908</v>
      </c>
      <c r="AD13">
        <v>1.6426339999999999</v>
      </c>
      <c r="AE13">
        <v>0.68414137490005245</v>
      </c>
      <c r="AF13" s="6">
        <v>0.22135648461899099</v>
      </c>
    </row>
    <row r="14" spans="1:32" x14ac:dyDescent="0.3">
      <c r="A14" s="5">
        <v>17</v>
      </c>
      <c r="B14" t="s">
        <v>82</v>
      </c>
      <c r="C14">
        <v>21111.6125092</v>
      </c>
      <c r="D14">
        <v>351.86020848666669</v>
      </c>
      <c r="E14" t="s">
        <v>83</v>
      </c>
      <c r="G14" t="s">
        <v>34</v>
      </c>
      <c r="H14" t="s">
        <v>84</v>
      </c>
      <c r="J14" t="s">
        <v>36</v>
      </c>
      <c r="K14">
        <v>1.9031896178424979E-2</v>
      </c>
      <c r="L14">
        <v>0</v>
      </c>
      <c r="M14">
        <v>1.9031896178424979E-2</v>
      </c>
      <c r="N14" t="s">
        <v>17</v>
      </c>
      <c r="O14">
        <v>2001</v>
      </c>
      <c r="P14" s="11">
        <v>1.604056233756677E-4</v>
      </c>
      <c r="Q14">
        <v>1E-4</v>
      </c>
      <c r="R14">
        <v>2000</v>
      </c>
      <c r="S14">
        <v>0.13943642659037339</v>
      </c>
      <c r="T14">
        <v>1.4375904770707839</v>
      </c>
      <c r="U14">
        <v>1.17514855524946</v>
      </c>
      <c r="V14">
        <v>9.6469999999999993E-3</v>
      </c>
      <c r="W14">
        <v>8.5518540000000005</v>
      </c>
      <c r="X14">
        <v>7.1656500000000003</v>
      </c>
      <c r="Y14">
        <v>44.150669999999998</v>
      </c>
      <c r="Z14">
        <v>42.528283999999999</v>
      </c>
      <c r="AA14">
        <v>1E-4</v>
      </c>
      <c r="AB14">
        <v>6.527551914797427</v>
      </c>
      <c r="AC14">
        <v>6.2341027278068388</v>
      </c>
      <c r="AD14">
        <v>1.6426339999999999</v>
      </c>
      <c r="AE14">
        <v>0.32014943742462582</v>
      </c>
      <c r="AF14" s="6">
        <v>0.54753100362087015</v>
      </c>
    </row>
    <row r="15" spans="1:32" x14ac:dyDescent="0.3">
      <c r="A15" s="5">
        <v>18</v>
      </c>
      <c r="B15" t="s">
        <v>85</v>
      </c>
      <c r="C15">
        <v>20588.614749</v>
      </c>
      <c r="D15">
        <v>343.14357914999999</v>
      </c>
      <c r="E15" t="s">
        <v>86</v>
      </c>
      <c r="G15" t="s">
        <v>34</v>
      </c>
      <c r="H15" t="s">
        <v>87</v>
      </c>
      <c r="J15" t="s">
        <v>36</v>
      </c>
      <c r="K15">
        <v>2.4723539734177399E-2</v>
      </c>
      <c r="L15">
        <v>0</v>
      </c>
      <c r="M15">
        <v>2.4723539734177399E-2</v>
      </c>
      <c r="N15" t="s">
        <v>17</v>
      </c>
      <c r="O15">
        <v>901</v>
      </c>
      <c r="P15" s="11">
        <v>9.5859297039156189E-5</v>
      </c>
      <c r="Q15">
        <v>1E-4</v>
      </c>
      <c r="R15">
        <v>2000</v>
      </c>
      <c r="S15">
        <v>0.1957220287925758</v>
      </c>
      <c r="T15">
        <v>1.8413149759623919</v>
      </c>
      <c r="U15">
        <v>1.142151867830226</v>
      </c>
      <c r="V15">
        <v>9.6469999999999993E-3</v>
      </c>
      <c r="W15">
        <v>8.5518540000000005</v>
      </c>
      <c r="X15">
        <v>7.1656500000000003</v>
      </c>
      <c r="Y15">
        <v>44.150669999999998</v>
      </c>
      <c r="Z15">
        <v>42.528283999999999</v>
      </c>
      <c r="AA15">
        <v>1E-4</v>
      </c>
      <c r="AB15">
        <v>4.357026494323847</v>
      </c>
      <c r="AC15">
        <v>9.5224248843655364</v>
      </c>
      <c r="AD15">
        <v>1.6426339999999999</v>
      </c>
      <c r="AE15">
        <v>0.50051089460210196</v>
      </c>
      <c r="AF15" s="6">
        <v>0.33005485774102938</v>
      </c>
    </row>
    <row r="16" spans="1:32" x14ac:dyDescent="0.3">
      <c r="A16" s="5">
        <v>19</v>
      </c>
      <c r="B16" t="s">
        <v>88</v>
      </c>
      <c r="C16">
        <v>4922.2885048000026</v>
      </c>
      <c r="D16">
        <v>82.03814174666671</v>
      </c>
      <c r="E16" t="s">
        <v>89</v>
      </c>
      <c r="G16" t="s">
        <v>34</v>
      </c>
      <c r="H16" t="s">
        <v>90</v>
      </c>
      <c r="J16" t="s">
        <v>36</v>
      </c>
      <c r="K16">
        <v>2.1089386883793221E-2</v>
      </c>
      <c r="L16">
        <v>0</v>
      </c>
      <c r="M16">
        <v>2.1089386883793221E-2</v>
      </c>
      <c r="N16" t="s">
        <v>17</v>
      </c>
      <c r="O16">
        <v>602</v>
      </c>
      <c r="P16" s="11">
        <v>9.8179584203664892E-5</v>
      </c>
      <c r="Q16">
        <v>1E-4</v>
      </c>
      <c r="R16">
        <v>2000</v>
      </c>
      <c r="S16">
        <v>0.2443548171277711</v>
      </c>
      <c r="T16">
        <v>1.688151118707405</v>
      </c>
      <c r="U16">
        <v>1.1020683670286131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5.0732425293949914</v>
      </c>
      <c r="AC16">
        <v>9.4576715142226693</v>
      </c>
      <c r="AD16">
        <v>1.6426339999999999</v>
      </c>
      <c r="AE16">
        <v>0.5665117530365259</v>
      </c>
      <c r="AF16" s="6">
        <v>0.26939164592091119</v>
      </c>
    </row>
    <row r="17" spans="1:32" x14ac:dyDescent="0.3">
      <c r="A17" s="5">
        <v>21</v>
      </c>
      <c r="B17" t="s">
        <v>94</v>
      </c>
      <c r="C17">
        <v>13623.75451269999</v>
      </c>
      <c r="D17">
        <v>227.06257521166651</v>
      </c>
      <c r="E17" t="s">
        <v>95</v>
      </c>
      <c r="G17" t="s">
        <v>34</v>
      </c>
      <c r="H17" t="s">
        <v>96</v>
      </c>
      <c r="J17" t="s">
        <v>36</v>
      </c>
      <c r="K17">
        <v>1.74094920806762E-2</v>
      </c>
      <c r="L17">
        <v>0</v>
      </c>
      <c r="M17">
        <v>1.74094920806762E-2</v>
      </c>
      <c r="N17" t="s">
        <v>17</v>
      </c>
      <c r="O17">
        <v>1048</v>
      </c>
      <c r="P17" s="11">
        <v>8.9820340367870069E-5</v>
      </c>
      <c r="Q17">
        <v>1E-4</v>
      </c>
      <c r="R17">
        <v>2000</v>
      </c>
      <c r="S17">
        <v>0.18432378096980079</v>
      </c>
      <c r="T17">
        <v>2.4149638557808002</v>
      </c>
      <c r="U17">
        <v>1.3649814811210901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3.4242520685076201</v>
      </c>
      <c r="AC17">
        <v>9.9997745736004902</v>
      </c>
      <c r="AD17">
        <v>1.6426339999999999</v>
      </c>
      <c r="AE17">
        <v>0.45171710819292482</v>
      </c>
      <c r="AF17" s="6">
        <v>0.46110374288754669</v>
      </c>
    </row>
    <row r="18" spans="1:32" x14ac:dyDescent="0.3">
      <c r="A18" s="5">
        <v>22</v>
      </c>
      <c r="B18" t="s">
        <v>97</v>
      </c>
      <c r="C18">
        <v>7449.552884899982</v>
      </c>
      <c r="D18">
        <v>124.159214748333</v>
      </c>
      <c r="E18" t="s">
        <v>98</v>
      </c>
      <c r="G18" t="s">
        <v>34</v>
      </c>
      <c r="H18" t="s">
        <v>99</v>
      </c>
      <c r="J18" t="s">
        <v>36</v>
      </c>
      <c r="K18">
        <v>3.0807317000398619E-2</v>
      </c>
      <c r="L18">
        <v>0</v>
      </c>
      <c r="M18">
        <v>3.0807317000398619E-2</v>
      </c>
      <c r="N18" t="s">
        <v>17</v>
      </c>
      <c r="O18">
        <v>933</v>
      </c>
      <c r="P18" s="11">
        <v>5.7159296964075603E-5</v>
      </c>
      <c r="Q18">
        <v>1E-4</v>
      </c>
      <c r="R18">
        <v>2000</v>
      </c>
      <c r="S18">
        <v>0.1359084087448795</v>
      </c>
      <c r="T18">
        <v>3.3038070819419989</v>
      </c>
      <c r="U18">
        <v>6.9908380786620734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0.65955054452455097</v>
      </c>
      <c r="AC18">
        <v>6.6176297923569738</v>
      </c>
      <c r="AD18">
        <v>1.6426339999999999</v>
      </c>
      <c r="AE18">
        <v>0.26943243745875872</v>
      </c>
      <c r="AF18" s="6">
        <v>0.63907592800598911</v>
      </c>
    </row>
    <row r="19" spans="1:32" x14ac:dyDescent="0.3">
      <c r="A19" s="5">
        <v>23</v>
      </c>
      <c r="B19" t="s">
        <v>100</v>
      </c>
      <c r="C19">
        <v>5814.1657645999803</v>
      </c>
      <c r="D19">
        <v>96.902762743333</v>
      </c>
      <c r="E19" t="s">
        <v>101</v>
      </c>
      <c r="G19" t="s">
        <v>34</v>
      </c>
      <c r="H19" t="s">
        <v>102</v>
      </c>
      <c r="J19" t="s">
        <v>36</v>
      </c>
      <c r="K19">
        <v>2.5342726527727118E-2</v>
      </c>
      <c r="L19">
        <v>0</v>
      </c>
      <c r="M19">
        <v>2.5342726527727118E-2</v>
      </c>
      <c r="N19" t="s">
        <v>17</v>
      </c>
      <c r="O19">
        <v>232</v>
      </c>
      <c r="P19" s="11">
        <v>6.0758813264849172E-5</v>
      </c>
      <c r="Q19">
        <v>1E-4</v>
      </c>
      <c r="R19">
        <v>2000</v>
      </c>
      <c r="S19">
        <v>0.65230297039469942</v>
      </c>
      <c r="T19">
        <v>2.0770307526074339</v>
      </c>
      <c r="U19">
        <v>0.78075656968564511</v>
      </c>
      <c r="V19">
        <v>9.6469999999999993E-3</v>
      </c>
      <c r="W19">
        <v>8.5518540000000005</v>
      </c>
      <c r="X19">
        <v>7.1656500000000003</v>
      </c>
      <c r="Y19">
        <v>44.150669999999998</v>
      </c>
      <c r="Z19">
        <v>42.528283999999999</v>
      </c>
      <c r="AA19">
        <v>1E-4</v>
      </c>
      <c r="AB19">
        <v>3.9263394493182999</v>
      </c>
      <c r="AC19">
        <v>7.0427777304200028</v>
      </c>
      <c r="AD19">
        <v>1.6426339999999999</v>
      </c>
      <c r="AE19">
        <v>0.53593493485641408</v>
      </c>
      <c r="AF19" s="6">
        <v>0.21139776264460561</v>
      </c>
    </row>
    <row r="20" spans="1:32" x14ac:dyDescent="0.3">
      <c r="A20" s="5">
        <v>24</v>
      </c>
      <c r="B20" t="s">
        <v>103</v>
      </c>
      <c r="C20">
        <v>4185.7595682000101</v>
      </c>
      <c r="D20">
        <v>69.762659470000173</v>
      </c>
      <c r="E20" t="s">
        <v>104</v>
      </c>
      <c r="G20" t="s">
        <v>34</v>
      </c>
      <c r="H20" t="s">
        <v>105</v>
      </c>
      <c r="J20" t="s">
        <v>36</v>
      </c>
      <c r="K20">
        <v>1.7061836719004322E-2</v>
      </c>
      <c r="L20">
        <v>0</v>
      </c>
      <c r="M20">
        <v>1.7061836719004322E-2</v>
      </c>
      <c r="N20" t="s">
        <v>17</v>
      </c>
      <c r="O20">
        <v>240</v>
      </c>
      <c r="P20" s="11">
        <v>9.7299965244742958E-5</v>
      </c>
      <c r="Q20">
        <v>1E-4</v>
      </c>
      <c r="R20">
        <v>2000</v>
      </c>
      <c r="S20">
        <v>0.132546262650129</v>
      </c>
      <c r="T20">
        <v>3.893671184911172</v>
      </c>
      <c r="U20">
        <v>0.67255490702205023</v>
      </c>
      <c r="V20">
        <v>9.6469999999999993E-3</v>
      </c>
      <c r="W20">
        <v>8.5518540000000005</v>
      </c>
      <c r="X20">
        <v>7.1656500000000003</v>
      </c>
      <c r="Y20">
        <v>44.150669999999998</v>
      </c>
      <c r="Z20">
        <v>42.528283999999999</v>
      </c>
      <c r="AA20">
        <v>1E-4</v>
      </c>
      <c r="AB20">
        <v>3.921038778767866</v>
      </c>
      <c r="AC20">
        <v>9.991795607270566</v>
      </c>
      <c r="AD20">
        <v>1.6426339999999999</v>
      </c>
      <c r="AE20">
        <v>0.57030410431709933</v>
      </c>
      <c r="AF20" s="6">
        <v>0.27539095119876622</v>
      </c>
    </row>
    <row r="21" spans="1:32" x14ac:dyDescent="0.3">
      <c r="A21" s="5">
        <v>25</v>
      </c>
      <c r="B21" t="s">
        <v>106</v>
      </c>
      <c r="C21">
        <v>4901.0364973999967</v>
      </c>
      <c r="D21">
        <v>81.683941623333283</v>
      </c>
      <c r="E21" t="s">
        <v>107</v>
      </c>
      <c r="G21" t="s">
        <v>34</v>
      </c>
      <c r="H21" t="s">
        <v>108</v>
      </c>
      <c r="J21" t="s">
        <v>36</v>
      </c>
      <c r="K21">
        <v>3.2865191206284922E-2</v>
      </c>
      <c r="L21">
        <v>0</v>
      </c>
      <c r="M21">
        <v>3.2865191206284922E-2</v>
      </c>
      <c r="N21" t="s">
        <v>17</v>
      </c>
      <c r="O21">
        <v>832</v>
      </c>
      <c r="P21" s="11">
        <v>9.7801619461440078E-5</v>
      </c>
      <c r="Q21">
        <v>1E-4</v>
      </c>
      <c r="R21">
        <v>2000</v>
      </c>
      <c r="S21">
        <v>0.19413816212667731</v>
      </c>
      <c r="T21">
        <v>3.844084630584347</v>
      </c>
      <c r="U21">
        <v>1.2368361308460261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2.4274124306484648</v>
      </c>
      <c r="AC21">
        <v>9.9601620773877109</v>
      </c>
      <c r="AD21">
        <v>1.6426339999999999</v>
      </c>
      <c r="AE21">
        <v>0.59968154212108837</v>
      </c>
      <c r="AF21" s="6">
        <v>0.19259834076794369</v>
      </c>
    </row>
    <row r="22" spans="1:32" x14ac:dyDescent="0.3">
      <c r="A22" s="5">
        <v>26</v>
      </c>
      <c r="B22" t="s">
        <v>109</v>
      </c>
      <c r="C22">
        <v>2074.2730203999959</v>
      </c>
      <c r="D22">
        <v>34.571217006666608</v>
      </c>
      <c r="E22" t="s">
        <v>110</v>
      </c>
      <c r="G22" t="s">
        <v>34</v>
      </c>
      <c r="H22" t="s">
        <v>111</v>
      </c>
      <c r="J22" t="s">
        <v>36</v>
      </c>
      <c r="K22">
        <v>2.158008175818216E-2</v>
      </c>
      <c r="L22">
        <v>0</v>
      </c>
      <c r="M22">
        <v>2.158008175818216E-2</v>
      </c>
      <c r="N22" t="s">
        <v>17</v>
      </c>
      <c r="O22">
        <v>277</v>
      </c>
      <c r="P22" s="11">
        <v>9.9942092145659375E-5</v>
      </c>
      <c r="Q22">
        <v>1E-4</v>
      </c>
      <c r="R22">
        <v>2000</v>
      </c>
      <c r="S22">
        <v>0.37858929172535749</v>
      </c>
      <c r="T22">
        <v>2.614446601797082</v>
      </c>
      <c r="U22">
        <v>7.184449109992201</v>
      </c>
      <c r="V22">
        <v>9.6469999999999993E-3</v>
      </c>
      <c r="W22">
        <v>8.5518540000000005</v>
      </c>
      <c r="X22">
        <v>7.1656500000000003</v>
      </c>
      <c r="Y22">
        <v>44.150669999999998</v>
      </c>
      <c r="Z22">
        <v>42.528283999999999</v>
      </c>
      <c r="AA22">
        <v>1E-4</v>
      </c>
      <c r="AB22">
        <v>1.212010681004307</v>
      </c>
      <c r="AC22">
        <v>9.9930494297369474</v>
      </c>
      <c r="AD22">
        <v>1.6426339999999999</v>
      </c>
      <c r="AE22">
        <v>0.34845443192353331</v>
      </c>
      <c r="AF22" s="6">
        <v>0.53600703040912212</v>
      </c>
    </row>
    <row r="23" spans="1:32" x14ac:dyDescent="0.3">
      <c r="A23" s="5">
        <v>27</v>
      </c>
      <c r="B23" t="s">
        <v>112</v>
      </c>
      <c r="C23">
        <v>4781.5120207</v>
      </c>
      <c r="D23">
        <v>79.691867011666673</v>
      </c>
      <c r="E23" t="s">
        <v>113</v>
      </c>
      <c r="G23" t="s">
        <v>34</v>
      </c>
      <c r="H23" t="s">
        <v>114</v>
      </c>
      <c r="J23" t="s">
        <v>36</v>
      </c>
      <c r="K23">
        <v>3.5409677587260928E-2</v>
      </c>
      <c r="L23">
        <v>0</v>
      </c>
      <c r="M23">
        <v>3.5409677587260928E-2</v>
      </c>
      <c r="N23" t="s">
        <v>17</v>
      </c>
      <c r="O23">
        <v>695</v>
      </c>
      <c r="P23" s="11">
        <v>8.8803930078873696E-5</v>
      </c>
      <c r="Q23">
        <v>1E-4</v>
      </c>
      <c r="R23">
        <v>2000</v>
      </c>
      <c r="S23">
        <v>0.17552491149223229</v>
      </c>
      <c r="T23">
        <v>4.1577551963834054</v>
      </c>
      <c r="U23">
        <v>1.4753880067750491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2.0675212452253708</v>
      </c>
      <c r="AC23">
        <v>9.9962269957496606</v>
      </c>
      <c r="AD23">
        <v>1.6426339999999999</v>
      </c>
      <c r="AE23">
        <v>0.56432866694182982</v>
      </c>
      <c r="AF23" s="6">
        <v>0.2082087045653517</v>
      </c>
    </row>
    <row r="24" spans="1:32" x14ac:dyDescent="0.3">
      <c r="A24" s="5">
        <v>28</v>
      </c>
      <c r="B24" t="s">
        <v>115</v>
      </c>
      <c r="C24">
        <v>2133.3174923000038</v>
      </c>
      <c r="D24">
        <v>35.555291538333407</v>
      </c>
      <c r="E24" t="s">
        <v>116</v>
      </c>
      <c r="G24" t="s">
        <v>34</v>
      </c>
      <c r="H24" t="s">
        <v>117</v>
      </c>
      <c r="J24" t="s">
        <v>36</v>
      </c>
      <c r="K24">
        <v>1.10161903996707E-2</v>
      </c>
      <c r="L24">
        <v>0</v>
      </c>
      <c r="M24">
        <v>1.10161903996707E-2</v>
      </c>
      <c r="N24" t="s">
        <v>17</v>
      </c>
      <c r="O24">
        <v>255</v>
      </c>
      <c r="P24" s="11">
        <v>9.990303220302308E-5</v>
      </c>
      <c r="Q24">
        <v>1E-4</v>
      </c>
      <c r="R24">
        <v>2000</v>
      </c>
      <c r="S24">
        <v>0.1386956396634994</v>
      </c>
      <c r="T24">
        <v>0.35096545121603412</v>
      </c>
      <c r="U24">
        <v>5.6300792481507358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2.48489320225287</v>
      </c>
      <c r="AC24">
        <v>4.4853468547857913</v>
      </c>
      <c r="AD24">
        <v>1.6426339999999999</v>
      </c>
      <c r="AE24">
        <v>0.13702884973579349</v>
      </c>
      <c r="AF24" s="6">
        <v>0.61565639978424436</v>
      </c>
    </row>
    <row r="25" spans="1:32" x14ac:dyDescent="0.3">
      <c r="A25" s="5">
        <v>29</v>
      </c>
      <c r="B25" t="s">
        <v>118</v>
      </c>
      <c r="C25">
        <v>1720.9336680999841</v>
      </c>
      <c r="D25">
        <v>28.6822278016664</v>
      </c>
      <c r="E25" t="s">
        <v>119</v>
      </c>
      <c r="G25" t="s">
        <v>34</v>
      </c>
      <c r="H25" t="s">
        <v>120</v>
      </c>
      <c r="J25" t="s">
        <v>36</v>
      </c>
      <c r="K25">
        <v>1.528760483283453E-2</v>
      </c>
      <c r="L25">
        <v>0</v>
      </c>
      <c r="M25">
        <v>1.528760483283453E-2</v>
      </c>
      <c r="N25" t="s">
        <v>17</v>
      </c>
      <c r="O25">
        <v>334</v>
      </c>
      <c r="P25" s="11">
        <v>9.3982948527025596E-5</v>
      </c>
      <c r="Q25">
        <v>1E-4</v>
      </c>
      <c r="R25">
        <v>2000</v>
      </c>
      <c r="S25">
        <v>5.2075001580897208E-2</v>
      </c>
      <c r="T25">
        <v>1.8137100794334391</v>
      </c>
      <c r="U25">
        <v>1.5666984959853949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5.8649617967851384</v>
      </c>
      <c r="AC25">
        <v>4.2056147599870002</v>
      </c>
      <c r="AD25">
        <v>1.6426339999999999</v>
      </c>
      <c r="AE25">
        <v>0.1991690382268973</v>
      </c>
      <c r="AF25" s="6">
        <v>0.79546710150877675</v>
      </c>
    </row>
    <row r="26" spans="1:32" x14ac:dyDescent="0.3">
      <c r="A26" s="5">
        <v>31</v>
      </c>
      <c r="B26" t="s">
        <v>124</v>
      </c>
      <c r="C26">
        <v>1135.8948174999971</v>
      </c>
      <c r="D26">
        <v>18.931580291666609</v>
      </c>
      <c r="E26" t="s">
        <v>125</v>
      </c>
      <c r="G26" t="s">
        <v>34</v>
      </c>
      <c r="H26" t="s">
        <v>126</v>
      </c>
      <c r="J26" t="s">
        <v>36</v>
      </c>
      <c r="K26">
        <v>1.2418892553136759E-2</v>
      </c>
      <c r="L26">
        <v>0</v>
      </c>
      <c r="M26">
        <v>1.2418892553136759E-2</v>
      </c>
      <c r="N26" t="s">
        <v>17</v>
      </c>
      <c r="O26">
        <v>173</v>
      </c>
      <c r="P26" s="11">
        <v>9.9952482821797579E-5</v>
      </c>
      <c r="Q26">
        <v>1E-4</v>
      </c>
      <c r="R26">
        <v>2000</v>
      </c>
      <c r="S26">
        <v>9.5131472790338165E-2</v>
      </c>
      <c r="T26">
        <v>1.3514976724639101</v>
      </c>
      <c r="U26">
        <v>1.378767963387493</v>
      </c>
      <c r="V26">
        <v>9.6469999999999993E-3</v>
      </c>
      <c r="W26">
        <v>8.5518540000000005</v>
      </c>
      <c r="X26">
        <v>7.1656500000000003</v>
      </c>
      <c r="Y26">
        <v>44.150669999999998</v>
      </c>
      <c r="Z26">
        <v>42.528283999999999</v>
      </c>
      <c r="AA26">
        <v>1E-4</v>
      </c>
      <c r="AB26">
        <v>5.7046777604247936</v>
      </c>
      <c r="AC26">
        <v>6.9959496868252078</v>
      </c>
      <c r="AD26">
        <v>1.6426339999999999</v>
      </c>
      <c r="AE26">
        <v>0.27282498101157071</v>
      </c>
      <c r="AF26" s="6">
        <v>0.70647905065370864</v>
      </c>
    </row>
    <row r="27" spans="1:32" x14ac:dyDescent="0.3">
      <c r="A27" s="5">
        <v>32</v>
      </c>
      <c r="B27" t="s">
        <v>127</v>
      </c>
      <c r="C27">
        <v>9774.8308117999986</v>
      </c>
      <c r="D27">
        <v>162.9138468633333</v>
      </c>
      <c r="E27" t="s">
        <v>128</v>
      </c>
      <c r="G27" t="s">
        <v>34</v>
      </c>
      <c r="H27" t="s">
        <v>129</v>
      </c>
      <c r="J27" t="s">
        <v>36</v>
      </c>
      <c r="K27">
        <v>3.5474141892733478E-2</v>
      </c>
      <c r="L27">
        <v>0</v>
      </c>
      <c r="M27">
        <v>3.5474141892733478E-2</v>
      </c>
      <c r="N27" t="s">
        <v>17</v>
      </c>
      <c r="O27">
        <v>576</v>
      </c>
      <c r="P27" s="11">
        <v>9.7171459345381795E-5</v>
      </c>
      <c r="Q27">
        <v>1E-4</v>
      </c>
      <c r="R27">
        <v>2000</v>
      </c>
      <c r="S27">
        <v>0.32234151004415629</v>
      </c>
      <c r="T27">
        <v>1.9991316186647099</v>
      </c>
      <c r="U27">
        <v>1.4055667221445689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3.566065080144825</v>
      </c>
      <c r="AC27">
        <v>6.1644202880710797</v>
      </c>
      <c r="AD27">
        <v>1.6426339999999999</v>
      </c>
      <c r="AE27">
        <v>0.49660288496814692</v>
      </c>
      <c r="AF27" s="6">
        <v>0.3550808755615506</v>
      </c>
    </row>
    <row r="28" spans="1:32" x14ac:dyDescent="0.3">
      <c r="A28" s="5">
        <v>33</v>
      </c>
      <c r="B28" t="s">
        <v>130</v>
      </c>
      <c r="C28">
        <v>4253.1494631999813</v>
      </c>
      <c r="D28">
        <v>70.885824386666357</v>
      </c>
      <c r="E28" t="s">
        <v>131</v>
      </c>
      <c r="G28" t="s">
        <v>34</v>
      </c>
      <c r="H28" t="s">
        <v>132</v>
      </c>
      <c r="J28" t="s">
        <v>36</v>
      </c>
      <c r="K28">
        <v>4.4191874799525091E-2</v>
      </c>
      <c r="L28">
        <v>0</v>
      </c>
      <c r="M28">
        <v>4.4191874799525091E-2</v>
      </c>
      <c r="N28" t="s">
        <v>17</v>
      </c>
      <c r="O28">
        <v>602</v>
      </c>
      <c r="P28" s="11">
        <v>7.0307574478676885E-5</v>
      </c>
      <c r="Q28">
        <v>1E-4</v>
      </c>
      <c r="R28">
        <v>2000</v>
      </c>
      <c r="S28">
        <v>0.65962327440448321</v>
      </c>
      <c r="T28">
        <v>4.4482599897689132</v>
      </c>
      <c r="U28">
        <v>5.0098081134271073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0.85232557149720689</v>
      </c>
      <c r="AC28">
        <v>9.9968986282814321</v>
      </c>
      <c r="AD28">
        <v>1.6426339999999999</v>
      </c>
      <c r="AE28">
        <v>0.41213678145615201</v>
      </c>
      <c r="AF28" s="6">
        <v>0.62659620795105597</v>
      </c>
    </row>
    <row r="29" spans="1:32" x14ac:dyDescent="0.3">
      <c r="A29" s="5">
        <v>35</v>
      </c>
      <c r="B29" t="s">
        <v>136</v>
      </c>
      <c r="C29">
        <v>1066.8020373000179</v>
      </c>
      <c r="D29">
        <v>17.780033955000299</v>
      </c>
      <c r="E29" t="s">
        <v>137</v>
      </c>
      <c r="G29" t="s">
        <v>34</v>
      </c>
      <c r="H29" t="s">
        <v>138</v>
      </c>
      <c r="J29" t="s">
        <v>36</v>
      </c>
      <c r="K29">
        <v>2.0386779345943549E-2</v>
      </c>
      <c r="L29">
        <v>0</v>
      </c>
      <c r="M29">
        <v>2.0386779345943549E-2</v>
      </c>
      <c r="N29" t="s">
        <v>17</v>
      </c>
      <c r="O29">
        <v>238</v>
      </c>
      <c r="P29" s="11">
        <v>9.7799410588132412E-5</v>
      </c>
      <c r="Q29">
        <v>1E-4</v>
      </c>
      <c r="R29">
        <v>2000</v>
      </c>
      <c r="S29">
        <v>0.1146204907562238</v>
      </c>
      <c r="T29">
        <v>1.2822339503207389</v>
      </c>
      <c r="U29">
        <v>3.3997732462060068</v>
      </c>
      <c r="V29">
        <v>9.6469999999999993E-3</v>
      </c>
      <c r="W29">
        <v>8.5518540000000005</v>
      </c>
      <c r="X29">
        <v>7.1656500000000003</v>
      </c>
      <c r="Y29">
        <v>44.150669999999998</v>
      </c>
      <c r="Z29">
        <v>42.528283999999999</v>
      </c>
      <c r="AA29">
        <v>1E-4</v>
      </c>
      <c r="AB29">
        <v>2.1198737333854409</v>
      </c>
      <c r="AC29">
        <v>5.6678882673044573</v>
      </c>
      <c r="AD29">
        <v>1.6426339999999999</v>
      </c>
      <c r="AE29">
        <v>0.28948593086548219</v>
      </c>
      <c r="AF29" s="6">
        <v>0.50893350559284523</v>
      </c>
    </row>
    <row r="30" spans="1:32" x14ac:dyDescent="0.3">
      <c r="A30" s="5">
        <v>37</v>
      </c>
      <c r="B30" t="s">
        <v>142</v>
      </c>
      <c r="C30">
        <v>2741.5197531999729</v>
      </c>
      <c r="D30">
        <v>45.691995886666213</v>
      </c>
      <c r="E30" t="s">
        <v>143</v>
      </c>
      <c r="G30" t="s">
        <v>34</v>
      </c>
      <c r="H30" t="s">
        <v>144</v>
      </c>
      <c r="J30" t="s">
        <v>36</v>
      </c>
      <c r="K30">
        <v>3.6462153739501069E-2</v>
      </c>
      <c r="L30">
        <v>0</v>
      </c>
      <c r="M30">
        <v>3.6462153739501069E-2</v>
      </c>
      <c r="N30" t="s">
        <v>17</v>
      </c>
      <c r="O30">
        <v>473</v>
      </c>
      <c r="P30" s="11">
        <v>8.4768421213510278E-5</v>
      </c>
      <c r="Q30">
        <v>1E-4</v>
      </c>
      <c r="R30">
        <v>2000</v>
      </c>
      <c r="S30">
        <v>0.1004392902415865</v>
      </c>
      <c r="T30">
        <v>4.3800332930190624</v>
      </c>
      <c r="U30">
        <v>0.63567516180043038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2.9512050224277568</v>
      </c>
      <c r="AC30">
        <v>9.9091926377554085</v>
      </c>
      <c r="AD30">
        <v>1.6426339999999999</v>
      </c>
      <c r="AE30">
        <v>0.60218660480016539</v>
      </c>
      <c r="AF30" s="6">
        <v>0.14604862905263499</v>
      </c>
    </row>
    <row r="31" spans="1:32" x14ac:dyDescent="0.3">
      <c r="A31" s="5">
        <v>38</v>
      </c>
      <c r="B31" t="s">
        <v>145</v>
      </c>
      <c r="C31">
        <v>7975.0046935999999</v>
      </c>
      <c r="D31">
        <v>132.91674489333329</v>
      </c>
      <c r="E31" t="s">
        <v>146</v>
      </c>
      <c r="G31" t="s">
        <v>34</v>
      </c>
      <c r="H31" t="s">
        <v>147</v>
      </c>
      <c r="J31" t="s">
        <v>36</v>
      </c>
      <c r="K31">
        <v>3.260815693577121E-2</v>
      </c>
      <c r="L31">
        <v>0</v>
      </c>
      <c r="M31">
        <v>3.260815693577121E-2</v>
      </c>
      <c r="N31" t="s">
        <v>17</v>
      </c>
      <c r="O31">
        <v>384</v>
      </c>
      <c r="P31" s="11">
        <v>8.300816004010434E-5</v>
      </c>
      <c r="Q31">
        <v>1E-4</v>
      </c>
      <c r="R31">
        <v>2000</v>
      </c>
      <c r="S31">
        <v>0.17452147863439391</v>
      </c>
      <c r="T31">
        <v>2.6757654567366602</v>
      </c>
      <c r="U31">
        <v>0.81752363490333246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4.6126561510747308</v>
      </c>
      <c r="AC31">
        <v>9.9983768878087265</v>
      </c>
      <c r="AD31">
        <v>1.6426339999999999</v>
      </c>
      <c r="AE31">
        <v>0.59436989934675821</v>
      </c>
      <c r="AF31" s="6">
        <v>0.25578825498710922</v>
      </c>
    </row>
    <row r="32" spans="1:32" x14ac:dyDescent="0.3">
      <c r="A32" s="5">
        <v>39</v>
      </c>
      <c r="B32" t="s">
        <v>148</v>
      </c>
      <c r="C32">
        <v>2399.7903314</v>
      </c>
      <c r="D32">
        <v>39.996505523333333</v>
      </c>
      <c r="E32" t="s">
        <v>149</v>
      </c>
      <c r="G32" t="s">
        <v>34</v>
      </c>
      <c r="H32" t="s">
        <v>150</v>
      </c>
      <c r="J32" t="s">
        <v>36</v>
      </c>
      <c r="K32">
        <v>3.9624340522111133E-2</v>
      </c>
      <c r="L32">
        <v>0</v>
      </c>
      <c r="M32">
        <v>3.9624340522111133E-2</v>
      </c>
      <c r="N32" t="s">
        <v>17</v>
      </c>
      <c r="O32">
        <v>329</v>
      </c>
      <c r="P32" s="11">
        <v>6.4767194554348203E-5</v>
      </c>
      <c r="Q32">
        <v>1E-4</v>
      </c>
      <c r="R32">
        <v>2000</v>
      </c>
      <c r="S32">
        <v>0.10965967707491669</v>
      </c>
      <c r="T32">
        <v>2.955778978407098</v>
      </c>
      <c r="U32">
        <v>2.1872378522803202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2.655314943580394</v>
      </c>
      <c r="AC32">
        <v>9.000361131175044</v>
      </c>
      <c r="AD32">
        <v>1.6426339999999999</v>
      </c>
      <c r="AE32">
        <v>0.39369906643429131</v>
      </c>
      <c r="AF32" s="6">
        <v>0.47154905671617331</v>
      </c>
    </row>
    <row r="33" spans="1:32" x14ac:dyDescent="0.3">
      <c r="A33" s="5">
        <v>41</v>
      </c>
      <c r="B33" t="s">
        <v>154</v>
      </c>
      <c r="C33">
        <v>801.18145249999361</v>
      </c>
      <c r="D33">
        <v>13.353024208333229</v>
      </c>
      <c r="E33" t="s">
        <v>155</v>
      </c>
      <c r="G33" t="s">
        <v>34</v>
      </c>
      <c r="H33" t="s">
        <v>156</v>
      </c>
      <c r="J33" t="s">
        <v>36</v>
      </c>
      <c r="K33">
        <v>2.8191474311919811E-2</v>
      </c>
      <c r="L33">
        <v>0</v>
      </c>
      <c r="M33">
        <v>2.8191474311919811E-2</v>
      </c>
      <c r="N33" t="s">
        <v>17</v>
      </c>
      <c r="O33">
        <v>121</v>
      </c>
      <c r="P33" s="11">
        <v>9.4974927254155758E-5</v>
      </c>
      <c r="Q33">
        <v>1E-4</v>
      </c>
      <c r="R33">
        <v>2000</v>
      </c>
      <c r="S33">
        <v>0.1100526452209012</v>
      </c>
      <c r="T33">
        <v>4.4252058770277394</v>
      </c>
      <c r="U33">
        <v>0.28387301061526288</v>
      </c>
      <c r="V33">
        <v>9.6469999999999993E-3</v>
      </c>
      <c r="W33">
        <v>8.5518540000000005</v>
      </c>
      <c r="X33">
        <v>7.1656500000000003</v>
      </c>
      <c r="Y33">
        <v>44.150669999999998</v>
      </c>
      <c r="Z33">
        <v>42.528283999999999</v>
      </c>
      <c r="AA33">
        <v>1E-4</v>
      </c>
      <c r="AB33">
        <v>3.181449095176371</v>
      </c>
      <c r="AC33">
        <v>6.3954667337460576</v>
      </c>
      <c r="AD33">
        <v>1.6426339999999999</v>
      </c>
      <c r="AE33">
        <v>0.5828094220948038</v>
      </c>
      <c r="AF33" s="6">
        <v>0.1000003012946015</v>
      </c>
    </row>
    <row r="34" spans="1:32" x14ac:dyDescent="0.3">
      <c r="A34" s="5">
        <v>42</v>
      </c>
      <c r="B34" t="s">
        <v>157</v>
      </c>
      <c r="C34">
        <v>5815.0278800000087</v>
      </c>
      <c r="D34">
        <v>96.917131333333472</v>
      </c>
      <c r="E34" t="s">
        <v>158</v>
      </c>
      <c r="G34" t="s">
        <v>34</v>
      </c>
      <c r="H34" t="s">
        <v>159</v>
      </c>
      <c r="J34" t="s">
        <v>36</v>
      </c>
      <c r="K34">
        <v>1.9750574773232939E-2</v>
      </c>
      <c r="L34">
        <v>0</v>
      </c>
      <c r="M34">
        <v>1.9750574773232939E-2</v>
      </c>
      <c r="N34" t="s">
        <v>17</v>
      </c>
      <c r="O34">
        <v>598</v>
      </c>
      <c r="P34" s="11">
        <v>9.9638696878770399E-5</v>
      </c>
      <c r="Q34">
        <v>1E-4</v>
      </c>
      <c r="R34">
        <v>2000</v>
      </c>
      <c r="S34">
        <v>0.12605952622185199</v>
      </c>
      <c r="T34">
        <v>0.80898060182916187</v>
      </c>
      <c r="U34">
        <v>1.6505552513407891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6.3464584858163198</v>
      </c>
      <c r="AC34">
        <v>7.2077376194969194</v>
      </c>
      <c r="AD34">
        <v>1.6426339999999999</v>
      </c>
      <c r="AE34">
        <v>0.60668647705468071</v>
      </c>
      <c r="AF34" s="6">
        <v>0.25304596166561011</v>
      </c>
    </row>
    <row r="35" spans="1:32" x14ac:dyDescent="0.3">
      <c r="A35" s="5">
        <v>43</v>
      </c>
      <c r="B35" t="s">
        <v>160</v>
      </c>
      <c r="C35">
        <v>8238.3212055999902</v>
      </c>
      <c r="D35">
        <v>137.3053534266665</v>
      </c>
      <c r="E35" t="s">
        <v>161</v>
      </c>
      <c r="G35" t="s">
        <v>34</v>
      </c>
      <c r="H35" t="s">
        <v>162</v>
      </c>
      <c r="J35" t="s">
        <v>36</v>
      </c>
      <c r="K35">
        <v>1.7189471988636629E-2</v>
      </c>
      <c r="L35">
        <v>0</v>
      </c>
      <c r="M35">
        <v>1.7189471988636629E-2</v>
      </c>
      <c r="N35" t="s">
        <v>17</v>
      </c>
      <c r="O35">
        <v>841</v>
      </c>
      <c r="P35" s="11">
        <v>9.3389779026669382E-5</v>
      </c>
      <c r="Q35">
        <v>1E-4</v>
      </c>
      <c r="R35">
        <v>2000</v>
      </c>
      <c r="S35">
        <v>7.8883809403219776E-2</v>
      </c>
      <c r="T35">
        <v>1.989834202392571</v>
      </c>
      <c r="U35">
        <v>3.1129349638889261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2.461554532498798</v>
      </c>
      <c r="AC35">
        <v>5.9148049494740906</v>
      </c>
      <c r="AD35">
        <v>1.6426339999999999</v>
      </c>
      <c r="AE35">
        <v>0.31198441176541619</v>
      </c>
      <c r="AF35" s="6">
        <v>0.52920428717387114</v>
      </c>
    </row>
    <row r="36" spans="1:32" x14ac:dyDescent="0.3">
      <c r="A36" s="5">
        <v>44</v>
      </c>
      <c r="B36" t="s">
        <v>163</v>
      </c>
      <c r="C36">
        <v>1713.080664100009</v>
      </c>
      <c r="D36">
        <v>28.551344401666821</v>
      </c>
      <c r="E36" t="s">
        <v>164</v>
      </c>
      <c r="G36" t="s">
        <v>34</v>
      </c>
      <c r="H36" t="s">
        <v>165</v>
      </c>
      <c r="J36" t="s">
        <v>36</v>
      </c>
      <c r="K36">
        <v>2.5491717737612211E-2</v>
      </c>
      <c r="L36">
        <v>0</v>
      </c>
      <c r="M36">
        <v>2.5491717737612211E-2</v>
      </c>
      <c r="N36" t="s">
        <v>17</v>
      </c>
      <c r="O36">
        <v>277</v>
      </c>
      <c r="P36" s="11">
        <v>8.3926602150845891E-5</v>
      </c>
      <c r="Q36">
        <v>1E-4</v>
      </c>
      <c r="R36">
        <v>2000</v>
      </c>
      <c r="S36">
        <v>0.59027284533395008</v>
      </c>
      <c r="T36">
        <v>0.72967253887345185</v>
      </c>
      <c r="U36">
        <v>5.2004075887518528</v>
      </c>
      <c r="V36">
        <v>9.6469999999999993E-3</v>
      </c>
      <c r="W36">
        <v>8.5518540000000005</v>
      </c>
      <c r="X36">
        <v>7.1656500000000003</v>
      </c>
      <c r="Y36">
        <v>44.150669999999998</v>
      </c>
      <c r="Z36">
        <v>42.528283999999999</v>
      </c>
      <c r="AA36">
        <v>1E-4</v>
      </c>
      <c r="AB36">
        <v>1.992707408782082</v>
      </c>
      <c r="AC36">
        <v>3.7815374174516858</v>
      </c>
      <c r="AD36">
        <v>1.6426339999999999</v>
      </c>
      <c r="AE36">
        <v>0.2097603282626237</v>
      </c>
      <c r="AF36" s="6">
        <v>0.64192898817429889</v>
      </c>
    </row>
    <row r="37" spans="1:32" x14ac:dyDescent="0.3">
      <c r="A37" s="5">
        <v>45</v>
      </c>
      <c r="B37" t="s">
        <v>166</v>
      </c>
      <c r="C37">
        <v>2684.0802187000231</v>
      </c>
      <c r="D37">
        <v>44.734670311667053</v>
      </c>
      <c r="E37" t="s">
        <v>167</v>
      </c>
      <c r="G37" t="s">
        <v>34</v>
      </c>
      <c r="H37" t="s">
        <v>168</v>
      </c>
      <c r="J37" t="s">
        <v>36</v>
      </c>
      <c r="K37">
        <v>4.2273376204148103E-2</v>
      </c>
      <c r="L37">
        <v>0</v>
      </c>
      <c r="M37">
        <v>4.2273376204148103E-2</v>
      </c>
      <c r="N37" t="s">
        <v>17</v>
      </c>
      <c r="O37">
        <v>521</v>
      </c>
      <c r="P37" s="11">
        <v>9.9063731022885248E-5</v>
      </c>
      <c r="Q37">
        <v>1E-4</v>
      </c>
      <c r="R37">
        <v>2000</v>
      </c>
      <c r="S37">
        <v>0.57618409879936505</v>
      </c>
      <c r="T37">
        <v>1.7666765324772551</v>
      </c>
      <c r="U37">
        <v>1.797508525699276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2.5905178027153131</v>
      </c>
      <c r="AC37">
        <v>1.6255871023536539</v>
      </c>
      <c r="AD37">
        <v>1.6426339999999999</v>
      </c>
      <c r="AE37">
        <v>0.37283516593569932</v>
      </c>
      <c r="AF37" s="6">
        <v>0.54050542640947186</v>
      </c>
    </row>
    <row r="38" spans="1:32" x14ac:dyDescent="0.3">
      <c r="A38" s="5">
        <v>46</v>
      </c>
      <c r="B38" t="s">
        <v>169</v>
      </c>
      <c r="C38">
        <v>7619.5466100000194</v>
      </c>
      <c r="D38">
        <v>126.99244350000031</v>
      </c>
      <c r="E38" t="s">
        <v>170</v>
      </c>
      <c r="G38" t="s">
        <v>34</v>
      </c>
      <c r="H38" t="s">
        <v>171</v>
      </c>
      <c r="J38" t="s">
        <v>36</v>
      </c>
      <c r="K38">
        <v>6.5581507067984292E-3</v>
      </c>
      <c r="L38">
        <v>0</v>
      </c>
      <c r="M38">
        <v>6.5581507067984292E-3</v>
      </c>
      <c r="N38" t="s">
        <v>17</v>
      </c>
      <c r="O38">
        <v>792</v>
      </c>
      <c r="P38" s="11">
        <v>9.6617142006042938E-5</v>
      </c>
      <c r="Q38">
        <v>1E-4</v>
      </c>
      <c r="R38">
        <v>2000</v>
      </c>
      <c r="S38">
        <v>0.1041206127356531</v>
      </c>
      <c r="T38">
        <v>0.69987284158389507</v>
      </c>
      <c r="U38">
        <v>5.2848496376444292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4.5556791886315926</v>
      </c>
      <c r="AC38">
        <v>9.5958568691340425</v>
      </c>
      <c r="AD38">
        <v>1.6426339999999999</v>
      </c>
      <c r="AE38">
        <v>0.48521752171947308</v>
      </c>
      <c r="AF38" s="6">
        <v>0.42199546060608167</v>
      </c>
    </row>
    <row r="39" spans="1:32" x14ac:dyDescent="0.3">
      <c r="A39" s="5">
        <v>47</v>
      </c>
      <c r="B39" t="s">
        <v>172</v>
      </c>
      <c r="C39">
        <v>11826.519732199989</v>
      </c>
      <c r="D39">
        <v>197.1086622033331</v>
      </c>
      <c r="E39" t="s">
        <v>173</v>
      </c>
      <c r="G39" t="s">
        <v>34</v>
      </c>
      <c r="H39" t="s">
        <v>174</v>
      </c>
      <c r="J39" t="s">
        <v>36</v>
      </c>
      <c r="K39">
        <v>1.4965088059449979E-2</v>
      </c>
      <c r="L39">
        <v>0</v>
      </c>
      <c r="M39">
        <v>1.4965088059449979E-2</v>
      </c>
      <c r="N39" t="s">
        <v>17</v>
      </c>
      <c r="O39">
        <v>1095</v>
      </c>
      <c r="P39" s="11">
        <v>5.2661424167271222E-5</v>
      </c>
      <c r="Q39">
        <v>1E-4</v>
      </c>
      <c r="R39">
        <v>2000</v>
      </c>
      <c r="S39">
        <v>0.1532570313800844</v>
      </c>
      <c r="T39">
        <v>4.2858153856020049</v>
      </c>
      <c r="U39">
        <v>2.536698845023122</v>
      </c>
      <c r="V39">
        <v>9.6469999999999993E-3</v>
      </c>
      <c r="W39">
        <v>8.5518540000000005</v>
      </c>
      <c r="X39">
        <v>7.1656500000000003</v>
      </c>
      <c r="Y39">
        <v>44.150669999999998</v>
      </c>
      <c r="Z39">
        <v>42.528283999999999</v>
      </c>
      <c r="AA39">
        <v>1E-4</v>
      </c>
      <c r="AB39">
        <v>1.7310537172207709</v>
      </c>
      <c r="AC39">
        <v>5.6974743605757574</v>
      </c>
      <c r="AD39">
        <v>1.6426339999999999</v>
      </c>
      <c r="AE39">
        <v>0.65340654941529219</v>
      </c>
      <c r="AF39" s="6">
        <v>0.22357163673787189</v>
      </c>
    </row>
    <row r="40" spans="1:32" x14ac:dyDescent="0.3">
      <c r="A40" s="5">
        <v>48</v>
      </c>
      <c r="B40" t="s">
        <v>175</v>
      </c>
      <c r="C40">
        <v>20699.013515099999</v>
      </c>
      <c r="D40">
        <v>344.98355858500003</v>
      </c>
      <c r="E40" t="s">
        <v>176</v>
      </c>
      <c r="G40" t="s">
        <v>34</v>
      </c>
      <c r="H40" t="s">
        <v>177</v>
      </c>
      <c r="J40" t="s">
        <v>36</v>
      </c>
      <c r="K40">
        <v>3.1852124648471078E-2</v>
      </c>
      <c r="L40">
        <v>0</v>
      </c>
      <c r="M40">
        <v>3.1852124648471078E-2</v>
      </c>
      <c r="N40" t="s">
        <v>17</v>
      </c>
      <c r="O40">
        <v>2001</v>
      </c>
      <c r="P40" s="11">
        <v>5.7801786159527798E-4</v>
      </c>
      <c r="Q40">
        <v>1E-4</v>
      </c>
      <c r="R40">
        <v>2000</v>
      </c>
      <c r="S40">
        <v>0.25132863463943572</v>
      </c>
      <c r="T40">
        <v>1.865459686429324</v>
      </c>
      <c r="U40">
        <v>2.1127642458299349</v>
      </c>
      <c r="V40">
        <v>9.6469999999999993E-3</v>
      </c>
      <c r="W40">
        <v>8.5518540000000005</v>
      </c>
      <c r="X40">
        <v>7.1656500000000003</v>
      </c>
      <c r="Y40">
        <v>44.150669999999998</v>
      </c>
      <c r="Z40">
        <v>42.528283999999999</v>
      </c>
      <c r="AA40">
        <v>1E-4</v>
      </c>
      <c r="AB40">
        <v>3.8341718214547158</v>
      </c>
      <c r="AC40">
        <v>9.9996869851837449</v>
      </c>
      <c r="AD40">
        <v>1.6426339999999999</v>
      </c>
      <c r="AE40">
        <v>0.67902187981733841</v>
      </c>
      <c r="AF40" s="6">
        <v>0.22568589986582061</v>
      </c>
    </row>
    <row r="41" spans="1:32" x14ac:dyDescent="0.3">
      <c r="A41" s="7">
        <v>50</v>
      </c>
      <c r="B41" s="8" t="s">
        <v>181</v>
      </c>
      <c r="C41" s="8">
        <v>23030.39911909998</v>
      </c>
      <c r="D41" s="8">
        <v>383.83998531833299</v>
      </c>
      <c r="E41" s="8" t="s">
        <v>182</v>
      </c>
      <c r="F41" s="8"/>
      <c r="G41" s="8" t="s">
        <v>34</v>
      </c>
      <c r="H41" s="8" t="s">
        <v>183</v>
      </c>
      <c r="I41" s="8"/>
      <c r="J41" s="8" t="s">
        <v>36</v>
      </c>
      <c r="K41" s="8">
        <v>2.795408067721538E-2</v>
      </c>
      <c r="L41" s="8">
        <v>0</v>
      </c>
      <c r="M41" s="8">
        <v>2.795408067721538E-2</v>
      </c>
      <c r="N41" s="8" t="s">
        <v>17</v>
      </c>
      <c r="O41" s="8">
        <v>1080</v>
      </c>
      <c r="P41" s="12">
        <v>2.8808391582529199E-5</v>
      </c>
      <c r="Q41" s="8">
        <v>1E-4</v>
      </c>
      <c r="R41" s="8">
        <v>2000</v>
      </c>
      <c r="S41" s="8">
        <v>0.18926287318219631</v>
      </c>
      <c r="T41" s="8">
        <v>2.1183458303736882</v>
      </c>
      <c r="U41" s="8">
        <v>0.7208950141080489</v>
      </c>
      <c r="V41" s="8">
        <v>9.6469999999999993E-3</v>
      </c>
      <c r="W41" s="8">
        <v>8.5518540000000005</v>
      </c>
      <c r="X41" s="8">
        <v>7.1656500000000003</v>
      </c>
      <c r="Y41" s="8">
        <v>44.150669999999998</v>
      </c>
      <c r="Z41" s="8">
        <v>42.528283999999999</v>
      </c>
      <c r="AA41" s="8">
        <v>1E-4</v>
      </c>
      <c r="AB41" s="8">
        <v>4.8733462729098376</v>
      </c>
      <c r="AC41" s="8">
        <v>9.9971870927159774</v>
      </c>
      <c r="AD41" s="8">
        <v>1.6426339999999999</v>
      </c>
      <c r="AE41" s="8">
        <v>0.54004090963627938</v>
      </c>
      <c r="AF41" s="9">
        <v>0.2783457776910146</v>
      </c>
    </row>
    <row r="42" spans="1:32" x14ac:dyDescent="0.3">
      <c r="A42">
        <f>COUNT(A2:A41)</f>
        <v>40</v>
      </c>
    </row>
    <row r="43" spans="1:32" x14ac:dyDescent="0.3">
      <c r="S43">
        <f>AVERAGE(S2:S41)</f>
        <v>0.22821780840322409</v>
      </c>
      <c r="T43">
        <f>AVERAGE(T2:T41)</f>
        <v>2.3111312719864059</v>
      </c>
      <c r="U43">
        <f>AVERAGE(U2:U41)</f>
        <v>2.3880566338571776</v>
      </c>
      <c r="AB43">
        <f>AVERAGE(AB2:AB41)</f>
        <v>3.3352169599797579</v>
      </c>
      <c r="AC43">
        <f>AVERAGE(AC2:AC41)</f>
        <v>7.712301970589861</v>
      </c>
      <c r="AE43">
        <f>AVERAGE(AE2:AE41)</f>
        <v>0.43942694575257102</v>
      </c>
      <c r="AF43">
        <f>AVERAGE(AF2:AF41)</f>
        <v>0.42410880552777314</v>
      </c>
    </row>
    <row r="44" spans="1:32" x14ac:dyDescent="0.3">
      <c r="S44">
        <f>STDEVA(S2:S41)</f>
        <v>0.16617253011288777</v>
      </c>
      <c r="T44">
        <f>STDEVA(T2:T41)</f>
        <v>1.2148098789678754</v>
      </c>
      <c r="U44">
        <f>STDEVA(U2:U41)</f>
        <v>1.7311115062457603</v>
      </c>
      <c r="AB44">
        <f>STDEVA(AB2:AB41)</f>
        <v>1.5636674404485253</v>
      </c>
      <c r="AC44">
        <f>STDEVA(AC2:AC41)</f>
        <v>2.2520117569730007</v>
      </c>
      <c r="AE44">
        <f>STDEVA(AE2:AE41)</f>
        <v>0.14789200004563671</v>
      </c>
      <c r="AF44">
        <f>STDEVA(AF2:AF41)</f>
        <v>0.17968050287734363</v>
      </c>
    </row>
  </sheetData>
  <conditionalFormatting sqref="M2:M41">
    <cfRule type="top10" dxfId="17" priority="1" percent="1" rank="15"/>
  </conditionalFormatting>
  <conditionalFormatting sqref="P2:P41">
    <cfRule type="cellIs" dxfId="16" priority="9" operator="greaterThan">
      <formula>0.0001</formula>
    </cfRule>
  </conditionalFormatting>
  <conditionalFormatting sqref="S2:S41">
    <cfRule type="top10" dxfId="15" priority="159" percent="1" rank="10"/>
  </conditionalFormatting>
  <conditionalFormatting sqref="T2:T41">
    <cfRule type="top10" dxfId="14" priority="161" percent="1" rank="10"/>
  </conditionalFormatting>
  <conditionalFormatting sqref="U2:U41">
    <cfRule type="top10" dxfId="13" priority="163" percent="1" rank="10"/>
  </conditionalFormatting>
  <conditionalFormatting sqref="AB2:AB41">
    <cfRule type="top10" dxfId="12" priority="165" percent="1" rank="10"/>
  </conditionalFormatting>
  <conditionalFormatting sqref="AC2:AC41">
    <cfRule type="top10" dxfId="11" priority="171" percent="1" bottom="1" rank="10"/>
  </conditionalFormatting>
  <conditionalFormatting sqref="AE2:AE41">
    <cfRule type="top10" dxfId="10" priority="167" percent="1" rank="10"/>
  </conditionalFormatting>
  <conditionalFormatting sqref="AF2:AF41">
    <cfRule type="top10" dxfId="9" priority="169" percent="1" rank="10"/>
  </conditionalFormatting>
  <pageMargins left="0.75" right="0.75" top="1" bottom="1" header="0.5" footer="0.5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6E70-13F8-4C71-8CB0-B23F63F768E6}">
  <dimension ref="A1:AF39"/>
  <sheetViews>
    <sheetView topLeftCell="A14" zoomScale="79" zoomScaleNormal="80" workbookViewId="0">
      <selection activeCell="U27" sqref="U27"/>
    </sheetView>
  </sheetViews>
  <sheetFormatPr baseColWidth="10" defaultColWidth="8.88671875" defaultRowHeight="14.4" x14ac:dyDescent="0.3"/>
  <cols>
    <col min="2" max="2" width="18" bestFit="1" customWidth="1"/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3">
        <v>0.49122929896424561</v>
      </c>
      <c r="T2" s="3">
        <v>1.5270804877388759</v>
      </c>
      <c r="U2" s="3">
        <v>1.9259065797858199</v>
      </c>
      <c r="V2" s="3">
        <v>9.6469999999999993E-3</v>
      </c>
      <c r="W2" s="3">
        <v>8.5518540000000005</v>
      </c>
      <c r="X2" s="3">
        <v>7.1656500000000003</v>
      </c>
      <c r="Y2" s="3">
        <v>44.150669999999998</v>
      </c>
      <c r="Z2" s="3">
        <v>42.528283999999999</v>
      </c>
      <c r="AA2" s="3">
        <v>1E-4</v>
      </c>
      <c r="AB2" s="3">
        <v>3.3107923860306911</v>
      </c>
      <c r="AC2" s="3">
        <v>6.1597599245610413</v>
      </c>
      <c r="AD2" s="3">
        <v>1.6426339999999999</v>
      </c>
      <c r="AE2" s="3">
        <v>0.31022465459519422</v>
      </c>
      <c r="AF2" s="4">
        <v>0.54665308919257394</v>
      </c>
    </row>
    <row r="3" spans="1:32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</row>
    <row r="4" spans="1:32" x14ac:dyDescent="0.3">
      <c r="A4" s="5">
        <v>4</v>
      </c>
      <c r="B4" t="s">
        <v>43</v>
      </c>
      <c r="C4">
        <v>7318.5311609999917</v>
      </c>
      <c r="D4">
        <v>121.9755193499999</v>
      </c>
      <c r="E4" t="s">
        <v>44</v>
      </c>
      <c r="G4" t="s">
        <v>34</v>
      </c>
      <c r="H4" t="s">
        <v>45</v>
      </c>
      <c r="J4" t="s">
        <v>36</v>
      </c>
      <c r="K4">
        <v>1.9154109697566511E-2</v>
      </c>
      <c r="L4">
        <v>0</v>
      </c>
      <c r="M4">
        <v>1.9154109697566511E-2</v>
      </c>
      <c r="N4" t="s">
        <v>17</v>
      </c>
      <c r="O4">
        <v>170</v>
      </c>
      <c r="P4" s="11">
        <v>9.9770959924361978E-5</v>
      </c>
      <c r="Q4">
        <v>1E-4</v>
      </c>
      <c r="R4">
        <v>2000</v>
      </c>
      <c r="S4" s="28">
        <v>0.23867230327866931</v>
      </c>
      <c r="T4" s="28">
        <v>1.4789405335040691</v>
      </c>
      <c r="U4" s="28">
        <v>1.137318705859411</v>
      </c>
      <c r="V4" s="28">
        <v>9.6469999999999993E-3</v>
      </c>
      <c r="W4" s="28">
        <v>8.5518540000000005</v>
      </c>
      <c r="X4" s="28">
        <v>7.1656500000000003</v>
      </c>
      <c r="Y4" s="28">
        <v>44.150669999999998</v>
      </c>
      <c r="Z4" s="28">
        <v>42.528283999999999</v>
      </c>
      <c r="AA4" s="28">
        <v>1E-4</v>
      </c>
      <c r="AB4" s="28">
        <v>4.7487233770171322</v>
      </c>
      <c r="AC4" s="28">
        <v>5.5804137605699884</v>
      </c>
      <c r="AD4" s="28">
        <v>1.6426339999999999</v>
      </c>
      <c r="AE4" s="28">
        <v>0.35821627237548298</v>
      </c>
      <c r="AF4" s="29">
        <v>0.60828105216998085</v>
      </c>
    </row>
    <row r="5" spans="1:32" x14ac:dyDescent="0.3">
      <c r="A5" s="5">
        <v>5</v>
      </c>
      <c r="B5" t="s">
        <v>46</v>
      </c>
      <c r="C5">
        <v>7374.550728000002</v>
      </c>
      <c r="D5">
        <v>122.90917880000001</v>
      </c>
      <c r="E5" t="s">
        <v>47</v>
      </c>
      <c r="G5" t="s">
        <v>34</v>
      </c>
      <c r="H5" t="s">
        <v>48</v>
      </c>
      <c r="J5" t="s">
        <v>36</v>
      </c>
      <c r="K5">
        <v>3.4835567092652363E-2</v>
      </c>
      <c r="L5">
        <v>0</v>
      </c>
      <c r="M5">
        <v>3.4835567092652363E-2</v>
      </c>
      <c r="N5" t="s">
        <v>17</v>
      </c>
      <c r="O5">
        <v>820</v>
      </c>
      <c r="P5" s="11">
        <v>8.9495828330964918E-5</v>
      </c>
      <c r="Q5">
        <v>1E-4</v>
      </c>
      <c r="R5">
        <v>2000</v>
      </c>
      <c r="S5" s="30">
        <v>0.2215474581717817</v>
      </c>
      <c r="T5" s="28">
        <v>1.7632632704774971</v>
      </c>
      <c r="U5" s="28">
        <v>3.8822158056424811</v>
      </c>
      <c r="V5" s="28">
        <v>9.6469999999999993E-3</v>
      </c>
      <c r="W5" s="28">
        <v>8.5518540000000005</v>
      </c>
      <c r="X5" s="28">
        <v>7.1656500000000003</v>
      </c>
      <c r="Y5" s="28">
        <v>44.150669999999998</v>
      </c>
      <c r="Z5" s="28">
        <v>42.528283999999999</v>
      </c>
      <c r="AA5" s="28">
        <v>1E-4</v>
      </c>
      <c r="AB5" s="28">
        <v>2.5366740295826569</v>
      </c>
      <c r="AC5" s="28">
        <v>7.0276789570579181</v>
      </c>
      <c r="AD5" s="28">
        <v>1.6426339999999999</v>
      </c>
      <c r="AE5" s="28">
        <v>0.58980414277809312</v>
      </c>
      <c r="AF5" s="29">
        <v>0.29932090289880298</v>
      </c>
    </row>
    <row r="6" spans="1:32" x14ac:dyDescent="0.3">
      <c r="A6" s="5">
        <v>6</v>
      </c>
      <c r="B6" t="s">
        <v>49</v>
      </c>
      <c r="C6">
        <v>5694.3620688000228</v>
      </c>
      <c r="D6">
        <v>94.906034480000386</v>
      </c>
      <c r="E6" t="s">
        <v>50</v>
      </c>
      <c r="G6" t="s">
        <v>34</v>
      </c>
      <c r="H6" t="s">
        <v>51</v>
      </c>
      <c r="J6" t="s">
        <v>36</v>
      </c>
      <c r="K6">
        <v>1.2291011892049669E-2</v>
      </c>
      <c r="L6">
        <v>0</v>
      </c>
      <c r="M6">
        <v>1.2291011892049669E-2</v>
      </c>
      <c r="N6" t="s">
        <v>17</v>
      </c>
      <c r="O6">
        <v>378</v>
      </c>
      <c r="P6" s="11">
        <v>9.7765343569708419E-5</v>
      </c>
      <c r="Q6">
        <v>1E-4</v>
      </c>
      <c r="R6">
        <v>2000</v>
      </c>
      <c r="S6" s="30">
        <v>7.1046409533329261E-2</v>
      </c>
      <c r="T6" s="28">
        <v>3.3738439668184652</v>
      </c>
      <c r="U6" s="28">
        <v>2.3322033875726329</v>
      </c>
      <c r="V6" s="28">
        <v>9.6469999999999993E-3</v>
      </c>
      <c r="W6" s="28">
        <v>8.5518540000000005</v>
      </c>
      <c r="X6" s="28">
        <v>7.1656500000000003</v>
      </c>
      <c r="Y6" s="28">
        <v>44.150669999999998</v>
      </c>
      <c r="Z6" s="28">
        <v>42.528283999999999</v>
      </c>
      <c r="AA6" s="28">
        <v>1E-4</v>
      </c>
      <c r="AB6" s="28">
        <v>2.1760985567100839</v>
      </c>
      <c r="AC6" s="28">
        <v>7.3611499471052522</v>
      </c>
      <c r="AD6" s="28">
        <v>1.6426339999999999</v>
      </c>
      <c r="AE6" s="28">
        <v>0.42272115248163261</v>
      </c>
      <c r="AF6" s="29">
        <v>0.41214687694987062</v>
      </c>
    </row>
    <row r="7" spans="1:32" x14ac:dyDescent="0.3">
      <c r="A7" s="5">
        <v>7</v>
      </c>
      <c r="B7" t="s">
        <v>52</v>
      </c>
      <c r="C7">
        <v>15231.7497136</v>
      </c>
      <c r="D7">
        <v>253.86249522666671</v>
      </c>
      <c r="E7" t="s">
        <v>53</v>
      </c>
      <c r="G7" t="s">
        <v>34</v>
      </c>
      <c r="H7" t="s">
        <v>54</v>
      </c>
      <c r="J7" t="s">
        <v>36</v>
      </c>
      <c r="K7">
        <v>1.057828657334144E-2</v>
      </c>
      <c r="L7">
        <v>0</v>
      </c>
      <c r="M7">
        <v>1.057828657334144E-2</v>
      </c>
      <c r="N7" t="s">
        <v>17</v>
      </c>
      <c r="O7">
        <v>2001</v>
      </c>
      <c r="P7" s="11">
        <v>8.4329416212390856E-4</v>
      </c>
      <c r="Q7">
        <v>1E-4</v>
      </c>
      <c r="R7">
        <v>2000</v>
      </c>
      <c r="S7" s="13">
        <v>0.1297696297226717</v>
      </c>
      <c r="T7">
        <v>1.100316472242042</v>
      </c>
      <c r="U7">
        <v>3.2764644886323269</v>
      </c>
      <c r="V7">
        <v>9.6469999999999993E-3</v>
      </c>
      <c r="W7">
        <v>8.5518540000000005</v>
      </c>
      <c r="X7">
        <v>7.1656500000000003</v>
      </c>
      <c r="Y7">
        <v>44.150669999999998</v>
      </c>
      <c r="Z7">
        <v>42.528283999999999</v>
      </c>
      <c r="AA7">
        <v>1E-4</v>
      </c>
      <c r="AB7">
        <v>2.1972924445174771</v>
      </c>
      <c r="AC7">
        <v>5.6254618072746307</v>
      </c>
      <c r="AD7">
        <v>1.6426339999999999</v>
      </c>
      <c r="AE7">
        <v>0.22361832346956681</v>
      </c>
      <c r="AF7" s="6">
        <v>0.72267916407755917</v>
      </c>
    </row>
    <row r="8" spans="1:32" x14ac:dyDescent="0.3">
      <c r="A8" s="5">
        <v>9</v>
      </c>
      <c r="B8" t="s">
        <v>58</v>
      </c>
      <c r="C8">
        <v>2026.802363299998</v>
      </c>
      <c r="D8">
        <v>33.780039388333293</v>
      </c>
      <c r="E8" t="s">
        <v>59</v>
      </c>
      <c r="G8" t="s">
        <v>34</v>
      </c>
      <c r="H8" t="s">
        <v>60</v>
      </c>
      <c r="J8" t="s">
        <v>36</v>
      </c>
      <c r="K8">
        <v>2.0507348618881031E-2</v>
      </c>
      <c r="L8">
        <v>0</v>
      </c>
      <c r="M8">
        <v>2.0507348618881031E-2</v>
      </c>
      <c r="N8" t="s">
        <v>17</v>
      </c>
      <c r="O8">
        <v>301</v>
      </c>
      <c r="P8" s="11">
        <v>9.8301866082106659E-5</v>
      </c>
      <c r="Q8">
        <v>1E-4</v>
      </c>
      <c r="R8">
        <v>2000</v>
      </c>
      <c r="S8" s="30">
        <v>0.2312320810462489</v>
      </c>
      <c r="T8" s="28">
        <v>1.718642886072322</v>
      </c>
      <c r="U8" s="28">
        <v>2.997279945587831</v>
      </c>
      <c r="V8" s="28">
        <v>9.6469999999999993E-3</v>
      </c>
      <c r="W8" s="28">
        <v>8.5518540000000005</v>
      </c>
      <c r="X8" s="28">
        <v>7.1656500000000003</v>
      </c>
      <c r="Y8" s="28">
        <v>44.150669999999998</v>
      </c>
      <c r="Z8" s="28">
        <v>42.528283999999999</v>
      </c>
      <c r="AA8" s="28">
        <v>1E-4</v>
      </c>
      <c r="AB8" s="28">
        <v>2.3541994629890439</v>
      </c>
      <c r="AC8" s="28">
        <v>8.2355175536869432</v>
      </c>
      <c r="AD8" s="28">
        <v>1.6426339999999999</v>
      </c>
      <c r="AE8" s="28">
        <v>0.33402337444756869</v>
      </c>
      <c r="AF8" s="29">
        <v>0.52953327715501552</v>
      </c>
    </row>
    <row r="9" spans="1:32" x14ac:dyDescent="0.3">
      <c r="A9" s="5">
        <v>11</v>
      </c>
      <c r="B9" t="s">
        <v>64</v>
      </c>
      <c r="C9">
        <v>5786.3767086000007</v>
      </c>
      <c r="D9">
        <v>96.439611810000017</v>
      </c>
      <c r="E9" t="s">
        <v>65</v>
      </c>
      <c r="G9" t="s">
        <v>34</v>
      </c>
      <c r="H9" t="s">
        <v>66</v>
      </c>
      <c r="J9" t="s">
        <v>36</v>
      </c>
      <c r="K9">
        <v>2.4991082200323301E-2</v>
      </c>
      <c r="L9">
        <v>0</v>
      </c>
      <c r="M9">
        <v>2.4991082200323301E-2</v>
      </c>
      <c r="N9" t="s">
        <v>17</v>
      </c>
      <c r="O9">
        <v>283</v>
      </c>
      <c r="P9" s="11">
        <v>9.8613290712376561E-5</v>
      </c>
      <c r="Q9">
        <v>1E-4</v>
      </c>
      <c r="R9">
        <v>2000</v>
      </c>
      <c r="S9" s="30">
        <v>0.35445682383815608</v>
      </c>
      <c r="T9" s="28">
        <v>2.895646996567776</v>
      </c>
      <c r="U9" s="28">
        <v>2.4417178876658232</v>
      </c>
      <c r="V9" s="28">
        <v>9.6469999999999993E-3</v>
      </c>
      <c r="W9" s="28">
        <v>8.5518540000000005</v>
      </c>
      <c r="X9" s="28">
        <v>7.1656500000000003</v>
      </c>
      <c r="Y9" s="28">
        <v>44.150669999999998</v>
      </c>
      <c r="Z9" s="28">
        <v>42.528283999999999</v>
      </c>
      <c r="AA9" s="28">
        <v>1E-4</v>
      </c>
      <c r="AB9" s="28">
        <v>2.0720119469016951</v>
      </c>
      <c r="AC9" s="28">
        <v>8.140244314273005</v>
      </c>
      <c r="AD9" s="28">
        <v>1.6426339999999999</v>
      </c>
      <c r="AE9" s="28">
        <v>0.43603437708916032</v>
      </c>
      <c r="AF9" s="29">
        <v>0.4738792844859725</v>
      </c>
    </row>
    <row r="10" spans="1:32" x14ac:dyDescent="0.3">
      <c r="A10" s="5">
        <v>12</v>
      </c>
      <c r="B10" t="s">
        <v>67</v>
      </c>
      <c r="C10">
        <v>28266.52760229999</v>
      </c>
      <c r="D10">
        <v>471.10879337166648</v>
      </c>
      <c r="E10" t="s">
        <v>68</v>
      </c>
      <c r="G10" t="s">
        <v>34</v>
      </c>
      <c r="H10" t="s">
        <v>69</v>
      </c>
      <c r="J10" t="s">
        <v>36</v>
      </c>
      <c r="K10">
        <v>2.3834521668663389E-2</v>
      </c>
      <c r="L10">
        <v>0</v>
      </c>
      <c r="M10">
        <v>2.3834521668663389E-2</v>
      </c>
      <c r="N10" t="s">
        <v>17</v>
      </c>
      <c r="O10">
        <v>2001</v>
      </c>
      <c r="P10" s="11">
        <v>3.0236792461020489E-3</v>
      </c>
      <c r="Q10">
        <v>1E-4</v>
      </c>
      <c r="R10">
        <v>2000</v>
      </c>
      <c r="S10" s="30">
        <v>0.1937974998036483</v>
      </c>
      <c r="T10" s="28">
        <v>1.305003992855698</v>
      </c>
      <c r="U10" s="28">
        <v>2.162669253941381</v>
      </c>
      <c r="V10" s="28">
        <v>9.6469999999999993E-3</v>
      </c>
      <c r="W10" s="28">
        <v>8.5518540000000005</v>
      </c>
      <c r="X10" s="28">
        <v>7.1656500000000003</v>
      </c>
      <c r="Y10" s="28">
        <v>44.150669999999998</v>
      </c>
      <c r="Z10" s="28">
        <v>42.528283999999999</v>
      </c>
      <c r="AA10" s="28">
        <v>1E-4</v>
      </c>
      <c r="AB10" s="28">
        <v>3.5333794506754348</v>
      </c>
      <c r="AC10" s="28">
        <v>9.9584996242521857</v>
      </c>
      <c r="AD10" s="28">
        <v>1.6426339999999999</v>
      </c>
      <c r="AE10" s="28">
        <v>0.27490580520813779</v>
      </c>
      <c r="AF10" s="29">
        <v>0.59371405082027096</v>
      </c>
    </row>
    <row r="11" spans="1:32" x14ac:dyDescent="0.3">
      <c r="A11" s="5">
        <v>13</v>
      </c>
      <c r="B11" t="s">
        <v>70</v>
      </c>
      <c r="C11">
        <v>5024.0627505999873</v>
      </c>
      <c r="D11">
        <v>83.734379176666451</v>
      </c>
      <c r="E11" t="s">
        <v>71</v>
      </c>
      <c r="G11" t="s">
        <v>34</v>
      </c>
      <c r="H11" t="s">
        <v>72</v>
      </c>
      <c r="J11" t="s">
        <v>36</v>
      </c>
      <c r="K11">
        <v>4.075483124784126E-2</v>
      </c>
      <c r="L11">
        <v>0</v>
      </c>
      <c r="M11">
        <v>4.075483124784126E-2</v>
      </c>
      <c r="N11" t="s">
        <v>17</v>
      </c>
      <c r="O11">
        <v>163</v>
      </c>
      <c r="P11" s="11">
        <v>9.4957242368113107E-5</v>
      </c>
      <c r="Q11">
        <v>1E-4</v>
      </c>
      <c r="R11">
        <v>2000</v>
      </c>
      <c r="S11" s="13">
        <v>0.47507925889546099</v>
      </c>
      <c r="T11">
        <v>1.7942830917244461</v>
      </c>
      <c r="U11">
        <v>1.536080827207515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3.0630033486266108</v>
      </c>
      <c r="AC11">
        <v>9.8713319233272756</v>
      </c>
      <c r="AD11">
        <v>1.6426339999999999</v>
      </c>
      <c r="AE11">
        <v>0.45417614586722482</v>
      </c>
      <c r="AF11" s="6">
        <v>0.37020863228583628</v>
      </c>
    </row>
    <row r="12" spans="1:32" x14ac:dyDescent="0.3">
      <c r="A12" s="5">
        <v>14</v>
      </c>
      <c r="B12" t="s">
        <v>73</v>
      </c>
      <c r="C12">
        <v>5644.6686482999939</v>
      </c>
      <c r="D12">
        <v>94.077810804999899</v>
      </c>
      <c r="E12" t="s">
        <v>74</v>
      </c>
      <c r="G12" t="s">
        <v>34</v>
      </c>
      <c r="H12" t="s">
        <v>75</v>
      </c>
      <c r="J12" t="s">
        <v>36</v>
      </c>
      <c r="K12">
        <v>2.3393480287682549E-2</v>
      </c>
      <c r="L12">
        <v>0</v>
      </c>
      <c r="M12">
        <v>2.3393480287682549E-2</v>
      </c>
      <c r="N12" t="s">
        <v>17</v>
      </c>
      <c r="O12">
        <v>593</v>
      </c>
      <c r="P12" s="11">
        <v>9.994242130357086E-5</v>
      </c>
      <c r="Q12">
        <v>1E-4</v>
      </c>
      <c r="R12">
        <v>2000</v>
      </c>
      <c r="S12" s="28">
        <v>0.1400943037433009</v>
      </c>
      <c r="T12" s="28">
        <v>2.5765714714097321</v>
      </c>
      <c r="U12" s="28">
        <v>2.8573243947471481</v>
      </c>
      <c r="V12" s="28">
        <v>9.6469999999999993E-3</v>
      </c>
      <c r="W12" s="28">
        <v>8.5518540000000005</v>
      </c>
      <c r="X12" s="28">
        <v>7.1656500000000003</v>
      </c>
      <c r="Y12" s="28">
        <v>44.150669999999998</v>
      </c>
      <c r="Z12" s="28">
        <v>42.528283999999999</v>
      </c>
      <c r="AA12" s="28">
        <v>1E-4</v>
      </c>
      <c r="AB12" s="28">
        <v>1.945967410891327</v>
      </c>
      <c r="AC12" s="28">
        <v>9.9831868103195394</v>
      </c>
      <c r="AD12" s="28">
        <v>1.6426339999999999</v>
      </c>
      <c r="AE12" s="28">
        <v>0.34218172241272238</v>
      </c>
      <c r="AF12" s="29">
        <v>0.51117062692806203</v>
      </c>
    </row>
    <row r="13" spans="1:32" x14ac:dyDescent="0.3">
      <c r="A13" s="5">
        <v>16</v>
      </c>
      <c r="B13" t="s">
        <v>79</v>
      </c>
      <c r="C13">
        <v>18658.914202199991</v>
      </c>
      <c r="D13">
        <v>310.98190336999983</v>
      </c>
      <c r="E13" t="s">
        <v>80</v>
      </c>
      <c r="G13" t="s">
        <v>34</v>
      </c>
      <c r="H13" t="s">
        <v>81</v>
      </c>
      <c r="J13" t="s">
        <v>36</v>
      </c>
      <c r="K13">
        <v>1.8639392445070579E-2</v>
      </c>
      <c r="L13">
        <v>0</v>
      </c>
      <c r="M13">
        <v>1.8639392445070579E-2</v>
      </c>
      <c r="N13" t="s">
        <v>17</v>
      </c>
      <c r="O13">
        <v>2001</v>
      </c>
      <c r="P13" s="11">
        <v>2.5010509107454318E-4</v>
      </c>
      <c r="Q13">
        <v>1E-4</v>
      </c>
      <c r="R13">
        <v>2000</v>
      </c>
      <c r="S13">
        <v>0.1070697432326719</v>
      </c>
      <c r="T13">
        <v>0.84108690838249922</v>
      </c>
      <c r="U13">
        <v>1.3930663481851771</v>
      </c>
      <c r="V13">
        <v>9.6469999999999993E-3</v>
      </c>
      <c r="W13">
        <v>8.5518540000000005</v>
      </c>
      <c r="X13">
        <v>7.1656500000000003</v>
      </c>
      <c r="Y13">
        <v>44.150669999999998</v>
      </c>
      <c r="Z13">
        <v>42.528283999999999</v>
      </c>
      <c r="AA13">
        <v>1E-4</v>
      </c>
      <c r="AB13">
        <v>7.0794181127694831</v>
      </c>
      <c r="AC13">
        <v>5.1024858503608908</v>
      </c>
      <c r="AD13">
        <v>1.6426339999999999</v>
      </c>
      <c r="AE13">
        <v>0.68414137490005245</v>
      </c>
      <c r="AF13" s="6">
        <v>0.22135648461899099</v>
      </c>
    </row>
    <row r="14" spans="1:32" x14ac:dyDescent="0.3">
      <c r="A14" s="5">
        <v>17</v>
      </c>
      <c r="B14" t="s">
        <v>82</v>
      </c>
      <c r="C14">
        <v>21111.6125092</v>
      </c>
      <c r="D14">
        <v>351.86020848666669</v>
      </c>
      <c r="E14" t="s">
        <v>83</v>
      </c>
      <c r="G14" t="s">
        <v>34</v>
      </c>
      <c r="H14" t="s">
        <v>84</v>
      </c>
      <c r="J14" t="s">
        <v>36</v>
      </c>
      <c r="K14">
        <v>1.9031896178424979E-2</v>
      </c>
      <c r="L14">
        <v>0</v>
      </c>
      <c r="M14">
        <v>1.9031896178424979E-2</v>
      </c>
      <c r="N14" t="s">
        <v>17</v>
      </c>
      <c r="O14">
        <v>2001</v>
      </c>
      <c r="P14" s="11">
        <v>1.604056233756677E-4</v>
      </c>
      <c r="Q14">
        <v>1E-4</v>
      </c>
      <c r="R14">
        <v>2000</v>
      </c>
      <c r="S14">
        <v>0.13943642659037339</v>
      </c>
      <c r="T14">
        <v>1.4375904770707839</v>
      </c>
      <c r="U14">
        <v>1.17514855524946</v>
      </c>
      <c r="V14">
        <v>9.6469999999999993E-3</v>
      </c>
      <c r="W14">
        <v>8.5518540000000005</v>
      </c>
      <c r="X14">
        <v>7.1656500000000003</v>
      </c>
      <c r="Y14">
        <v>44.150669999999998</v>
      </c>
      <c r="Z14">
        <v>42.528283999999999</v>
      </c>
      <c r="AA14">
        <v>1E-4</v>
      </c>
      <c r="AB14">
        <v>6.527551914797427</v>
      </c>
      <c r="AC14">
        <v>6.2341027278068388</v>
      </c>
      <c r="AD14">
        <v>1.6426339999999999</v>
      </c>
      <c r="AE14">
        <v>0.32014943742462582</v>
      </c>
      <c r="AF14" s="6">
        <v>0.54753100362087015</v>
      </c>
    </row>
    <row r="15" spans="1:32" x14ac:dyDescent="0.3">
      <c r="A15" s="5">
        <v>18</v>
      </c>
      <c r="B15" t="s">
        <v>85</v>
      </c>
      <c r="C15">
        <v>20588.614749</v>
      </c>
      <c r="D15">
        <v>343.14357914999999</v>
      </c>
      <c r="E15" t="s">
        <v>86</v>
      </c>
      <c r="G15" t="s">
        <v>34</v>
      </c>
      <c r="H15" t="s">
        <v>87</v>
      </c>
      <c r="J15" t="s">
        <v>36</v>
      </c>
      <c r="K15">
        <v>2.4723539734177399E-2</v>
      </c>
      <c r="L15">
        <v>0</v>
      </c>
      <c r="M15">
        <v>2.4723539734177399E-2</v>
      </c>
      <c r="N15" t="s">
        <v>17</v>
      </c>
      <c r="O15">
        <v>901</v>
      </c>
      <c r="P15" s="11">
        <v>9.5859297039156189E-5</v>
      </c>
      <c r="Q15">
        <v>1E-4</v>
      </c>
      <c r="R15">
        <v>2000</v>
      </c>
      <c r="S15" s="28">
        <v>0.1957220287925758</v>
      </c>
      <c r="T15" s="28">
        <v>1.8413149759623919</v>
      </c>
      <c r="U15" s="28">
        <v>1.142151867830226</v>
      </c>
      <c r="V15" s="28">
        <v>9.6469999999999993E-3</v>
      </c>
      <c r="W15" s="28">
        <v>8.5518540000000005</v>
      </c>
      <c r="X15" s="28">
        <v>7.1656500000000003</v>
      </c>
      <c r="Y15" s="28">
        <v>44.150669999999998</v>
      </c>
      <c r="Z15" s="28">
        <v>42.528283999999999</v>
      </c>
      <c r="AA15" s="28">
        <v>1E-4</v>
      </c>
      <c r="AB15" s="28">
        <v>4.357026494323847</v>
      </c>
      <c r="AC15" s="28">
        <v>9.5224248843655364</v>
      </c>
      <c r="AD15" s="28">
        <v>1.6426339999999999</v>
      </c>
      <c r="AE15" s="28">
        <v>0.50051089460210196</v>
      </c>
      <c r="AF15" s="29">
        <v>0.33005485774102938</v>
      </c>
    </row>
    <row r="16" spans="1:32" x14ac:dyDescent="0.3">
      <c r="A16" s="5">
        <v>19</v>
      </c>
      <c r="B16" t="s">
        <v>88</v>
      </c>
      <c r="C16">
        <v>4922.2885048000026</v>
      </c>
      <c r="D16">
        <v>82.03814174666671</v>
      </c>
      <c r="E16" t="s">
        <v>89</v>
      </c>
      <c r="G16" t="s">
        <v>34</v>
      </c>
      <c r="H16" t="s">
        <v>90</v>
      </c>
      <c r="J16" t="s">
        <v>36</v>
      </c>
      <c r="K16">
        <v>2.1089386883793221E-2</v>
      </c>
      <c r="L16">
        <v>0</v>
      </c>
      <c r="M16">
        <v>2.1089386883793221E-2</v>
      </c>
      <c r="N16" t="s">
        <v>17</v>
      </c>
      <c r="O16">
        <v>602</v>
      </c>
      <c r="P16" s="11">
        <v>9.8179584203664892E-5</v>
      </c>
      <c r="Q16">
        <v>1E-4</v>
      </c>
      <c r="R16">
        <v>2000</v>
      </c>
      <c r="S16" s="28">
        <v>0.2443548171277711</v>
      </c>
      <c r="T16" s="28">
        <v>1.688151118707405</v>
      </c>
      <c r="U16" s="28">
        <v>1.1020683670286131</v>
      </c>
      <c r="V16" s="28">
        <v>9.6469999999999993E-3</v>
      </c>
      <c r="W16" s="28">
        <v>8.5518540000000005</v>
      </c>
      <c r="X16" s="28">
        <v>7.1656500000000003</v>
      </c>
      <c r="Y16" s="28">
        <v>44.150669999999998</v>
      </c>
      <c r="Z16" s="28">
        <v>42.528283999999999</v>
      </c>
      <c r="AA16" s="28">
        <v>1E-4</v>
      </c>
      <c r="AB16" s="28">
        <v>5.0732425293949914</v>
      </c>
      <c r="AC16" s="28">
        <v>9.4576715142226693</v>
      </c>
      <c r="AD16" s="28">
        <v>1.6426339999999999</v>
      </c>
      <c r="AE16" s="28">
        <v>0.5665117530365259</v>
      </c>
      <c r="AF16" s="29">
        <v>0.26939164592091119</v>
      </c>
    </row>
    <row r="17" spans="1:32" x14ac:dyDescent="0.3">
      <c r="A17" s="5">
        <v>21</v>
      </c>
      <c r="B17" t="s">
        <v>94</v>
      </c>
      <c r="C17">
        <v>13623.75451269999</v>
      </c>
      <c r="D17">
        <v>227.06257521166651</v>
      </c>
      <c r="E17" t="s">
        <v>95</v>
      </c>
      <c r="G17" t="s">
        <v>34</v>
      </c>
      <c r="H17" t="s">
        <v>96</v>
      </c>
      <c r="J17" t="s">
        <v>36</v>
      </c>
      <c r="K17">
        <v>1.74094920806762E-2</v>
      </c>
      <c r="L17">
        <v>0</v>
      </c>
      <c r="M17">
        <v>1.74094920806762E-2</v>
      </c>
      <c r="N17" t="s">
        <v>17</v>
      </c>
      <c r="O17">
        <v>1048</v>
      </c>
      <c r="P17" s="11">
        <v>8.9820340367870069E-5</v>
      </c>
      <c r="Q17">
        <v>1E-4</v>
      </c>
      <c r="R17">
        <v>2000</v>
      </c>
      <c r="S17" s="28">
        <v>0.18432378096980079</v>
      </c>
      <c r="T17" s="28">
        <v>2.4149638557808002</v>
      </c>
      <c r="U17" s="28">
        <v>1.3649814811210901</v>
      </c>
      <c r="V17" s="28">
        <v>9.6469999999999993E-3</v>
      </c>
      <c r="W17" s="28">
        <v>8.5518540000000005</v>
      </c>
      <c r="X17" s="28">
        <v>7.1656500000000003</v>
      </c>
      <c r="Y17" s="28">
        <v>44.150669999999998</v>
      </c>
      <c r="Z17" s="28">
        <v>42.528283999999999</v>
      </c>
      <c r="AA17" s="28">
        <v>1E-4</v>
      </c>
      <c r="AB17" s="28">
        <v>3.4242520685076201</v>
      </c>
      <c r="AC17" s="28">
        <v>9.9997745736004902</v>
      </c>
      <c r="AD17" s="28">
        <v>1.6426339999999999</v>
      </c>
      <c r="AE17" s="28">
        <v>0.45171710819292482</v>
      </c>
      <c r="AF17" s="29">
        <v>0.46110374288754669</v>
      </c>
    </row>
    <row r="18" spans="1:32" x14ac:dyDescent="0.3">
      <c r="A18" s="5">
        <v>24</v>
      </c>
      <c r="B18" t="s">
        <v>103</v>
      </c>
      <c r="C18">
        <v>4185.7595682000101</v>
      </c>
      <c r="D18">
        <v>69.762659470000173</v>
      </c>
      <c r="E18" t="s">
        <v>104</v>
      </c>
      <c r="G18" t="s">
        <v>34</v>
      </c>
      <c r="H18" t="s">
        <v>105</v>
      </c>
      <c r="J18" t="s">
        <v>36</v>
      </c>
      <c r="K18">
        <v>1.7061836719004322E-2</v>
      </c>
      <c r="L18">
        <v>0</v>
      </c>
      <c r="M18">
        <v>1.7061836719004322E-2</v>
      </c>
      <c r="N18" t="s">
        <v>17</v>
      </c>
      <c r="O18">
        <v>240</v>
      </c>
      <c r="P18" s="11">
        <v>9.7299965244742958E-5</v>
      </c>
      <c r="Q18">
        <v>1E-4</v>
      </c>
      <c r="R18">
        <v>2000</v>
      </c>
      <c r="S18" s="28">
        <v>0.132546262650129</v>
      </c>
      <c r="T18" s="28">
        <v>3.893671184911172</v>
      </c>
      <c r="U18" s="28">
        <v>0.67255490702205023</v>
      </c>
      <c r="V18" s="28">
        <v>9.6469999999999993E-3</v>
      </c>
      <c r="W18" s="28">
        <v>8.5518540000000005</v>
      </c>
      <c r="X18" s="28">
        <v>7.1656500000000003</v>
      </c>
      <c r="Y18" s="28">
        <v>44.150669999999998</v>
      </c>
      <c r="Z18" s="28">
        <v>42.528283999999999</v>
      </c>
      <c r="AA18" s="28">
        <v>1E-4</v>
      </c>
      <c r="AB18" s="28">
        <v>3.921038778767866</v>
      </c>
      <c r="AC18" s="28">
        <v>9.991795607270566</v>
      </c>
      <c r="AD18" s="28">
        <v>1.6426339999999999</v>
      </c>
      <c r="AE18" s="28">
        <v>0.57030410431709933</v>
      </c>
      <c r="AF18" s="29">
        <v>0.27539095119876622</v>
      </c>
    </row>
    <row r="19" spans="1:32" x14ac:dyDescent="0.3">
      <c r="A19" s="5">
        <v>25</v>
      </c>
      <c r="B19" t="s">
        <v>106</v>
      </c>
      <c r="C19">
        <v>4901.0364973999967</v>
      </c>
      <c r="D19">
        <v>81.683941623333283</v>
      </c>
      <c r="E19" t="s">
        <v>107</v>
      </c>
      <c r="G19" t="s">
        <v>34</v>
      </c>
      <c r="H19" t="s">
        <v>108</v>
      </c>
      <c r="J19" t="s">
        <v>36</v>
      </c>
      <c r="K19">
        <v>3.2865191206284922E-2</v>
      </c>
      <c r="L19">
        <v>0</v>
      </c>
      <c r="M19">
        <v>3.2865191206284922E-2</v>
      </c>
      <c r="N19" t="s">
        <v>17</v>
      </c>
      <c r="O19">
        <v>832</v>
      </c>
      <c r="P19" s="11">
        <v>9.7801619461440078E-5</v>
      </c>
      <c r="Q19">
        <v>1E-4</v>
      </c>
      <c r="R19">
        <v>2000</v>
      </c>
      <c r="S19" s="28">
        <v>0.19413816212667731</v>
      </c>
      <c r="T19" s="28">
        <v>3.844084630584347</v>
      </c>
      <c r="U19" s="28">
        <v>1.2368361308460261</v>
      </c>
      <c r="V19" s="28">
        <v>9.6469999999999993E-3</v>
      </c>
      <c r="W19" s="28">
        <v>8.5518540000000005</v>
      </c>
      <c r="X19" s="28">
        <v>7.1656500000000003</v>
      </c>
      <c r="Y19" s="28">
        <v>44.150669999999998</v>
      </c>
      <c r="Z19" s="28">
        <v>42.528283999999999</v>
      </c>
      <c r="AA19" s="28">
        <v>1E-4</v>
      </c>
      <c r="AB19" s="28">
        <v>2.4274124306484648</v>
      </c>
      <c r="AC19" s="28">
        <v>9.9601620773877109</v>
      </c>
      <c r="AD19" s="28">
        <v>1.6426339999999999</v>
      </c>
      <c r="AE19" s="28">
        <v>0.59968154212108837</v>
      </c>
      <c r="AF19" s="29">
        <v>0.19259834076794369</v>
      </c>
    </row>
    <row r="20" spans="1:32" x14ac:dyDescent="0.3">
      <c r="A20" s="5">
        <v>26</v>
      </c>
      <c r="B20" t="s">
        <v>109</v>
      </c>
      <c r="C20">
        <v>2074.2730203999959</v>
      </c>
      <c r="D20">
        <v>34.571217006666608</v>
      </c>
      <c r="E20" t="s">
        <v>110</v>
      </c>
      <c r="G20" t="s">
        <v>34</v>
      </c>
      <c r="H20" t="s">
        <v>111</v>
      </c>
      <c r="J20" t="s">
        <v>36</v>
      </c>
      <c r="K20">
        <v>2.158008175818216E-2</v>
      </c>
      <c r="L20">
        <v>0</v>
      </c>
      <c r="M20">
        <v>2.158008175818216E-2</v>
      </c>
      <c r="N20" t="s">
        <v>17</v>
      </c>
      <c r="O20">
        <v>277</v>
      </c>
      <c r="P20" s="11">
        <v>9.9942092145659375E-5</v>
      </c>
      <c r="Q20">
        <v>1E-4</v>
      </c>
      <c r="R20">
        <v>2000</v>
      </c>
      <c r="S20">
        <v>0.37858929172535749</v>
      </c>
      <c r="T20">
        <v>2.614446601797082</v>
      </c>
      <c r="U20">
        <v>7.184449109992201</v>
      </c>
      <c r="V20">
        <v>9.6469999999999993E-3</v>
      </c>
      <c r="W20">
        <v>8.5518540000000005</v>
      </c>
      <c r="X20">
        <v>7.1656500000000003</v>
      </c>
      <c r="Y20">
        <v>44.150669999999998</v>
      </c>
      <c r="Z20">
        <v>42.528283999999999</v>
      </c>
      <c r="AA20">
        <v>1E-4</v>
      </c>
      <c r="AB20">
        <v>1.212010681004307</v>
      </c>
      <c r="AC20">
        <v>9.9930494297369474</v>
      </c>
      <c r="AD20">
        <v>1.6426339999999999</v>
      </c>
      <c r="AE20">
        <v>0.34845443192353331</v>
      </c>
      <c r="AF20" s="6">
        <v>0.53600703040912212</v>
      </c>
    </row>
    <row r="21" spans="1:32" x14ac:dyDescent="0.3">
      <c r="A21" s="5">
        <v>27</v>
      </c>
      <c r="B21" t="s">
        <v>112</v>
      </c>
      <c r="C21">
        <v>4781.5120207</v>
      </c>
      <c r="D21">
        <v>79.691867011666673</v>
      </c>
      <c r="E21" t="s">
        <v>113</v>
      </c>
      <c r="G21" t="s">
        <v>34</v>
      </c>
      <c r="H21" t="s">
        <v>114</v>
      </c>
      <c r="J21" t="s">
        <v>36</v>
      </c>
      <c r="K21">
        <v>3.5409677587260928E-2</v>
      </c>
      <c r="L21">
        <v>0</v>
      </c>
      <c r="M21">
        <v>3.5409677587260928E-2</v>
      </c>
      <c r="N21" t="s">
        <v>17</v>
      </c>
      <c r="O21">
        <v>695</v>
      </c>
      <c r="P21" s="11">
        <v>8.8803930078873696E-5</v>
      </c>
      <c r="Q21">
        <v>1E-4</v>
      </c>
      <c r="R21">
        <v>2000</v>
      </c>
      <c r="S21" s="28">
        <v>0.17552491149223229</v>
      </c>
      <c r="T21" s="28">
        <v>4.1577551963834054</v>
      </c>
      <c r="U21" s="28">
        <v>1.4753880067750491</v>
      </c>
      <c r="V21" s="28">
        <v>9.6469999999999993E-3</v>
      </c>
      <c r="W21" s="28">
        <v>8.5518540000000005</v>
      </c>
      <c r="X21" s="28">
        <v>7.1656500000000003</v>
      </c>
      <c r="Y21" s="28">
        <v>44.150669999999998</v>
      </c>
      <c r="Z21" s="28">
        <v>42.528283999999999</v>
      </c>
      <c r="AA21" s="28">
        <v>1E-4</v>
      </c>
      <c r="AB21" s="28">
        <v>2.0675212452253708</v>
      </c>
      <c r="AC21" s="28">
        <v>9.9962269957496606</v>
      </c>
      <c r="AD21" s="28">
        <v>1.6426339999999999</v>
      </c>
      <c r="AE21" s="28">
        <v>0.56432866694182982</v>
      </c>
      <c r="AF21" s="29">
        <v>0.2082087045653517</v>
      </c>
    </row>
    <row r="22" spans="1:32" x14ac:dyDescent="0.3">
      <c r="A22" s="5">
        <v>28</v>
      </c>
      <c r="B22" t="s">
        <v>115</v>
      </c>
      <c r="C22">
        <v>2133.3174923000038</v>
      </c>
      <c r="D22">
        <v>35.555291538333407</v>
      </c>
      <c r="E22" t="s">
        <v>116</v>
      </c>
      <c r="G22" t="s">
        <v>34</v>
      </c>
      <c r="H22" t="s">
        <v>117</v>
      </c>
      <c r="J22" t="s">
        <v>36</v>
      </c>
      <c r="K22">
        <v>1.10161903996707E-2</v>
      </c>
      <c r="L22">
        <v>0</v>
      </c>
      <c r="M22">
        <v>1.10161903996707E-2</v>
      </c>
      <c r="N22" t="s">
        <v>17</v>
      </c>
      <c r="O22">
        <v>255</v>
      </c>
      <c r="P22" s="11">
        <v>9.990303220302308E-5</v>
      </c>
      <c r="Q22">
        <v>1E-4</v>
      </c>
      <c r="R22">
        <v>2000</v>
      </c>
      <c r="S22">
        <v>0.1386956396634994</v>
      </c>
      <c r="T22">
        <v>0.35096545121603412</v>
      </c>
      <c r="U22">
        <v>5.6300792481507358</v>
      </c>
      <c r="V22">
        <v>9.6469999999999993E-3</v>
      </c>
      <c r="W22">
        <v>8.5518540000000005</v>
      </c>
      <c r="X22">
        <v>7.1656500000000003</v>
      </c>
      <c r="Y22">
        <v>44.150669999999998</v>
      </c>
      <c r="Z22">
        <v>42.528283999999999</v>
      </c>
      <c r="AA22">
        <v>1E-4</v>
      </c>
      <c r="AB22">
        <v>2.48489320225287</v>
      </c>
      <c r="AC22">
        <v>4.4853468547857913</v>
      </c>
      <c r="AD22">
        <v>1.6426339999999999</v>
      </c>
      <c r="AE22">
        <v>0.13702884973579349</v>
      </c>
      <c r="AF22" s="6">
        <v>0.61565639978424436</v>
      </c>
    </row>
    <row r="23" spans="1:32" x14ac:dyDescent="0.3">
      <c r="A23" s="5">
        <v>29</v>
      </c>
      <c r="B23" t="s">
        <v>118</v>
      </c>
      <c r="C23">
        <v>1720.9336680999841</v>
      </c>
      <c r="D23">
        <v>28.6822278016664</v>
      </c>
      <c r="E23" t="s">
        <v>119</v>
      </c>
      <c r="G23" t="s">
        <v>34</v>
      </c>
      <c r="H23" t="s">
        <v>120</v>
      </c>
      <c r="J23" t="s">
        <v>36</v>
      </c>
      <c r="K23">
        <v>1.528760483283453E-2</v>
      </c>
      <c r="L23">
        <v>0</v>
      </c>
      <c r="M23">
        <v>1.528760483283453E-2</v>
      </c>
      <c r="N23" t="s">
        <v>17</v>
      </c>
      <c r="O23">
        <v>334</v>
      </c>
      <c r="P23" s="11">
        <v>9.3982948527025596E-5</v>
      </c>
      <c r="Q23">
        <v>1E-4</v>
      </c>
      <c r="R23">
        <v>2000</v>
      </c>
      <c r="S23">
        <v>5.2075001580897208E-2</v>
      </c>
      <c r="T23">
        <v>1.8137100794334391</v>
      </c>
      <c r="U23">
        <v>1.5666984959853949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5.8649617967851384</v>
      </c>
      <c r="AC23">
        <v>4.2056147599870002</v>
      </c>
      <c r="AD23">
        <v>1.6426339999999999</v>
      </c>
      <c r="AE23">
        <v>0.1991690382268973</v>
      </c>
      <c r="AF23" s="6">
        <v>0.79546710150877675</v>
      </c>
    </row>
    <row r="24" spans="1:32" x14ac:dyDescent="0.3">
      <c r="A24" s="5">
        <v>31</v>
      </c>
      <c r="B24" t="s">
        <v>124</v>
      </c>
      <c r="C24">
        <v>1135.8948174999971</v>
      </c>
      <c r="D24">
        <v>18.931580291666609</v>
      </c>
      <c r="E24" t="s">
        <v>125</v>
      </c>
      <c r="G24" t="s">
        <v>34</v>
      </c>
      <c r="H24" t="s">
        <v>126</v>
      </c>
      <c r="J24" t="s">
        <v>36</v>
      </c>
      <c r="K24">
        <v>1.2418892553136759E-2</v>
      </c>
      <c r="L24">
        <v>0</v>
      </c>
      <c r="M24">
        <v>1.2418892553136759E-2</v>
      </c>
      <c r="N24" t="s">
        <v>17</v>
      </c>
      <c r="O24">
        <v>173</v>
      </c>
      <c r="P24" s="11">
        <v>9.9952482821797579E-5</v>
      </c>
      <c r="Q24">
        <v>1E-4</v>
      </c>
      <c r="R24">
        <v>2000</v>
      </c>
      <c r="S24">
        <v>9.5131472790338165E-2</v>
      </c>
      <c r="T24">
        <v>1.3514976724639101</v>
      </c>
      <c r="U24">
        <v>1.378767963387493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5.7046777604247936</v>
      </c>
      <c r="AC24">
        <v>6.9959496868252078</v>
      </c>
      <c r="AD24">
        <v>1.6426339999999999</v>
      </c>
      <c r="AE24">
        <v>0.27282498101157071</v>
      </c>
      <c r="AF24" s="6">
        <v>0.70647905065370864</v>
      </c>
    </row>
    <row r="25" spans="1:32" x14ac:dyDescent="0.3">
      <c r="A25" s="5">
        <v>32</v>
      </c>
      <c r="B25" t="s">
        <v>127</v>
      </c>
      <c r="C25">
        <v>9774.8308117999986</v>
      </c>
      <c r="D25">
        <v>162.9138468633333</v>
      </c>
      <c r="E25" t="s">
        <v>128</v>
      </c>
      <c r="G25" t="s">
        <v>34</v>
      </c>
      <c r="H25" t="s">
        <v>129</v>
      </c>
      <c r="J25" t="s">
        <v>36</v>
      </c>
      <c r="K25">
        <v>3.5474141892733478E-2</v>
      </c>
      <c r="L25">
        <v>0</v>
      </c>
      <c r="M25">
        <v>3.5474141892733478E-2</v>
      </c>
      <c r="N25" t="s">
        <v>17</v>
      </c>
      <c r="O25">
        <v>576</v>
      </c>
      <c r="P25" s="11">
        <v>9.7171459345381795E-5</v>
      </c>
      <c r="Q25">
        <v>1E-4</v>
      </c>
      <c r="R25">
        <v>2000</v>
      </c>
      <c r="S25" s="28">
        <v>0.32234151004415629</v>
      </c>
      <c r="T25" s="28">
        <v>1.9991316186647099</v>
      </c>
      <c r="U25" s="28">
        <v>1.4055667221445689</v>
      </c>
      <c r="V25" s="28">
        <v>9.6469999999999993E-3</v>
      </c>
      <c r="W25" s="28">
        <v>8.5518540000000005</v>
      </c>
      <c r="X25" s="28">
        <v>7.1656500000000003</v>
      </c>
      <c r="Y25" s="28">
        <v>44.150669999999998</v>
      </c>
      <c r="Z25" s="28">
        <v>42.528283999999999</v>
      </c>
      <c r="AA25" s="28">
        <v>1E-4</v>
      </c>
      <c r="AB25" s="28">
        <v>3.566065080144825</v>
      </c>
      <c r="AC25" s="28">
        <v>6.1644202880710797</v>
      </c>
      <c r="AD25" s="28">
        <v>1.6426339999999999</v>
      </c>
      <c r="AE25" s="28">
        <v>0.49660288496814692</v>
      </c>
      <c r="AF25" s="29">
        <v>0.3550808755615506</v>
      </c>
    </row>
    <row r="26" spans="1:32" x14ac:dyDescent="0.3">
      <c r="A26" s="5">
        <v>35</v>
      </c>
      <c r="B26" t="s">
        <v>136</v>
      </c>
      <c r="C26">
        <v>1066.8020373000179</v>
      </c>
      <c r="D26">
        <v>17.780033955000299</v>
      </c>
      <c r="E26" t="s">
        <v>137</v>
      </c>
      <c r="G26" t="s">
        <v>34</v>
      </c>
      <c r="H26" t="s">
        <v>138</v>
      </c>
      <c r="J26" t="s">
        <v>36</v>
      </c>
      <c r="K26">
        <v>2.0386779345943549E-2</v>
      </c>
      <c r="L26">
        <v>0</v>
      </c>
      <c r="M26">
        <v>2.0386779345943549E-2</v>
      </c>
      <c r="N26" t="s">
        <v>17</v>
      </c>
      <c r="O26">
        <v>238</v>
      </c>
      <c r="P26" s="11">
        <v>9.7799410588132412E-5</v>
      </c>
      <c r="Q26">
        <v>1E-4</v>
      </c>
      <c r="R26">
        <v>2000</v>
      </c>
      <c r="S26" s="28">
        <v>0.1146204907562238</v>
      </c>
      <c r="T26" s="28">
        <v>1.2822339503207389</v>
      </c>
      <c r="U26" s="28">
        <v>3.3997732462060068</v>
      </c>
      <c r="V26" s="28">
        <v>9.6469999999999993E-3</v>
      </c>
      <c r="W26" s="28">
        <v>8.5518540000000005</v>
      </c>
      <c r="X26" s="28">
        <v>7.1656500000000003</v>
      </c>
      <c r="Y26" s="28">
        <v>44.150669999999998</v>
      </c>
      <c r="Z26" s="28">
        <v>42.528283999999999</v>
      </c>
      <c r="AA26" s="28">
        <v>1E-4</v>
      </c>
      <c r="AB26" s="28">
        <v>2.1198737333854409</v>
      </c>
      <c r="AC26" s="28">
        <v>5.6678882673044573</v>
      </c>
      <c r="AD26" s="28">
        <v>1.6426339999999999</v>
      </c>
      <c r="AE26" s="28">
        <v>0.28948593086548219</v>
      </c>
      <c r="AF26" s="29">
        <v>0.50893350559284523</v>
      </c>
    </row>
    <row r="27" spans="1:32" x14ac:dyDescent="0.3">
      <c r="A27" s="5">
        <v>37</v>
      </c>
      <c r="B27" t="s">
        <v>142</v>
      </c>
      <c r="C27">
        <v>2741.5197531999729</v>
      </c>
      <c r="D27">
        <v>45.691995886666213</v>
      </c>
      <c r="E27" t="s">
        <v>143</v>
      </c>
      <c r="G27" t="s">
        <v>34</v>
      </c>
      <c r="H27" t="s">
        <v>144</v>
      </c>
      <c r="J27" t="s">
        <v>36</v>
      </c>
      <c r="K27">
        <v>3.6462153739501069E-2</v>
      </c>
      <c r="L27">
        <v>0</v>
      </c>
      <c r="M27">
        <v>3.6462153739501069E-2</v>
      </c>
      <c r="N27" t="s">
        <v>17</v>
      </c>
      <c r="O27">
        <v>473</v>
      </c>
      <c r="P27" s="11">
        <v>8.4768421213510278E-5</v>
      </c>
      <c r="Q27">
        <v>1E-4</v>
      </c>
      <c r="R27">
        <v>2000</v>
      </c>
      <c r="S27">
        <v>0.1004392902415865</v>
      </c>
      <c r="T27">
        <v>4.3800332930190624</v>
      </c>
      <c r="U27">
        <v>0.63567516180043038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2.9512050224277568</v>
      </c>
      <c r="AC27">
        <v>9.9091926377554085</v>
      </c>
      <c r="AD27">
        <v>1.6426339999999999</v>
      </c>
      <c r="AE27">
        <v>0.60218660480016539</v>
      </c>
      <c r="AF27" s="6">
        <v>0.14604862905263499</v>
      </c>
    </row>
    <row r="28" spans="1:32" x14ac:dyDescent="0.3">
      <c r="A28" s="5">
        <v>38</v>
      </c>
      <c r="B28" t="s">
        <v>145</v>
      </c>
      <c r="C28">
        <v>7975.0046935999999</v>
      </c>
      <c r="D28">
        <v>132.91674489333329</v>
      </c>
      <c r="E28" t="s">
        <v>146</v>
      </c>
      <c r="G28" t="s">
        <v>34</v>
      </c>
      <c r="H28" t="s">
        <v>147</v>
      </c>
      <c r="J28" t="s">
        <v>36</v>
      </c>
      <c r="K28">
        <v>3.260815693577121E-2</v>
      </c>
      <c r="L28">
        <v>0</v>
      </c>
      <c r="M28">
        <v>3.260815693577121E-2</v>
      </c>
      <c r="N28" t="s">
        <v>17</v>
      </c>
      <c r="O28">
        <v>384</v>
      </c>
      <c r="P28" s="11">
        <v>8.300816004010434E-5</v>
      </c>
      <c r="Q28">
        <v>1E-4</v>
      </c>
      <c r="R28">
        <v>2000</v>
      </c>
      <c r="S28" s="28">
        <v>0.17452147863439391</v>
      </c>
      <c r="T28" s="28">
        <v>2.6757654567366602</v>
      </c>
      <c r="U28" s="28">
        <v>0.81752363490333246</v>
      </c>
      <c r="V28" s="28">
        <v>9.6469999999999993E-3</v>
      </c>
      <c r="W28" s="28">
        <v>8.5518540000000005</v>
      </c>
      <c r="X28" s="28">
        <v>7.1656500000000003</v>
      </c>
      <c r="Y28" s="28">
        <v>44.150669999999998</v>
      </c>
      <c r="Z28" s="28">
        <v>42.528283999999999</v>
      </c>
      <c r="AA28" s="28">
        <v>1E-4</v>
      </c>
      <c r="AB28" s="28">
        <v>4.6126561510747308</v>
      </c>
      <c r="AC28" s="28">
        <v>9.9983768878087265</v>
      </c>
      <c r="AD28" s="28">
        <v>1.6426339999999999</v>
      </c>
      <c r="AE28" s="28">
        <v>0.59436989934675821</v>
      </c>
      <c r="AF28" s="29">
        <v>0.25578825498710922</v>
      </c>
    </row>
    <row r="29" spans="1:32" x14ac:dyDescent="0.3">
      <c r="A29" s="5">
        <v>39</v>
      </c>
      <c r="B29" t="s">
        <v>148</v>
      </c>
      <c r="C29">
        <v>2399.7903314</v>
      </c>
      <c r="D29">
        <v>39.996505523333333</v>
      </c>
      <c r="E29" t="s">
        <v>149</v>
      </c>
      <c r="G29" t="s">
        <v>34</v>
      </c>
      <c r="H29" t="s">
        <v>150</v>
      </c>
      <c r="J29" t="s">
        <v>36</v>
      </c>
      <c r="K29">
        <v>3.9624340522111133E-2</v>
      </c>
      <c r="L29">
        <v>0</v>
      </c>
      <c r="M29">
        <v>3.9624340522111133E-2</v>
      </c>
      <c r="N29" t="s">
        <v>17</v>
      </c>
      <c r="O29">
        <v>329</v>
      </c>
      <c r="P29" s="11">
        <v>6.4767194554348203E-5</v>
      </c>
      <c r="Q29">
        <v>1E-4</v>
      </c>
      <c r="R29">
        <v>2000</v>
      </c>
      <c r="S29" s="28">
        <v>0.10965967707491669</v>
      </c>
      <c r="T29" s="28">
        <v>2.955778978407098</v>
      </c>
      <c r="U29" s="28">
        <v>2.1872378522803202</v>
      </c>
      <c r="V29" s="28">
        <v>9.6469999999999993E-3</v>
      </c>
      <c r="W29" s="28">
        <v>8.5518540000000005</v>
      </c>
      <c r="X29" s="28">
        <v>7.1656500000000003</v>
      </c>
      <c r="Y29" s="28">
        <v>44.150669999999998</v>
      </c>
      <c r="Z29" s="28">
        <v>42.528283999999999</v>
      </c>
      <c r="AA29" s="28">
        <v>1E-4</v>
      </c>
      <c r="AB29" s="28">
        <v>2.655314943580394</v>
      </c>
      <c r="AC29" s="28">
        <v>9.000361131175044</v>
      </c>
      <c r="AD29" s="28">
        <v>1.6426339999999999</v>
      </c>
      <c r="AE29" s="28">
        <v>0.39369906643429131</v>
      </c>
      <c r="AF29" s="29">
        <v>0.47154905671617331</v>
      </c>
    </row>
    <row r="30" spans="1:32" x14ac:dyDescent="0.3">
      <c r="A30" s="5">
        <v>41</v>
      </c>
      <c r="B30" t="s">
        <v>154</v>
      </c>
      <c r="C30">
        <v>801.18145249999361</v>
      </c>
      <c r="D30">
        <v>13.353024208333229</v>
      </c>
      <c r="E30" t="s">
        <v>155</v>
      </c>
      <c r="G30" t="s">
        <v>34</v>
      </c>
      <c r="H30" t="s">
        <v>156</v>
      </c>
      <c r="J30" t="s">
        <v>36</v>
      </c>
      <c r="K30">
        <v>2.8191474311919811E-2</v>
      </c>
      <c r="L30">
        <v>0</v>
      </c>
      <c r="M30">
        <v>2.8191474311919811E-2</v>
      </c>
      <c r="N30" t="s">
        <v>17</v>
      </c>
      <c r="O30">
        <v>121</v>
      </c>
      <c r="P30" s="11">
        <v>9.4974927254155758E-5</v>
      </c>
      <c r="Q30">
        <v>1E-4</v>
      </c>
      <c r="R30">
        <v>2000</v>
      </c>
      <c r="S30">
        <v>0.1100526452209012</v>
      </c>
      <c r="T30">
        <v>4.4252058770277394</v>
      </c>
      <c r="U30">
        <v>0.28387301061526288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3.181449095176371</v>
      </c>
      <c r="AC30">
        <v>6.3954667337460576</v>
      </c>
      <c r="AD30">
        <v>1.6426339999999999</v>
      </c>
      <c r="AE30">
        <v>0.5828094220948038</v>
      </c>
      <c r="AF30" s="6">
        <v>0.1000003012946015</v>
      </c>
    </row>
    <row r="31" spans="1:32" x14ac:dyDescent="0.3">
      <c r="A31" s="5">
        <v>42</v>
      </c>
      <c r="B31" t="s">
        <v>157</v>
      </c>
      <c r="C31">
        <v>5815.0278800000087</v>
      </c>
      <c r="D31">
        <v>96.917131333333472</v>
      </c>
      <c r="E31" t="s">
        <v>158</v>
      </c>
      <c r="G31" t="s">
        <v>34</v>
      </c>
      <c r="H31" t="s">
        <v>159</v>
      </c>
      <c r="J31" t="s">
        <v>36</v>
      </c>
      <c r="K31">
        <v>1.9750574773232939E-2</v>
      </c>
      <c r="L31">
        <v>0</v>
      </c>
      <c r="M31">
        <v>1.9750574773232939E-2</v>
      </c>
      <c r="N31" t="s">
        <v>17</v>
      </c>
      <c r="O31">
        <v>598</v>
      </c>
      <c r="P31" s="11">
        <v>9.9638696878770399E-5</v>
      </c>
      <c r="Q31">
        <v>1E-4</v>
      </c>
      <c r="R31">
        <v>2000</v>
      </c>
      <c r="S31">
        <v>0.12605952622185199</v>
      </c>
      <c r="T31">
        <v>0.80898060182916187</v>
      </c>
      <c r="U31">
        <v>1.6505552513407891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6.3464584858163198</v>
      </c>
      <c r="AC31">
        <v>7.2077376194969194</v>
      </c>
      <c r="AD31">
        <v>1.6426339999999999</v>
      </c>
      <c r="AE31">
        <v>0.60668647705468071</v>
      </c>
      <c r="AF31" s="6">
        <v>0.25304596166561011</v>
      </c>
    </row>
    <row r="32" spans="1:32" x14ac:dyDescent="0.3">
      <c r="A32" s="5">
        <v>43</v>
      </c>
      <c r="B32" t="s">
        <v>160</v>
      </c>
      <c r="C32">
        <v>8238.3212055999902</v>
      </c>
      <c r="D32">
        <v>137.3053534266665</v>
      </c>
      <c r="E32" t="s">
        <v>161</v>
      </c>
      <c r="G32" t="s">
        <v>34</v>
      </c>
      <c r="H32" t="s">
        <v>162</v>
      </c>
      <c r="J32" t="s">
        <v>36</v>
      </c>
      <c r="K32">
        <v>1.7189471988636629E-2</v>
      </c>
      <c r="L32">
        <v>0</v>
      </c>
      <c r="M32">
        <v>1.7189471988636629E-2</v>
      </c>
      <c r="N32" t="s">
        <v>17</v>
      </c>
      <c r="O32">
        <v>841</v>
      </c>
      <c r="P32" s="11">
        <v>9.3389779026669382E-5</v>
      </c>
      <c r="Q32">
        <v>1E-4</v>
      </c>
      <c r="R32">
        <v>2000</v>
      </c>
      <c r="S32" s="28">
        <v>7.8883809403219776E-2</v>
      </c>
      <c r="T32" s="28">
        <v>1.989834202392571</v>
      </c>
      <c r="U32" s="28">
        <v>3.1129349638889261</v>
      </c>
      <c r="V32" s="28">
        <v>9.6469999999999993E-3</v>
      </c>
      <c r="W32" s="28">
        <v>8.5518540000000005</v>
      </c>
      <c r="X32" s="28">
        <v>7.1656500000000003</v>
      </c>
      <c r="Y32" s="28">
        <v>44.150669999999998</v>
      </c>
      <c r="Z32" s="28">
        <v>42.528283999999999</v>
      </c>
      <c r="AA32" s="28">
        <v>1E-4</v>
      </c>
      <c r="AB32" s="28">
        <v>2.461554532498798</v>
      </c>
      <c r="AC32" s="28">
        <v>5.9148049494740906</v>
      </c>
      <c r="AD32" s="28">
        <v>1.6426339999999999</v>
      </c>
      <c r="AE32" s="28">
        <v>0.31198441176541619</v>
      </c>
      <c r="AF32" s="29">
        <v>0.52920428717387114</v>
      </c>
    </row>
    <row r="33" spans="1:32" x14ac:dyDescent="0.3">
      <c r="A33" s="5">
        <v>46</v>
      </c>
      <c r="B33" t="s">
        <v>169</v>
      </c>
      <c r="C33">
        <v>7619.5466100000194</v>
      </c>
      <c r="D33">
        <v>126.99244350000031</v>
      </c>
      <c r="E33" t="s">
        <v>170</v>
      </c>
      <c r="G33" t="s">
        <v>34</v>
      </c>
      <c r="H33" t="s">
        <v>171</v>
      </c>
      <c r="J33" t="s">
        <v>36</v>
      </c>
      <c r="K33">
        <v>6.5581507067984292E-3</v>
      </c>
      <c r="L33">
        <v>0</v>
      </c>
      <c r="M33">
        <v>6.5581507067984292E-3</v>
      </c>
      <c r="N33" t="s">
        <v>17</v>
      </c>
      <c r="O33">
        <v>792</v>
      </c>
      <c r="P33" s="11">
        <v>9.6617142006042938E-5</v>
      </c>
      <c r="Q33">
        <v>1E-4</v>
      </c>
      <c r="R33">
        <v>2000</v>
      </c>
      <c r="S33">
        <v>0.1041206127356531</v>
      </c>
      <c r="T33">
        <v>0.69987284158389507</v>
      </c>
      <c r="U33">
        <v>5.2848496376444292</v>
      </c>
      <c r="V33">
        <v>9.6469999999999993E-3</v>
      </c>
      <c r="W33">
        <v>8.5518540000000005</v>
      </c>
      <c r="X33">
        <v>7.1656500000000003</v>
      </c>
      <c r="Y33">
        <v>44.150669999999998</v>
      </c>
      <c r="Z33">
        <v>42.528283999999999</v>
      </c>
      <c r="AA33">
        <v>1E-4</v>
      </c>
      <c r="AB33">
        <v>4.5556791886315926</v>
      </c>
      <c r="AC33">
        <v>9.5958568691340425</v>
      </c>
      <c r="AD33">
        <v>1.6426339999999999</v>
      </c>
      <c r="AE33">
        <v>0.48521752171947308</v>
      </c>
      <c r="AF33" s="6">
        <v>0.42199546060608167</v>
      </c>
    </row>
    <row r="34" spans="1:32" x14ac:dyDescent="0.3">
      <c r="A34" s="5">
        <v>47</v>
      </c>
      <c r="B34" t="s">
        <v>172</v>
      </c>
      <c r="C34">
        <v>11826.519732199989</v>
      </c>
      <c r="D34">
        <v>197.1086622033331</v>
      </c>
      <c r="E34" t="s">
        <v>173</v>
      </c>
      <c r="G34" t="s">
        <v>34</v>
      </c>
      <c r="H34" t="s">
        <v>174</v>
      </c>
      <c r="J34" t="s">
        <v>36</v>
      </c>
      <c r="K34">
        <v>1.4965088059449979E-2</v>
      </c>
      <c r="L34">
        <v>0</v>
      </c>
      <c r="M34">
        <v>1.4965088059449979E-2</v>
      </c>
      <c r="N34" t="s">
        <v>17</v>
      </c>
      <c r="O34">
        <v>1095</v>
      </c>
      <c r="P34" s="11">
        <v>5.2661424167271222E-5</v>
      </c>
      <c r="Q34">
        <v>1E-4</v>
      </c>
      <c r="R34">
        <v>2000</v>
      </c>
      <c r="S34">
        <v>0.1532570313800844</v>
      </c>
      <c r="T34">
        <v>4.2858153856020049</v>
      </c>
      <c r="U34">
        <v>2.536698845023122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1.7310537172207709</v>
      </c>
      <c r="AC34">
        <v>5.6974743605757574</v>
      </c>
      <c r="AD34">
        <v>1.6426339999999999</v>
      </c>
      <c r="AE34">
        <v>0.65340654941529219</v>
      </c>
      <c r="AF34" s="6">
        <v>0.22357163673787189</v>
      </c>
    </row>
    <row r="35" spans="1:32" x14ac:dyDescent="0.3">
      <c r="A35" s="5">
        <v>48</v>
      </c>
      <c r="B35" t="s">
        <v>175</v>
      </c>
      <c r="C35">
        <v>20699.013515099999</v>
      </c>
      <c r="D35">
        <v>344.98355858500003</v>
      </c>
      <c r="E35" t="s">
        <v>176</v>
      </c>
      <c r="G35" t="s">
        <v>34</v>
      </c>
      <c r="H35" t="s">
        <v>177</v>
      </c>
      <c r="J35" t="s">
        <v>36</v>
      </c>
      <c r="K35">
        <v>3.1852124648471078E-2</v>
      </c>
      <c r="L35">
        <v>0</v>
      </c>
      <c r="M35">
        <v>3.1852124648471078E-2</v>
      </c>
      <c r="N35" t="s">
        <v>17</v>
      </c>
      <c r="O35">
        <v>2001</v>
      </c>
      <c r="P35" s="11">
        <v>5.7801786159527798E-4</v>
      </c>
      <c r="Q35">
        <v>1E-4</v>
      </c>
      <c r="R35">
        <v>2000</v>
      </c>
      <c r="S35">
        <v>0.25132863463943572</v>
      </c>
      <c r="T35">
        <v>1.865459686429324</v>
      </c>
      <c r="U35">
        <v>2.1127642458299349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3.8341718214547158</v>
      </c>
      <c r="AC35">
        <v>9.9996869851837449</v>
      </c>
      <c r="AD35">
        <v>1.6426339999999999</v>
      </c>
      <c r="AE35">
        <v>0.67902187981733841</v>
      </c>
      <c r="AF35" s="6">
        <v>0.22568589986582061</v>
      </c>
    </row>
    <row r="36" spans="1:32" x14ac:dyDescent="0.3">
      <c r="A36" s="7">
        <v>50</v>
      </c>
      <c r="B36" s="8" t="s">
        <v>181</v>
      </c>
      <c r="C36" s="8">
        <v>23030.39911909998</v>
      </c>
      <c r="D36" s="8">
        <v>383.83998531833299</v>
      </c>
      <c r="E36" s="8" t="s">
        <v>182</v>
      </c>
      <c r="F36" s="8"/>
      <c r="G36" s="8" t="s">
        <v>34</v>
      </c>
      <c r="H36" s="8" t="s">
        <v>183</v>
      </c>
      <c r="I36" s="8"/>
      <c r="J36" s="8" t="s">
        <v>36</v>
      </c>
      <c r="K36" s="8">
        <v>2.795408067721538E-2</v>
      </c>
      <c r="L36" s="8">
        <v>0</v>
      </c>
      <c r="M36" s="8">
        <v>2.795408067721538E-2</v>
      </c>
      <c r="N36" s="8" t="s">
        <v>17</v>
      </c>
      <c r="O36" s="8">
        <v>1080</v>
      </c>
      <c r="P36" s="12">
        <v>2.8808391582529199E-5</v>
      </c>
      <c r="Q36" s="8">
        <v>1E-4</v>
      </c>
      <c r="R36" s="8">
        <v>2000</v>
      </c>
      <c r="S36" s="31">
        <v>0.18926287318219631</v>
      </c>
      <c r="T36" s="31">
        <v>2.1183458303736882</v>
      </c>
      <c r="U36" s="31">
        <v>0.7208950141080489</v>
      </c>
      <c r="V36" s="31">
        <v>9.6469999999999993E-3</v>
      </c>
      <c r="W36" s="31">
        <v>8.5518540000000005</v>
      </c>
      <c r="X36" s="31">
        <v>7.1656500000000003</v>
      </c>
      <c r="Y36" s="31">
        <v>44.150669999999998</v>
      </c>
      <c r="Z36" s="31">
        <v>42.528283999999999</v>
      </c>
      <c r="AA36" s="31">
        <v>1E-4</v>
      </c>
      <c r="AB36" s="31">
        <v>4.8733462729098376</v>
      </c>
      <c r="AC36" s="31">
        <v>9.9971870927159774</v>
      </c>
      <c r="AD36" s="31">
        <v>1.6426339999999999</v>
      </c>
      <c r="AE36" s="31">
        <v>0.54004090963627938</v>
      </c>
      <c r="AF36" s="32">
        <v>0.2783457776910146</v>
      </c>
    </row>
    <row r="37" spans="1:32" x14ac:dyDescent="0.3">
      <c r="A37">
        <f>COUNT(A2:A36)</f>
        <v>35</v>
      </c>
    </row>
    <row r="38" spans="1:32" x14ac:dyDescent="0.3">
      <c r="S38">
        <f>AVERAGE(S2:S36)</f>
        <v>0.18612630681290249</v>
      </c>
      <c r="T38">
        <f>AVERAGE(T2:T36)</f>
        <v>2.2891372566796342</v>
      </c>
      <c r="U38">
        <f>AVERAGE(U2:U36)</f>
        <v>2.1640841850874608</v>
      </c>
      <c r="AB38">
        <f>AVERAGE(AB2:AB36)</f>
        <v>3.5253496463529395</v>
      </c>
      <c r="AC38">
        <f>AVERAGE(AC2:AC36)</f>
        <v>7.9836470900780192</v>
      </c>
      <c r="AE38">
        <f>AVERAGE(AE2:AE36)</f>
        <v>0.45077080520380558</v>
      </c>
      <c r="AF38">
        <f>AVERAGE(AF2:AF36)</f>
        <v>0.40870994022644297</v>
      </c>
    </row>
    <row r="39" spans="1:32" x14ac:dyDescent="0.3">
      <c r="S39">
        <f>STDEVA(S2:S36)</f>
        <v>0.10686239889040362</v>
      </c>
      <c r="T39">
        <f>STDEVA(T2:T36)</f>
        <v>1.2021164876207169</v>
      </c>
      <c r="U39">
        <f>STDEVA(U2:U36)</f>
        <v>1.4972204689005897</v>
      </c>
      <c r="AB39">
        <f>STDEVA(AB2:AB36)</f>
        <v>1.5152328341990666</v>
      </c>
      <c r="AC39">
        <f>STDEVA(AC2:AC36)</f>
        <v>1.9988877456421665</v>
      </c>
      <c r="AE39">
        <f>STDEVA(AE2:AE36)</f>
        <v>0.14875640322965589</v>
      </c>
      <c r="AF39">
        <f>STDEVA(AF2:AF36)</f>
        <v>0.17634917398729719</v>
      </c>
    </row>
  </sheetData>
  <conditionalFormatting sqref="P2:P36">
    <cfRule type="cellIs" dxfId="8" priority="2" operator="greaterThan">
      <formula>0.0001</formula>
    </cfRule>
  </conditionalFormatting>
  <conditionalFormatting sqref="M2:M36">
    <cfRule type="top10" dxfId="7" priority="242" percent="1" rank="15"/>
  </conditionalFormatting>
  <conditionalFormatting sqref="S2:S36">
    <cfRule type="top10" dxfId="6" priority="244" percent="1" rank="10"/>
  </conditionalFormatting>
  <conditionalFormatting sqref="T2:T36">
    <cfRule type="top10" dxfId="5" priority="246" percent="1" rank="10"/>
  </conditionalFormatting>
  <conditionalFormatting sqref="U2:U36">
    <cfRule type="top10" dxfId="4" priority="248" percent="1" rank="10"/>
  </conditionalFormatting>
  <conditionalFormatting sqref="AB2:AB36">
    <cfRule type="top10" dxfId="3" priority="250" percent="1" rank="10"/>
  </conditionalFormatting>
  <conditionalFormatting sqref="AC2:AC36">
    <cfRule type="top10" dxfId="2" priority="252" percent="1" bottom="1" rank="10"/>
  </conditionalFormatting>
  <conditionalFormatting sqref="AE2:AE36">
    <cfRule type="top10" dxfId="1" priority="254" percent="1" rank="10"/>
  </conditionalFormatting>
  <conditionalFormatting sqref="AF2:AF36">
    <cfRule type="top10" dxfId="0" priority="256" percent="1" rank="10"/>
  </conditionalFormatting>
  <pageMargins left="0.75" right="0.75" top="1" bottom="1" header="0.5" footer="0.5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219B-14EF-4614-8314-C3E2D011D618}">
  <dimension ref="A1:Q58"/>
  <sheetViews>
    <sheetView tabSelected="1" zoomScale="80" zoomScaleNormal="80" zoomScaleSheetLayoutView="40" workbookViewId="0">
      <selection activeCell="Q14" sqref="Q14"/>
    </sheetView>
  </sheetViews>
  <sheetFormatPr baseColWidth="10" defaultRowHeight="14.4" x14ac:dyDescent="0.3"/>
  <cols>
    <col min="1" max="1" width="12.5546875" customWidth="1"/>
    <col min="2" max="2" width="12.6640625" customWidth="1"/>
  </cols>
  <sheetData>
    <row r="1" spans="1:2" x14ac:dyDescent="0.3">
      <c r="A1" t="s">
        <v>184</v>
      </c>
    </row>
    <row r="2" spans="1:2" x14ac:dyDescent="0.3">
      <c r="A2" t="s">
        <v>187</v>
      </c>
    </row>
    <row r="5" spans="1:2" x14ac:dyDescent="0.3">
      <c r="A5" t="s">
        <v>185</v>
      </c>
      <c r="B5" t="s">
        <v>186</v>
      </c>
    </row>
    <row r="6" spans="1:2" x14ac:dyDescent="0.3">
      <c r="A6">
        <v>3</v>
      </c>
      <c r="B6">
        <v>0.16933899999999999</v>
      </c>
    </row>
    <row r="7" spans="1:2" x14ac:dyDescent="0.3">
      <c r="A7">
        <v>4</v>
      </c>
      <c r="B7">
        <v>6.6794999999999993E-2</v>
      </c>
    </row>
    <row r="8" spans="1:2" x14ac:dyDescent="0.3">
      <c r="A8">
        <v>11</v>
      </c>
      <c r="B8">
        <v>9.0894000000000003E-2</v>
      </c>
    </row>
    <row r="9" spans="1:2" x14ac:dyDescent="0.3">
      <c r="A9">
        <v>14</v>
      </c>
      <c r="B9" s="21">
        <v>0.13630800000000001</v>
      </c>
    </row>
    <row r="10" spans="1:2" x14ac:dyDescent="0.3">
      <c r="B10">
        <f>SUM(B6:B9)</f>
        <v>0.46333599999999997</v>
      </c>
    </row>
    <row r="24" spans="1:17" x14ac:dyDescent="0.3">
      <c r="F24" t="s">
        <v>192</v>
      </c>
      <c r="Q24" t="s">
        <v>193</v>
      </c>
    </row>
    <row r="25" spans="1:17" ht="13.2" customHeight="1" x14ac:dyDescent="0.3"/>
    <row r="27" spans="1:17" x14ac:dyDescent="0.3">
      <c r="A27" t="s">
        <v>189</v>
      </c>
      <c r="C27" t="s">
        <v>188</v>
      </c>
    </row>
    <row r="30" spans="1:17" x14ac:dyDescent="0.3">
      <c r="A30" t="s">
        <v>185</v>
      </c>
      <c r="B30" t="s">
        <v>186</v>
      </c>
    </row>
    <row r="31" spans="1:17" x14ac:dyDescent="0.3">
      <c r="A31">
        <v>3</v>
      </c>
      <c r="B31">
        <v>0.140405</v>
      </c>
    </row>
    <row r="32" spans="1:17" x14ac:dyDescent="0.3">
      <c r="A32">
        <v>4</v>
      </c>
      <c r="B32">
        <v>4.8788999999999999E-2</v>
      </c>
    </row>
    <row r="33" spans="1:2" x14ac:dyDescent="0.3">
      <c r="A33">
        <v>11</v>
      </c>
      <c r="B33">
        <v>5.5844999999999999E-2</v>
      </c>
    </row>
    <row r="34" spans="1:2" x14ac:dyDescent="0.3">
      <c r="A34">
        <v>14</v>
      </c>
      <c r="B34" s="21">
        <v>0.10896</v>
      </c>
    </row>
    <row r="35" spans="1:2" x14ac:dyDescent="0.3">
      <c r="B35">
        <f>SUM(B31:B34)</f>
        <v>0.35399900000000001</v>
      </c>
    </row>
    <row r="50" spans="1:3" x14ac:dyDescent="0.3">
      <c r="A50" t="s">
        <v>190</v>
      </c>
      <c r="C50" t="s">
        <v>191</v>
      </c>
    </row>
    <row r="53" spans="1:3" x14ac:dyDescent="0.3">
      <c r="A53" t="s">
        <v>185</v>
      </c>
    </row>
    <row r="54" spans="1:3" x14ac:dyDescent="0.3">
      <c r="A54">
        <v>3</v>
      </c>
      <c r="B54">
        <v>0.12529100000000001</v>
      </c>
    </row>
    <row r="55" spans="1:3" x14ac:dyDescent="0.3">
      <c r="A55">
        <v>4</v>
      </c>
      <c r="B55">
        <v>4.1825000000000001E-2</v>
      </c>
    </row>
    <row r="56" spans="1:3" x14ac:dyDescent="0.3">
      <c r="A56">
        <v>11</v>
      </c>
      <c r="B56">
        <v>4.6283999999999999E-2</v>
      </c>
    </row>
    <row r="57" spans="1:3" x14ac:dyDescent="0.3">
      <c r="A57">
        <v>14</v>
      </c>
      <c r="B57">
        <v>0.10019699999999999</v>
      </c>
    </row>
    <row r="58" spans="1:3" x14ac:dyDescent="0.3">
      <c r="B58">
        <f>SUM(B54:B57)</f>
        <v>0.31359700000000001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resultados</vt:lpstr>
      <vt:lpstr>resultados (2)</vt:lpstr>
      <vt:lpstr>eliminación de puntos 1</vt:lpstr>
      <vt:lpstr>eliminación de puntos 2</vt:lpstr>
      <vt:lpstr>Resultados validación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FERNANDA FOLCH</cp:lastModifiedBy>
  <dcterms:created xsi:type="dcterms:W3CDTF">2026-04-23T18:01:54Z</dcterms:created>
  <dcterms:modified xsi:type="dcterms:W3CDTF">2026-04-27T16:54:43Z</dcterms:modified>
</cp:coreProperties>
</file>