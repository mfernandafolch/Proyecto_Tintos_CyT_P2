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4.xml" ContentType="application/vnd.openxmlformats-officedocument.drawing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37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38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39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4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41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42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Ex43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Ex44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charts/chartEx45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46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47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48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49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50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51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52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53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54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harts/chartEx55.xml" ContentType="application/vnd.ms-office.chartex+xml"/>
  <Override PartName="/xl/charts/style55.xml" ContentType="application/vnd.ms-office.chartstyle+xml"/>
  <Override PartName="/xl/charts/colors55.xml" ContentType="application/vnd.ms-office.chartcolorstyle+xml"/>
  <Override PartName="/xl/charts/chartEx56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2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3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422_152558\"/>
    </mc:Choice>
  </mc:AlternateContent>
  <xr:revisionPtr revIDLastSave="0" documentId="13_ncr:1_{1E22E8F8-DF96-4939-95A8-0E93147ABCF4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resultados" sheetId="1" r:id="rId1"/>
    <sheet name="resultados (2)" sheetId="4" r:id="rId2"/>
    <sheet name="eliminación de puntos 1" sheetId="2" r:id="rId3"/>
    <sheet name="eliminación de puntos 2" sheetId="7" r:id="rId4"/>
    <sheet name="Resultados validación" sheetId="6" state="hidden" r:id="rId5"/>
    <sheet name="eliminación de puntos 3" sheetId="9" r:id="rId6"/>
    <sheet name="Resultados 2" sheetId="8" r:id="rId7"/>
  </sheets>
  <definedNames>
    <definedName name="_xlnm._FilterDatabase" localSheetId="1" hidden="1">'resultados (2)'!$A$1:$AG$51</definedName>
    <definedName name="_xlchart.v1.0" hidden="1">resultados!$T$1</definedName>
    <definedName name="_xlchart.v1.1" hidden="1">resultados!$T$2:$T$51</definedName>
    <definedName name="_xlchart.v1.10" hidden="1">resultados!$AE$1</definedName>
    <definedName name="_xlchart.v1.11" hidden="1">resultados!$AE$2:$AE$51</definedName>
    <definedName name="_xlchart.v1.12" hidden="1">resultados!$AC$1</definedName>
    <definedName name="_xlchart.v1.13" hidden="1">resultados!$AC$2:$AC$51</definedName>
    <definedName name="_xlchart.v1.14" hidden="1">'resultados (2)'!$S$1</definedName>
    <definedName name="_xlchart.v1.15" hidden="1">'resultados (2)'!$S$2:$S$51</definedName>
    <definedName name="_xlchart.v1.16" hidden="1">'resultados (2)'!$AE$1</definedName>
    <definedName name="_xlchart.v1.17" hidden="1">'resultados (2)'!$AE$2:$AE$51</definedName>
    <definedName name="_xlchart.v1.18" hidden="1">'resultados (2)'!$U$1</definedName>
    <definedName name="_xlchart.v1.19" hidden="1">'resultados (2)'!$U$2:$U$51</definedName>
    <definedName name="_xlchart.v1.2" hidden="1">resultados!$AB$1</definedName>
    <definedName name="_xlchart.v1.20" hidden="1">'resultados (2)'!$AF$1</definedName>
    <definedName name="_xlchart.v1.21" hidden="1">'resultados (2)'!$AF$2:$AF$51</definedName>
    <definedName name="_xlchart.v1.22" hidden="1">'resultados (2)'!$T$1</definedName>
    <definedName name="_xlchart.v1.23" hidden="1">'resultados (2)'!$T$2:$T$51</definedName>
    <definedName name="_xlchart.v1.24" hidden="1">'resultados (2)'!$AB$1</definedName>
    <definedName name="_xlchart.v1.25" hidden="1">'resultados (2)'!$AB$2:$AB$51</definedName>
    <definedName name="_xlchart.v1.26" hidden="1">'resultados (2)'!$AC$1</definedName>
    <definedName name="_xlchart.v1.27" hidden="1">'resultados (2)'!$AC$2:$AC$51</definedName>
    <definedName name="_xlchart.v1.28" hidden="1">'eliminación de puntos 1'!$S$1</definedName>
    <definedName name="_xlchart.v1.29" hidden="1">'eliminación de puntos 1'!$S$2:$S$41</definedName>
    <definedName name="_xlchart.v1.3" hidden="1">resultados!$AB$2:$AB$51</definedName>
    <definedName name="_xlchart.v1.30" hidden="1">'eliminación de puntos 1'!$S$2:$S$41</definedName>
    <definedName name="_xlchart.v1.31" hidden="1">'eliminación de puntos 1'!$U$2:$U$41</definedName>
    <definedName name="_xlchart.v1.32" hidden="1">'eliminación de puntos 1'!$AC$2:$AC$41</definedName>
    <definedName name="_xlchart.v1.33" hidden="1">'eliminación de puntos 1'!$AC$1</definedName>
    <definedName name="_xlchart.v1.34" hidden="1">'eliminación de puntos 1'!$AC$2:$AC$41</definedName>
    <definedName name="_xlchart.v1.35" hidden="1">'eliminación de puntos 1'!$AE$2:$AE$41</definedName>
    <definedName name="_xlchart.v1.36" hidden="1">'eliminación de puntos 1'!$AF$2:$AF$41</definedName>
    <definedName name="_xlchart.v1.37" hidden="1">'eliminación de puntos 1'!$U$1</definedName>
    <definedName name="_xlchart.v1.38" hidden="1">'eliminación de puntos 1'!$U$2:$U$41</definedName>
    <definedName name="_xlchart.v1.39" hidden="1">'eliminación de puntos 1'!$AB$1</definedName>
    <definedName name="_xlchart.v1.4" hidden="1">resultados!$U$1</definedName>
    <definedName name="_xlchart.v1.40" hidden="1">'eliminación de puntos 1'!$AB$2:$AB$41</definedName>
    <definedName name="_xlchart.v1.41" hidden="1">'eliminación de puntos 1'!$AF$1</definedName>
    <definedName name="_xlchart.v1.42" hidden="1">'eliminación de puntos 1'!$AF$2:$AF$41</definedName>
    <definedName name="_xlchart.v1.43" hidden="1">'eliminación de puntos 1'!$AE$1</definedName>
    <definedName name="_xlchart.v1.44" hidden="1">'eliminación de puntos 1'!$AE$2:$AE$41</definedName>
    <definedName name="_xlchart.v1.45" hidden="1">'eliminación de puntos 1'!$T$1</definedName>
    <definedName name="_xlchart.v1.46" hidden="1">'eliminación de puntos 1'!$T$2:$T$41</definedName>
    <definedName name="_xlchart.v1.47" hidden="1">'eliminación de puntos 1'!$AB$2:$AB$41</definedName>
    <definedName name="_xlchart.v1.48" hidden="1">'eliminación de puntos 1'!$T$2:$T$41</definedName>
    <definedName name="_xlchart.v1.49" hidden="1">'eliminación de puntos 2'!$AE$2:$AE$36</definedName>
    <definedName name="_xlchart.v1.5" hidden="1">resultados!$U$2:$U$51</definedName>
    <definedName name="_xlchart.v1.50" hidden="1">resultados!$AE$2:$AE$51</definedName>
    <definedName name="_xlchart.v1.51" hidden="1">'eliminación de puntos 2'!$U$2:$U$36</definedName>
    <definedName name="_xlchart.v1.52" hidden="1">resultados!$U$2:$U$51</definedName>
    <definedName name="_xlchart.v1.53" hidden="1">'eliminación de puntos 2'!$AB$2:$AB$36</definedName>
    <definedName name="_xlchart.v1.54" hidden="1">resultados!$AB$2:$AB$51</definedName>
    <definedName name="_xlchart.v1.55" hidden="1">'eliminación de puntos 2'!$S$2:$S$36</definedName>
    <definedName name="_xlchart.v1.56" hidden="1">resultados!$S$2:$S$51</definedName>
    <definedName name="_xlchart.v1.57" hidden="1">'eliminación de puntos 2'!$AC$2:$AC$36</definedName>
    <definedName name="_xlchart.v1.58" hidden="1">resultados!$AC$2:$AC$51</definedName>
    <definedName name="_xlchart.v1.59" hidden="1">'eliminación de puntos 2'!$AF$2:$AF$36</definedName>
    <definedName name="_xlchart.v1.6" hidden="1">resultados!$S$1</definedName>
    <definedName name="_xlchart.v1.60" hidden="1">resultados!$AF$2:$AF$51</definedName>
    <definedName name="_xlchart.v1.61" hidden="1">'eliminación de puntos 2'!$AF$2:$AF$36</definedName>
    <definedName name="_xlchart.v1.62" hidden="1">'eliminación de puntos 2'!$AC$2:$AC$36</definedName>
    <definedName name="_xlchart.v1.63" hidden="1">'eliminación de puntos 2'!$AB$2:$AB$36</definedName>
    <definedName name="_xlchart.v1.64" hidden="1">'eliminación de puntos 2'!$S$2:$S$36</definedName>
    <definedName name="_xlchart.v1.65" hidden="1">'eliminación de puntos 2'!$AE$2:$AE$36</definedName>
    <definedName name="_xlchart.v1.66" hidden="1">'eliminación de puntos 2'!$T$2:$T$36</definedName>
    <definedName name="_xlchart.v1.67" hidden="1">'eliminación de puntos 2'!$U$2:$U$36</definedName>
    <definedName name="_xlchart.v1.68" hidden="1">'eliminación de puntos 3'!$AF$2:$AF$31</definedName>
    <definedName name="_xlchart.v1.69" hidden="1">resultados!$AF$2:$AF$51</definedName>
    <definedName name="_xlchart.v1.7" hidden="1">resultados!$S$2:$S$51</definedName>
    <definedName name="_xlchart.v1.70" hidden="1">'eliminación de puntos 3'!$S$2:$S$31</definedName>
    <definedName name="_xlchart.v1.71" hidden="1">'eliminación de puntos 3'!$AB$2:$AB$31</definedName>
    <definedName name="_xlchart.v1.72" hidden="1">resultados!$AB$2:$AB$51</definedName>
    <definedName name="_xlchart.v1.73" hidden="1">'eliminación de puntos 3'!$AC$2:$AC$31</definedName>
    <definedName name="_xlchart.v1.74" hidden="1">'eliminación de puntos 3'!$AF$2:$AF$31</definedName>
    <definedName name="_xlchart.v1.75" hidden="1">'eliminación de puntos 3'!$U$2:$U$31</definedName>
    <definedName name="_xlchart.v1.76" hidden="1">resultados!$U$2:$U$51</definedName>
    <definedName name="_xlchart.v1.77" hidden="1">'eliminación de puntos 3'!$AC$2:$AC$31</definedName>
    <definedName name="_xlchart.v1.78" hidden="1">resultados!$AC$2:$AC$51</definedName>
    <definedName name="_xlchart.v1.79" hidden="1">'eliminación de puntos 3'!$T$2:$T$31</definedName>
    <definedName name="_xlchart.v1.8" hidden="1">resultados!$AF$1</definedName>
    <definedName name="_xlchart.v1.80" hidden="1">'eliminación de puntos 3'!$AB$2:$AB$31</definedName>
    <definedName name="_xlchart.v1.81" hidden="1">'eliminación de puntos 3'!$U$2:$U$31</definedName>
    <definedName name="_xlchart.v1.82" hidden="1">'eliminación de puntos 3'!$S$2:$S$31</definedName>
    <definedName name="_xlchart.v1.83" hidden="1">resultados!$S$2:$S$51</definedName>
    <definedName name="_xlchart.v1.84" hidden="1">'eliminación de puntos 3'!$AE$2:$AE$31</definedName>
    <definedName name="_xlchart.v1.85" hidden="1">resultados!$AE$2:$AE$51</definedName>
    <definedName name="_xlchart.v1.86" hidden="1">'eliminación de puntos 3'!$AE$2:$AE$31</definedName>
    <definedName name="_xlchart.v1.9" hidden="1">resultados!$AF$2:$AF$51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5" i="9" l="1"/>
  <c r="AK8" i="9" s="1"/>
  <c r="AE35" i="9"/>
  <c r="AK7" i="9" s="1"/>
  <c r="AC35" i="9"/>
  <c r="AK6" i="9" s="1"/>
  <c r="AB35" i="9"/>
  <c r="AK5" i="9" s="1"/>
  <c r="U35" i="9"/>
  <c r="AK4" i="9" s="1"/>
  <c r="T35" i="9"/>
  <c r="AK3" i="9" s="1"/>
  <c r="S35" i="9"/>
  <c r="AK2" i="9" s="1"/>
  <c r="AF34" i="9"/>
  <c r="AE34" i="9"/>
  <c r="AC34" i="9"/>
  <c r="AB34" i="9"/>
  <c r="U34" i="9"/>
  <c r="T34" i="9"/>
  <c r="S34" i="9"/>
  <c r="AF33" i="9"/>
  <c r="AE33" i="9"/>
  <c r="AC33" i="9"/>
  <c r="AB33" i="9"/>
  <c r="U33" i="9"/>
  <c r="T33" i="9"/>
  <c r="S33" i="9"/>
  <c r="A32" i="9"/>
  <c r="AM9" i="7"/>
  <c r="AL9" i="7"/>
  <c r="AI9" i="7"/>
  <c r="AJ9" i="7"/>
  <c r="AM8" i="7"/>
  <c r="AL8" i="7"/>
  <c r="AJ8" i="7"/>
  <c r="AI8" i="7"/>
  <c r="AM7" i="7"/>
  <c r="AL7" i="7"/>
  <c r="AI7" i="7"/>
  <c r="AJ7" i="7"/>
  <c r="AM6" i="7"/>
  <c r="AL6" i="7"/>
  <c r="AI6" i="7"/>
  <c r="AJ6" i="7"/>
  <c r="S40" i="7"/>
  <c r="AK3" i="7" s="1"/>
  <c r="AM5" i="7"/>
  <c r="AL5" i="7"/>
  <c r="AI5" i="7"/>
  <c r="AJ5" i="7"/>
  <c r="AM4" i="7"/>
  <c r="AL4" i="7"/>
  <c r="AI4" i="7"/>
  <c r="AJ4" i="7"/>
  <c r="AK9" i="7"/>
  <c r="AK8" i="7"/>
  <c r="AK7" i="7"/>
  <c r="AK6" i="7"/>
  <c r="AK5" i="7"/>
  <c r="AK4" i="7"/>
  <c r="J14" i="8"/>
  <c r="I14" i="8"/>
  <c r="D14" i="8"/>
  <c r="J13" i="8"/>
  <c r="I13" i="8"/>
  <c r="D13" i="8"/>
  <c r="J12" i="8"/>
  <c r="I12" i="8"/>
  <c r="D12" i="8"/>
  <c r="J11" i="8"/>
  <c r="I11" i="8"/>
  <c r="D11" i="8"/>
  <c r="J10" i="8"/>
  <c r="I10" i="8"/>
  <c r="D10" i="8"/>
  <c r="J9" i="8"/>
  <c r="I9" i="8"/>
  <c r="D9" i="8"/>
  <c r="J8" i="8"/>
  <c r="I8" i="8"/>
  <c r="D8" i="8"/>
  <c r="J7" i="8"/>
  <c r="I7" i="8"/>
  <c r="D7" i="8"/>
  <c r="J6" i="8"/>
  <c r="I6" i="8"/>
  <c r="D6" i="8"/>
  <c r="J5" i="8"/>
  <c r="I5" i="8"/>
  <c r="D5" i="8"/>
  <c r="J4" i="8"/>
  <c r="I4" i="8"/>
  <c r="D4" i="8"/>
  <c r="J3" i="8"/>
  <c r="I3" i="8"/>
  <c r="D3" i="8"/>
  <c r="B58" i="6"/>
  <c r="B35" i="6"/>
  <c r="B10" i="6"/>
  <c r="AF40" i="7"/>
  <c r="AE40" i="7"/>
  <c r="AC40" i="7"/>
  <c r="AB40" i="7"/>
  <c r="U40" i="7"/>
  <c r="T40" i="7"/>
  <c r="AF39" i="7"/>
  <c r="AE39" i="7"/>
  <c r="AC39" i="7"/>
  <c r="AB39" i="7"/>
  <c r="U39" i="7"/>
  <c r="T39" i="7"/>
  <c r="S39" i="7"/>
  <c r="AF38" i="7"/>
  <c r="AE38" i="7"/>
  <c r="AC38" i="7"/>
  <c r="AB38" i="7"/>
  <c r="U38" i="7"/>
  <c r="T38" i="7"/>
  <c r="S38" i="7"/>
  <c r="A37" i="7"/>
  <c r="AF45" i="2"/>
  <c r="AE45" i="2"/>
  <c r="AC45" i="2"/>
  <c r="AB45" i="2"/>
  <c r="U45" i="2"/>
  <c r="T45" i="2"/>
  <c r="S45" i="2"/>
  <c r="AF44" i="2"/>
  <c r="AE44" i="2"/>
  <c r="AC44" i="2"/>
  <c r="AB44" i="2"/>
  <c r="U44" i="2"/>
  <c r="T44" i="2"/>
  <c r="S44" i="2"/>
  <c r="AF43" i="2"/>
  <c r="AE43" i="2"/>
  <c r="AC43" i="2"/>
  <c r="AB43" i="2"/>
  <c r="U43" i="2"/>
  <c r="T43" i="2"/>
  <c r="S43" i="2"/>
  <c r="A42" i="2"/>
  <c r="AF54" i="4"/>
  <c r="AE54" i="4"/>
  <c r="AC54" i="4"/>
  <c r="AB54" i="4"/>
  <c r="U54" i="4"/>
  <c r="T54" i="4"/>
  <c r="S54" i="4"/>
  <c r="AF53" i="4"/>
  <c r="AE53" i="4"/>
  <c r="AC53" i="4"/>
  <c r="AB53" i="4"/>
  <c r="U53" i="4"/>
  <c r="T53" i="4"/>
  <c r="S53" i="4"/>
  <c r="AF77" i="1"/>
  <c r="AE77" i="1"/>
  <c r="AD77" i="1"/>
  <c r="AC77" i="1"/>
  <c r="AB77" i="1"/>
  <c r="AA77" i="1"/>
  <c r="Z77" i="1"/>
  <c r="AF76" i="1"/>
  <c r="AE76" i="1"/>
  <c r="AD76" i="1"/>
  <c r="AC76" i="1"/>
  <c r="AB76" i="1"/>
  <c r="AA76" i="1"/>
  <c r="Z76" i="1"/>
  <c r="AF55" i="1"/>
  <c r="AE55" i="1"/>
  <c r="AC55" i="1"/>
  <c r="AB55" i="1"/>
  <c r="U55" i="1"/>
  <c r="T55" i="1"/>
  <c r="S55" i="1"/>
  <c r="AF54" i="1"/>
  <c r="AE54" i="1"/>
  <c r="AC54" i="1"/>
  <c r="AB54" i="1"/>
  <c r="U54" i="1"/>
  <c r="T54" i="1"/>
  <c r="S54" i="1"/>
  <c r="AF53" i="1"/>
  <c r="AE53" i="1"/>
  <c r="AC53" i="1"/>
  <c r="AB53" i="1"/>
  <c r="U53" i="1"/>
  <c r="T53" i="1"/>
  <c r="S53" i="1"/>
  <c r="K53" i="1"/>
  <c r="AL8" i="9" l="1"/>
  <c r="AM8" i="9"/>
  <c r="AI8" i="9"/>
  <c r="AJ8" i="9"/>
  <c r="AL7" i="9"/>
  <c r="AM7" i="9"/>
  <c r="AI7" i="9"/>
  <c r="AJ7" i="9"/>
  <c r="AL6" i="9"/>
  <c r="AM6" i="9"/>
  <c r="AI6" i="9"/>
  <c r="AJ6" i="9"/>
  <c r="AL5" i="9"/>
  <c r="AM5" i="9"/>
  <c r="AI5" i="9"/>
  <c r="AJ5" i="9"/>
  <c r="AL4" i="9"/>
  <c r="AM4" i="9"/>
  <c r="AI4" i="9"/>
  <c r="AJ4" i="9"/>
  <c r="AL3" i="9"/>
  <c r="AM3" i="9"/>
  <c r="AI3" i="9"/>
  <c r="AJ3" i="9"/>
  <c r="AL2" i="9"/>
  <c r="AM2" i="9"/>
  <c r="AI2" i="9"/>
  <c r="AJ2" i="9"/>
  <c r="AL3" i="7"/>
  <c r="AI3" i="7"/>
  <c r="AJ3" i="7"/>
  <c r="AM3" i="7"/>
</calcChain>
</file>

<file path=xl/sharedStrings.xml><?xml version="1.0" encoding="utf-8"?>
<sst xmlns="http://schemas.openxmlformats.org/spreadsheetml/2006/main" count="1464" uniqueCount="218">
  <si>
    <t>iteracion</t>
  </si>
  <si>
    <t>hora_fin</t>
  </si>
  <si>
    <t>duracion_s</t>
  </si>
  <si>
    <t>duracion_min</t>
  </si>
  <si>
    <t>ids_ajuste</t>
  </si>
  <si>
    <t>ids_validacion</t>
  </si>
  <si>
    <t>ids_separados</t>
  </si>
  <si>
    <t>nombres_ajuste</t>
  </si>
  <si>
    <t>nombres_validacion</t>
  </si>
  <si>
    <t>nombres_separados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</si>
  <si>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</si>
  <si>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</si>
  <si>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</si>
  <si>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</si>
  <si>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</si>
  <si>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</si>
  <si>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</si>
  <si>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</si>
  <si>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</si>
  <si>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</si>
  <si>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</si>
  <si>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</si>
  <si>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</si>
  <si>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</si>
  <si>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</si>
  <si>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</si>
  <si>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</si>
  <si>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</si>
  <si>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</si>
  <si>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</si>
  <si>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</si>
  <si>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</si>
  <si>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2026-04-22 16:19:42</t>
  </si>
  <si>
    <t>1,5,6,12,13</t>
  </si>
  <si>
    <t>3,4,11,14</t>
  </si>
  <si>
    <t>Data CS 24 EL BOLDO estanque 30.xlsx | Data SY 24 LOU+VAL+FN estanque 36.xlsx | Data SY 24 VAL+STARAQ estanque 56.xlsx | Data ME 25 STA MARTA estanque 62.xlsx | Data CA 24 VAL estanque 31.xlsx</t>
  </si>
  <si>
    <t>Data CS 25 EL BOLDO estanque 55.xlsx | Data CS 25 LOU estanque 61.xlsx | Data ME 25 AURORA + STA MARTA estanque 57.xlsx | Data CA 24 VAL estanque 59.xlsx</t>
  </si>
  <si>
    <t>2026-04-22 16:09:56</t>
  </si>
  <si>
    <t>2,5,7,8,16</t>
  </si>
  <si>
    <t>Data CS 24 LOU estanque 54.xlsx | Data SY 24 LOU+VAL+FN estanque 36.xlsx | Data SY 24 LOU estanque 62.xlsx | Data SY 25 LOU estanque 30.xlsx | Data CA 25 F.N. estanque 68.xlsx</t>
  </si>
  <si>
    <t>2026-04-22 16:00:43</t>
  </si>
  <si>
    <t>2,6,9,12,15</t>
  </si>
  <si>
    <t>Data CS 24 LOU estanque 54.xlsx | Data SY 24 VAL+STARAQ estanque 56.xlsx | Data ME 25 Q. AGUA estanque 85.xlsx | Data ME 25 STA MARTA estanque 62.xlsx | Data CA 24 VAL estanque 62.xlsx</t>
  </si>
  <si>
    <t>2026-04-22 17:28:07</t>
  </si>
  <si>
    <t>1,2,6,7,12</t>
  </si>
  <si>
    <t>Data CS 24 EL BOLDO estanque 30.xlsx | Data CS 24 LOU estanque 54.xlsx | Data SY 24 VAL+STARAQ estanque 56.xlsx | Data SY 24 LOU estanque 62.xlsx | Data ME 25 STA MARTA estanque 62.xlsx</t>
  </si>
  <si>
    <t>2026-04-22 17:29:03</t>
  </si>
  <si>
    <t>1,5,8,13,15</t>
  </si>
  <si>
    <t>Data CS 24 EL BOLDO estanque 30.xlsx | Data SY 24 LOU+VAL+FN estanque 36.xlsx | Data SY 25 LOU estanque 30.xlsx | Data CA 24 VAL estanque 31.xlsx | Data CA 24 VAL estanque 62.xlsx</t>
  </si>
  <si>
    <t>2026-04-22 17:35:37</t>
  </si>
  <si>
    <t>2,5,7,13,15</t>
  </si>
  <si>
    <t>Data CS 24 LOU estanque 54.xlsx | Data SY 24 LOU+VAL+FN estanque 36.xlsx | Data SY 24 LOU estanque 62.xlsx | Data CA 24 VAL estanque 31.xlsx | Data CA 24 VAL estanque 62.xlsx</t>
  </si>
  <si>
    <t>2026-04-22 20:23:48</t>
  </si>
  <si>
    <t>2,5,7,9,12</t>
  </si>
  <si>
    <t>Data CS 24 LOU estanque 54.xlsx | Data SY 24 LOU+VAL+FN estanque 36.xlsx | Data SY 24 LOU estanque 62.xlsx | Data ME 25 Q. AGUA estanque 85.xlsx | Data ME 25 STA MARTA estanque 62.xlsx</t>
  </si>
  <si>
    <t>2026-04-22 16:39:15</t>
  </si>
  <si>
    <t>5,8,9,12,16</t>
  </si>
  <si>
    <t>Data SY 24 LOU+VAL+FN estanque 36.xlsx | Data SY 25 LOU estanque 30.xlsx | Data ME 25 Q. AGUA estanque 85.xlsx | Data ME 25 STA MARTA estanque 62.xlsx | Data CA 25 F.N. estanque 68.xlsx</t>
  </si>
  <si>
    <t>2026-04-22 17:13:01</t>
  </si>
  <si>
    <t>2,5,12,13,16</t>
  </si>
  <si>
    <t>Data CS 24 LOU estanque 54.xlsx | Data SY 24 LOU+VAL+FN estanque 36.xlsx | Data ME 25 STA MARTA estanque 62.xlsx | Data CA 24 VAL estanque 31.xlsx | Data CA 25 F.N. estanque 68.xlsx</t>
  </si>
  <si>
    <t>2026-04-22 17:38:32</t>
  </si>
  <si>
    <t>2,5,10,12,13</t>
  </si>
  <si>
    <t>Data CS 24 LOU estanque 54.xlsx | Data SY 24 LOU+VAL+FN estanque 36.xlsx | Data ME 24 QAGUA estanque 54.xlsx | Data ME 25 STA MARTA estanque 62.xlsx | Data CA 24 VAL estanque 31.xlsx</t>
  </si>
  <si>
    <t>2026-04-22 19:04:33</t>
  </si>
  <si>
    <t>1,2,6,7,16</t>
  </si>
  <si>
    <t>Data CS 24 EL BOLDO estanque 30.xlsx | Data CS 24 LOU estanque 54.xlsx | Data SY 24 VAL+STARAQ estanque 56.xlsx | Data SY 24 LOU estanque 62.xlsx | Data CA 25 F.N. estanque 68.xlsx</t>
  </si>
  <si>
    <t>2026-04-23 01:20:10</t>
  </si>
  <si>
    <t>1,6,7,10,13</t>
  </si>
  <si>
    <t>Data CS 24 EL BOLDO estanque 30.xlsx | Data SY 24 VAL+STARAQ estanque 56.xlsx | Data SY 24 LOU estanque 62.xlsx | Data ME 24 QAGUA estanque 54.xlsx | Data CA 24 VAL estanque 31.xlsx</t>
  </si>
  <si>
    <t>2026-04-22 18:59:21</t>
  </si>
  <si>
    <t>1,8,12,15,16</t>
  </si>
  <si>
    <t>Data CS 24 EL BOLDO estanque 30.xlsx | Data SY 25 LOU estanque 30.xlsx | Data ME 25 STA MARTA estanque 62.xlsx | Data CA 24 VAL estanque 62.xlsx | Data CA 25 F.N. estanque 68.xlsx</t>
  </si>
  <si>
    <t>2026-04-22 19:12:36</t>
  </si>
  <si>
    <t>1,10,12,13,16</t>
  </si>
  <si>
    <t>Data CS 24 EL BOLDO estanque 30.xlsx | Data ME 24 QAGUA estanque 54.xlsx | Data ME 25 STA MARTA estanque 62.xlsx | Data CA 24 VAL estanque 31.xlsx | Data CA 25 F.N. estanque 68.xlsx</t>
  </si>
  <si>
    <t>2026-04-22 19:51:52</t>
  </si>
  <si>
    <t>6,7,8,9,15</t>
  </si>
  <si>
    <t>Data SY 24 VAL+STARAQ estanque 56.xlsx | Data SY 24 LOU estanque 62.xlsx | Data SY 25 LOU estanque 30.xlsx | Data ME 25 Q. AGUA estanque 85.xlsx | Data CA 24 VAL estanque 62.xlsx</t>
  </si>
  <si>
    <t>2026-04-23 00:15:32</t>
  </si>
  <si>
    <t>5,7,9,13,15</t>
  </si>
  <si>
    <t>Data SY 24 LOU+VAL+FN estanque 36.xlsx | Data SY 24 LOU estanque 62.xlsx | Data ME 25 Q. AGUA estanque 85.xlsx | Data CA 24 VAL estanque 31.xlsx | Data CA 24 VAL estanque 62.xlsx</t>
  </si>
  <si>
    <t>2026-04-23 01:04:28</t>
  </si>
  <si>
    <t>6,7,10,12,13</t>
  </si>
  <si>
    <t>Data SY 24 VAL+STARAQ estanque 56.xlsx | Data SY 24 LOU estanque 62.xlsx | Data ME 24 QAGUA estanque 54.xlsx | Data ME 25 STA MARTA estanque 62.xlsx | Data CA 24 VAL estanque 31.xlsx</t>
  </si>
  <si>
    <t>2026-04-23 01:35:00</t>
  </si>
  <si>
    <t>6,7,10,15,16</t>
  </si>
  <si>
    <t>Data SY 24 VAL+STARAQ estanque 56.xlsx | Data SY 24 LOU estanque 62.xlsx | Data ME 24 QAGUA estanque 54.xlsx | Data CA 24 VAL estanque 62.xlsx | Data CA 25 F.N. estanque 68.xlsx</t>
  </si>
  <si>
    <t>2026-04-22 21:45:50</t>
  </si>
  <si>
    <t>2,6,8,10,13</t>
  </si>
  <si>
    <t>Data CS 24 LOU estanque 54.xlsx | Data SY 24 VAL+STARAQ estanque 56.xlsx | Data SY 25 LOU estanque 30.xlsx | Data ME 24 QAGUA estanque 54.xlsx | Data CA 24 VAL estanque 31.xlsx</t>
  </si>
  <si>
    <t>2026-04-22 22:10:12</t>
  </si>
  <si>
    <t>1,8,9,10,16</t>
  </si>
  <si>
    <t>Data CS 24 EL BOLDO estanque 30.xlsx | Data SY 25 LOU estanque 30.xlsx | Data ME 25 Q. AGUA estanque 85.xlsx | Data ME 24 QAGUA estanque 54.xlsx | Data CA 25 F.N. estanque 68.xlsx</t>
  </si>
  <si>
    <t>2026-04-23 01:57:16</t>
  </si>
  <si>
    <t>1,2,6,7,10</t>
  </si>
  <si>
    <t>Data CS 24 EL BOLDO estanque 30.xlsx | Data CS 24 LOU estanque 54.xlsx | Data SY 24 VAL+STARAQ estanque 56.xlsx | Data SY 24 LOU estanque 62.xlsx | Data ME 24 QAGUA estanque 54.xlsx</t>
  </si>
  <si>
    <t>2026-04-23 02:19:42</t>
  </si>
  <si>
    <t>7,9,10,13,15</t>
  </si>
  <si>
    <t>Data SY 24 LOU estanque 62.xlsx | Data ME 25 Q. AGUA estanque 85.xlsx | Data ME 24 QAGUA estanque 54.xlsx | Data CA 24 VAL estanque 31.xlsx | Data CA 24 VAL estanque 62.xlsx</t>
  </si>
  <si>
    <t>2026-04-23 02:41:22</t>
  </si>
  <si>
    <t>1,5,6,13,15</t>
  </si>
  <si>
    <t>Data CS 24 EL BOLDO estanque 30.xlsx | Data SY 24 LOU+VAL+FN estanque 36.xlsx | Data SY 24 VAL+STARAQ estanque 56.xlsx | Data CA 24 VAL estanque 31.xlsx | Data CA 24 VAL estanque 62.xlsx</t>
  </si>
  <si>
    <t>2026-04-23 02:29:55</t>
  </si>
  <si>
    <t>1,2,5,6,7</t>
  </si>
  <si>
    <t>Data CS 24 EL BOLDO estanque 30.xlsx | Data CS 24 LOU estanque 54.xlsx | Data SY 24 LOU+VAL+FN estanque 36.xlsx | Data SY 24 VAL+STARAQ estanque 56.xlsx | Data SY 24 LOU estanque 62.xlsx</t>
  </si>
  <si>
    <t>2026-04-23 02:56:41</t>
  </si>
  <si>
    <t>2,6,8,10,15</t>
  </si>
  <si>
    <t>Data CS 24 LOU estanque 54.xlsx | Data SY 24 VAL+STARAQ estanque 56.xlsx | Data SY 25 LOU estanque 30.xlsx | Data ME 24 QAGUA estanque 54.xlsx | Data CA 24 VAL estanque 62.xlsx</t>
  </si>
  <si>
    <t>2026-04-23 02:31:50</t>
  </si>
  <si>
    <t>5,6,7,10,16</t>
  </si>
  <si>
    <t>Data SY 24 LOU+VAL+FN estanque 36.xlsx | Data SY 24 VAL+STARAQ estanque 56.xlsx | Data SY 24 LOU estanque 62.xlsx | Data ME 24 QAGUA estanque 54.xlsx | Data CA 25 F.N. estanque 68.xlsx</t>
  </si>
  <si>
    <t>2026-04-23 03:39:23</t>
  </si>
  <si>
    <t>5,6,8,10,15</t>
  </si>
  <si>
    <t>Data SY 24 LOU+VAL+FN estanque 36.xlsx | Data SY 24 VAL+STARAQ estanque 56.xlsx | Data SY 25 LOU estanque 30.xlsx | Data ME 24 QAGUA estanque 54.xlsx | Data CA 24 VAL estanque 62.xlsx</t>
  </si>
  <si>
    <t>2026-04-23 03:05:29</t>
  </si>
  <si>
    <t>1,2,5,9,12</t>
  </si>
  <si>
    <t>Data CS 24 EL BOLDO estanque 30.xlsx | Data CS 24 LOU estanque 54.xlsx | Data SY 24 LOU+VAL+FN estanque 36.xlsx | Data ME 25 Q. AGUA estanque 85.xlsx | Data ME 25 STA MARTA estanque 62.xlsx</t>
  </si>
  <si>
    <t>2026-04-23 03:00:31</t>
  </si>
  <si>
    <t>2,5,9,12,13</t>
  </si>
  <si>
    <t>Data CS 24 LOU estanque 54.xlsx | Data SY 24 LOU+VAL+FN estanque 36.xlsx | Data ME 25 Q. AGUA estanque 85.xlsx | Data ME 25 STA MARTA estanque 62.xlsx | Data CA 24 VAL estanque 31.xlsx</t>
  </si>
  <si>
    <t>2026-04-23 05:20:45</t>
  </si>
  <si>
    <t>1,2,6,9,10</t>
  </si>
  <si>
    <t>Data CS 24 EL BOLDO estanque 30.xlsx | Data CS 24 LOU estanque 54.xlsx | Data SY 24 VAL+STARAQ estanque 56.xlsx | Data ME 25 Q. AGUA estanque 85.xlsx | Data ME 24 QAGUA estanque 54.xlsx</t>
  </si>
  <si>
    <t>2026-04-23 03:15:37</t>
  </si>
  <si>
    <t>2,7,10,12,16</t>
  </si>
  <si>
    <t>Data CS 24 LOU estanque 54.xlsx | Data SY 24 LOU estanque 62.xlsx | Data ME 24 QAGUA estanque 54.xlsx | Data ME 25 STA MARTA estanque 62.xlsx | Data CA 25 F.N. estanque 68.xlsx</t>
  </si>
  <si>
    <t>2026-04-23 05:43:26</t>
  </si>
  <si>
    <t>6,7,8,10,12</t>
  </si>
  <si>
    <t>Data SY 24 VAL+STARAQ estanque 56.xlsx | Data SY 24 LOU estanque 62.xlsx | Data SY 25 LOU estanque 30.xlsx | Data ME 24 QAGUA estanque 54.xlsx | Data ME 25 STA MARTA estanque 62.xlsx</t>
  </si>
  <si>
    <t>2026-04-23 04:16:22</t>
  </si>
  <si>
    <t>2,7,8,9,10</t>
  </si>
  <si>
    <t>Data CS 24 LOU estanque 54.xlsx | Data SY 24 LOU estanque 62.xlsx | Data SY 25 LOU estanque 30.xlsx | Data ME 25 Q. AGUA estanque 85.xlsx | Data ME 24 QAGUA estanque 54.xlsx</t>
  </si>
  <si>
    <t>2026-04-23 03:55:37</t>
  </si>
  <si>
    <t>9,10,12,13,16</t>
  </si>
  <si>
    <t>Data ME 25 Q. AGUA estanque 85.xlsx | Data ME 24 QAGUA estanque 54.xlsx | Data ME 25 STA MARTA estanque 62.xlsx | Data CA 24 VAL estanque 31.xlsx | Data CA 25 F.N. estanque 68.xlsx</t>
  </si>
  <si>
    <t>2026-04-23 03:57:10</t>
  </si>
  <si>
    <t>1,9,12,15,16</t>
  </si>
  <si>
    <t>Data CS 24 EL BOLDO estanque 30.xlsx | Data ME 25 Q. AGUA estanque 85.xlsx | Data ME 25 STA MARTA estanque 62.xlsx | Data CA 24 VAL estanque 62.xlsx | Data CA 25 F.N. estanque 68.xlsx</t>
  </si>
  <si>
    <t>2026-04-23 04:33:51</t>
  </si>
  <si>
    <t>1,2,8,9,12</t>
  </si>
  <si>
    <t>Data CS 24 EL BOLDO estanque 30.xlsx | Data CS 24 LOU estanque 54.xlsx | Data SY 25 LOU estanque 30.xlsx | Data ME 25 Q. AGUA estanque 85.xlsx | Data ME 25 STA MARTA estanque 62.xlsx</t>
  </si>
  <si>
    <t>2026-04-23 04:42:52</t>
  </si>
  <si>
    <t>5,8,12,15,16</t>
  </si>
  <si>
    <t>Data SY 24 LOU+VAL+FN estanque 36.xlsx | Data SY 25 LOU estanque 30.xlsx | Data ME 25 STA MARTA estanque 62.xlsx | Data CA 24 VAL estanque 62.xlsx | Data CA 25 F.N. estanque 68.xlsx</t>
  </si>
  <si>
    <t>2026-04-23 06:29:17</t>
  </si>
  <si>
    <t>6,7,8,15,16</t>
  </si>
  <si>
    <t>Data SY 24 VAL+STARAQ estanque 56.xlsx | Data SY 24 LOU estanque 62.xlsx | Data SY 25 LOU estanque 30.xlsx | Data CA 24 VAL estanque 62.xlsx | Data CA 25 F.N. estanque 68.xlsx</t>
  </si>
  <si>
    <t>2026-04-23 05:13:51</t>
  </si>
  <si>
    <t>2,6,9,13,16</t>
  </si>
  <si>
    <t>Data CS 24 LOU estanque 54.xlsx | Data SY 24 VAL+STARAQ estanque 56.xlsx | Data ME 25 Q. AGUA estanque 85.xlsx | Data CA 24 VAL estanque 31.xlsx | Data CA 25 F.N. estanque 68.xlsx</t>
  </si>
  <si>
    <t>2026-04-23 05:18:43</t>
  </si>
  <si>
    <t>5,6,8,9,15</t>
  </si>
  <si>
    <t>Data SY 24 LOU+VAL+FN estanque 36.xlsx | Data SY 24 VAL+STARAQ estanque 56.xlsx | Data SY 25 LOU estanque 30.xlsx | Data ME 25 Q. AGUA estanque 85.xlsx | Data CA 24 VAL estanque 62.xlsx</t>
  </si>
  <si>
    <t>2026-04-23 05:27:12</t>
  </si>
  <si>
    <t>6,9,10,12,15</t>
  </si>
  <si>
    <t>Data SY 24 VAL+STARAQ estanque 56.xlsx | Data ME 25 Q. AGUA estanque 85.xlsx | Data ME 24 QAGUA estanque 54.xlsx | Data ME 25 STA MARTA estanque 62.xlsx | Data CA 24 VAL estanque 62.xlsx</t>
  </si>
  <si>
    <t>2026-04-23 06:55:38</t>
  </si>
  <si>
    <t>1,9,10,13,15</t>
  </si>
  <si>
    <t>Data CS 24 EL BOLDO estanque 30.xlsx | Data ME 25 Q. AGUA estanque 85.xlsx | Data ME 24 QAGUA estanque 54.xlsx | Data CA 24 VAL estanque 31.xlsx | Data CA 24 VAL estanque 62.xlsx</t>
  </si>
  <si>
    <t>2026-04-23 07:38:03</t>
  </si>
  <si>
    <t>2,5,13,15,16</t>
  </si>
  <si>
    <t>Data CS 24 LOU estanque 54.xlsx | Data SY 24 LOU+VAL+FN estanque 36.xlsx | Data CA 24 VAL estanque 31.xlsx | Data CA 24 VAL estanque 62.xlsx | Data CA 25 F.N. estanque 68.xlsx</t>
  </si>
  <si>
    <t>2026-04-23 05:55:45</t>
  </si>
  <si>
    <t>5,9,10,15,16</t>
  </si>
  <si>
    <t>Data SY 24 LOU+VAL+FN estanque 36.xlsx | Data ME 25 Q. AGUA estanque 85.xlsx | Data ME 24 QAGUA estanque 54.xlsx | Data CA 24 VAL estanque 62.xlsx | Data CA 25 F.N. estanque 68.xlsx</t>
  </si>
  <si>
    <t>2026-04-23 06:28:10</t>
  </si>
  <si>
    <t>5,8,9,12,15</t>
  </si>
  <si>
    <t>Data SY 24 LOU+VAL+FN estanque 36.xlsx | Data SY 25 LOU estanque 30.xlsx | Data ME 25 Q. AGUA estanque 85.xlsx | Data ME 25 STA MARTA estanque 62.xlsx | Data CA 24 VAL estanque 62.xlsx</t>
  </si>
  <si>
    <t>2026-04-23 08:02:44</t>
  </si>
  <si>
    <t>1,5,7,10,15</t>
  </si>
  <si>
    <t>Data CS 24 EL BOLDO estanque 30.xlsx | Data SY 24 LOU+VAL+FN estanque 36.xlsx | Data SY 24 LOU estanque 62.xlsx | Data ME 24 QAGUA estanque 54.xlsx | Data CA 24 VAL estanque 62.xlsx</t>
  </si>
  <si>
    <t>2026-04-23 09:45:16</t>
  </si>
  <si>
    <t>2,6,7,10,16</t>
  </si>
  <si>
    <t>Data CS 24 LOU estanque 54.xlsx | Data SY 24 VAL+STARAQ estanque 56.xlsx | Data SY 24 LOU estanque 62.xlsx | Data ME 24 QAGUA estanque 54.xlsx | Data CA 25 F.N. estanque 68.xlsx</t>
  </si>
  <si>
    <t>2026-04-23 12:14:16</t>
  </si>
  <si>
    <t>1,6,8,13,16</t>
  </si>
  <si>
    <t>Data CS 24 EL BOLDO estanque 30.xlsx | Data SY 24 VAL+STARAQ estanque 56.xlsx | Data SY 25 LOU estanque 30.xlsx | Data CA 24 VAL estanque 31.xlsx | Data CA 25 F.N. estanque 68.xlsx</t>
  </si>
  <si>
    <t>2026-04-23 08:15:03</t>
  </si>
  <si>
    <t>1,6,8,13,15</t>
  </si>
  <si>
    <t>Data CS 24 EL BOLDO estanque 30.xlsx | Data SY 24 VAL+STARAQ estanque 56.xlsx | Data SY 25 LOU estanque 30.xlsx | Data CA 24 VAL estanque 31.xlsx | Data CA 24 VAL estanque 62.xlsx</t>
  </si>
  <si>
    <t>2026-04-23 14:01:54</t>
  </si>
  <si>
    <t>1,6,7,15,16</t>
  </si>
  <si>
    <t>Data CS 24 EL BOLDO estanque 30.xlsx | Data SY 24 VAL+STARAQ estanque 56.xlsx | Data SY 24 LOU estanque 62.xlsx | Data CA 24 VAL estanque 62.xlsx | Data CA 25 F.N. estanque 68.xlsx</t>
  </si>
  <si>
    <t>RESULTADO VALIDACIÓN CON SET</t>
  </si>
  <si>
    <t>Set</t>
  </si>
  <si>
    <t>val cost</t>
  </si>
  <si>
    <t>SIN ELIMINACIÓN DE PUNTOS</t>
  </si>
  <si>
    <t>3,8,10,15,20,30,34,36,40,49</t>
  </si>
  <si>
    <t>ELIMINACIÓN DE PUNTOS 1:</t>
  </si>
  <si>
    <t>ELIMINACIÓN DE PUNTOS 2:</t>
  </si>
  <si>
    <t>3,8,10,15,20,22,23,30,33,34,36,40,44,45,49</t>
  </si>
  <si>
    <t>El 90% de las simulaciones (basadas en sets reales) cae dentro de esta banda</t>
  </si>
  <si>
    <t>El 90% de las simulaciones (basadas en distribución gaussiana) cae dentro de esta banda</t>
  </si>
  <si>
    <t>Promedio</t>
  </si>
  <si>
    <t>Desv. Est.</t>
  </si>
  <si>
    <t>Etanol</t>
  </si>
  <si>
    <t>Set 3</t>
  </si>
  <si>
    <t>Set 4</t>
  </si>
  <si>
    <t>Set 11</t>
  </si>
  <si>
    <t>Set 14</t>
  </si>
  <si>
    <t>Etanol final experimental (g/L)</t>
  </si>
  <si>
    <t>RMSE (g/L)</t>
  </si>
  <si>
    <t>NRMSE (%)</t>
  </si>
  <si>
    <t>50 datos</t>
  </si>
  <si>
    <t>40 datos</t>
  </si>
  <si>
    <t>35 datos</t>
  </si>
  <si>
    <t>Costo azúcar</t>
  </si>
  <si>
    <t>Costo etanol</t>
  </si>
  <si>
    <t>Función de costos</t>
  </si>
  <si>
    <t>Costo total</t>
  </si>
  <si>
    <t>Azúcar</t>
  </si>
  <si>
    <t>Error rel (%)</t>
  </si>
  <si>
    <t>Error abs (g/L)</t>
  </si>
  <si>
    <t>costo et en costo total</t>
  </si>
  <si>
    <t>promedio</t>
  </si>
  <si>
    <t>desv est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</si>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</sst>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000"/>
    <numFmt numFmtId="166" formatCode="0.0000000"/>
    <numFmt numFmtId="167" formatCode="0.000"/>
    <numFmt numFmtId="168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3" xfId="0" applyNumberFormat="1" applyBorder="1"/>
    <xf numFmtId="165" fontId="0" fillId="0" borderId="0" xfId="0" applyNumberFormat="1"/>
    <xf numFmtId="165" fontId="0" fillId="0" borderId="8" xfId="0" applyNumberFormat="1" applyBorder="1"/>
    <xf numFmtId="0" fontId="2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2" fillId="2" borderId="0" xfId="0" applyFont="1" applyFill="1"/>
    <xf numFmtId="0" fontId="0" fillId="2" borderId="8" xfId="0" applyFill="1" applyBorder="1"/>
    <xf numFmtId="0" fontId="0" fillId="2" borderId="9" xfId="0" applyFill="1" applyBorder="1"/>
    <xf numFmtId="164" fontId="0" fillId="0" borderId="0" xfId="0" applyNumberFormat="1"/>
    <xf numFmtId="166" fontId="0" fillId="2" borderId="3" xfId="0" applyNumberFormat="1" applyFill="1" applyBorder="1"/>
    <xf numFmtId="166" fontId="0" fillId="0" borderId="0" xfId="0" applyNumberFormat="1"/>
    <xf numFmtId="166" fontId="0" fillId="2" borderId="0" xfId="0" applyNumberFormat="1" applyFill="1"/>
    <xf numFmtId="166" fontId="2" fillId="2" borderId="0" xfId="0" applyNumberFormat="1" applyFont="1" applyFill="1"/>
    <xf numFmtId="166" fontId="2" fillId="0" borderId="0" xfId="0" applyNumberFormat="1" applyFont="1"/>
    <xf numFmtId="166" fontId="0" fillId="2" borderId="8" xfId="0" applyNumberFormat="1" applyFill="1" applyBorder="1"/>
    <xf numFmtId="0" fontId="0" fillId="3" borderId="0" xfId="0" applyFill="1"/>
    <xf numFmtId="0" fontId="0" fillId="3" borderId="6" xfId="0" applyFill="1" applyBorder="1"/>
    <xf numFmtId="0" fontId="2" fillId="3" borderId="0" xfId="0" applyFont="1" applyFill="1"/>
    <xf numFmtId="0" fontId="0" fillId="3" borderId="8" xfId="0" applyFill="1" applyBorder="1"/>
    <xf numFmtId="0" fontId="0" fillId="3" borderId="9" xfId="0" applyFill="1" applyBorder="1"/>
    <xf numFmtId="167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3" borderId="5" xfId="0" applyFill="1" applyBorder="1"/>
    <xf numFmtId="165" fontId="0" fillId="3" borderId="0" xfId="0" applyNumberFormat="1" applyFill="1"/>
    <xf numFmtId="0" fontId="0" fillId="4" borderId="12" xfId="0" applyFill="1" applyBorder="1"/>
    <xf numFmtId="0" fontId="0" fillId="4" borderId="10" xfId="0" applyFill="1" applyBorder="1"/>
    <xf numFmtId="0" fontId="0" fillId="4" borderId="17" xfId="0" applyFill="1" applyBorder="1"/>
    <xf numFmtId="0" fontId="0" fillId="5" borderId="12" xfId="0" applyFill="1" applyBorder="1"/>
    <xf numFmtId="0" fontId="0" fillId="5" borderId="10" xfId="0" applyFill="1" applyBorder="1"/>
    <xf numFmtId="0" fontId="0" fillId="5" borderId="17" xfId="0" applyFill="1" applyBorder="1"/>
    <xf numFmtId="0" fontId="0" fillId="3" borderId="12" xfId="0" applyFill="1" applyBorder="1"/>
    <xf numFmtId="0" fontId="0" fillId="3" borderId="10" xfId="0" applyFill="1" applyBorder="1"/>
    <xf numFmtId="0" fontId="0" fillId="3" borderId="17" xfId="0" applyFill="1" applyBorder="1"/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2" xfId="0" applyFill="1" applyBorder="1" applyAlignment="1">
      <alignment horizontal="right"/>
    </xf>
    <xf numFmtId="10" fontId="0" fillId="4" borderId="12" xfId="1" applyNumberFormat="1" applyFont="1" applyFill="1" applyBorder="1" applyAlignment="1">
      <alignment horizontal="right"/>
    </xf>
    <xf numFmtId="0" fontId="0" fillId="4" borderId="19" xfId="0" applyFill="1" applyBorder="1" applyAlignment="1">
      <alignment horizontal="right"/>
    </xf>
    <xf numFmtId="0" fontId="0" fillId="4" borderId="13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10" fontId="0" fillId="4" borderId="10" xfId="1" applyNumberFormat="1" applyFont="1" applyFill="1" applyBorder="1" applyAlignment="1">
      <alignment horizontal="right"/>
    </xf>
    <xf numFmtId="0" fontId="0" fillId="4" borderId="22" xfId="0" applyFill="1" applyBorder="1" applyAlignment="1">
      <alignment horizontal="right"/>
    </xf>
    <xf numFmtId="0" fontId="0" fillId="4" borderId="15" xfId="0" applyFill="1" applyBorder="1" applyAlignment="1">
      <alignment horizontal="right"/>
    </xf>
    <xf numFmtId="165" fontId="0" fillId="4" borderId="10" xfId="0" applyNumberFormat="1" applyFill="1" applyBorder="1" applyAlignment="1">
      <alignment horizontal="right"/>
    </xf>
    <xf numFmtId="165" fontId="0" fillId="4" borderId="15" xfId="0" applyNumberFormat="1" applyFill="1" applyBorder="1" applyAlignment="1">
      <alignment horizontal="right"/>
    </xf>
    <xf numFmtId="0" fontId="0" fillId="4" borderId="17" xfId="0" applyFill="1" applyBorder="1" applyAlignment="1">
      <alignment horizontal="right"/>
    </xf>
    <xf numFmtId="10" fontId="0" fillId="4" borderId="17" xfId="1" applyNumberFormat="1" applyFont="1" applyFill="1" applyBorder="1" applyAlignment="1">
      <alignment horizontal="right"/>
    </xf>
    <xf numFmtId="0" fontId="0" fillId="4" borderId="23" xfId="0" applyFill="1" applyBorder="1" applyAlignment="1">
      <alignment horizontal="right"/>
    </xf>
    <xf numFmtId="0" fontId="0" fillId="4" borderId="18" xfId="0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0" fontId="0" fillId="5" borderId="12" xfId="1" applyNumberFormat="1" applyFont="1" applyFill="1" applyBorder="1" applyAlignment="1">
      <alignment horizontal="right"/>
    </xf>
    <xf numFmtId="0" fontId="0" fillId="5" borderId="19" xfId="0" applyFill="1" applyBorder="1" applyAlignment="1">
      <alignment horizontal="right"/>
    </xf>
    <xf numFmtId="0" fontId="0" fillId="5" borderId="13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0" fontId="0" fillId="5" borderId="10" xfId="1" applyNumberFormat="1" applyFont="1" applyFill="1" applyBorder="1" applyAlignment="1">
      <alignment horizontal="right"/>
    </xf>
    <xf numFmtId="0" fontId="0" fillId="5" borderId="22" xfId="0" applyFill="1" applyBorder="1" applyAlignment="1">
      <alignment horizontal="right"/>
    </xf>
    <xf numFmtId="0" fontId="0" fillId="5" borderId="15" xfId="0" applyFill="1" applyBorder="1" applyAlignment="1">
      <alignment horizontal="right"/>
    </xf>
    <xf numFmtId="168" fontId="0" fillId="5" borderId="17" xfId="0" applyNumberFormat="1" applyFill="1" applyBorder="1" applyAlignment="1">
      <alignment horizontal="right"/>
    </xf>
    <xf numFmtId="10" fontId="0" fillId="5" borderId="17" xfId="1" applyNumberFormat="1" applyFont="1" applyFill="1" applyBorder="1" applyAlignment="1">
      <alignment horizontal="right"/>
    </xf>
    <xf numFmtId="0" fontId="0" fillId="5" borderId="17" xfId="0" applyFill="1" applyBorder="1" applyAlignment="1">
      <alignment horizontal="right"/>
    </xf>
    <xf numFmtId="0" fontId="0" fillId="5" borderId="23" xfId="0" applyFill="1" applyBorder="1" applyAlignment="1">
      <alignment horizontal="right"/>
    </xf>
    <xf numFmtId="0" fontId="0" fillId="5" borderId="18" xfId="0" applyFill="1" applyBorder="1" applyAlignment="1">
      <alignment horizontal="right"/>
    </xf>
    <xf numFmtId="0" fontId="0" fillId="3" borderId="12" xfId="0" applyFill="1" applyBorder="1" applyAlignment="1">
      <alignment horizontal="right"/>
    </xf>
    <xf numFmtId="10" fontId="0" fillId="3" borderId="12" xfId="1" applyNumberFormat="1" applyFont="1" applyFill="1" applyBorder="1" applyAlignment="1">
      <alignment horizontal="right"/>
    </xf>
    <xf numFmtId="165" fontId="0" fillId="3" borderId="19" xfId="0" applyNumberFormat="1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10" fontId="0" fillId="3" borderId="10" xfId="1" applyNumberFormat="1" applyFont="1" applyFill="1" applyBorder="1" applyAlignment="1">
      <alignment horizontal="right"/>
    </xf>
    <xf numFmtId="168" fontId="0" fillId="3" borderId="10" xfId="0" applyNumberFormat="1" applyFill="1" applyBorder="1" applyAlignment="1">
      <alignment horizontal="right"/>
    </xf>
    <xf numFmtId="165" fontId="0" fillId="3" borderId="22" xfId="0" applyNumberFormat="1" applyFill="1" applyBorder="1" applyAlignment="1">
      <alignment horizontal="right"/>
    </xf>
    <xf numFmtId="0" fontId="0" fillId="3" borderId="15" xfId="0" applyFill="1" applyBorder="1" applyAlignment="1">
      <alignment horizontal="right"/>
    </xf>
    <xf numFmtId="0" fontId="0" fillId="3" borderId="17" xfId="0" applyFill="1" applyBorder="1" applyAlignment="1">
      <alignment horizontal="right"/>
    </xf>
    <xf numFmtId="10" fontId="0" fillId="3" borderId="17" xfId="1" applyNumberFormat="1" applyFont="1" applyFill="1" applyBorder="1" applyAlignment="1">
      <alignment horizontal="right"/>
    </xf>
    <xf numFmtId="165" fontId="0" fillId="3" borderId="23" xfId="0" applyNumberFormat="1" applyFill="1" applyBorder="1" applyAlignment="1">
      <alignment horizontal="right"/>
    </xf>
    <xf numFmtId="0" fontId="0" fillId="3" borderId="18" xfId="0" applyFill="1" applyBorder="1" applyAlignment="1">
      <alignment horizontal="right"/>
    </xf>
    <xf numFmtId="0" fontId="0" fillId="0" borderId="10" xfId="0" applyBorder="1"/>
    <xf numFmtId="0" fontId="1" fillId="0" borderId="10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11" xfId="0" applyFill="1" applyBorder="1" applyAlignment="1">
      <alignment horizontal="center" vertical="center" textRotation="90" wrapText="1"/>
    </xf>
    <xf numFmtId="0" fontId="0" fillId="4" borderId="14" xfId="0" applyFill="1" applyBorder="1" applyAlignment="1">
      <alignment horizontal="center" vertical="center" textRotation="90" wrapText="1"/>
    </xf>
    <xf numFmtId="0" fontId="0" fillId="4" borderId="16" xfId="0" applyFill="1" applyBorder="1" applyAlignment="1">
      <alignment horizontal="center" vertical="center" textRotation="90" wrapText="1"/>
    </xf>
    <xf numFmtId="0" fontId="0" fillId="5" borderId="11" xfId="0" applyFill="1" applyBorder="1" applyAlignment="1">
      <alignment horizontal="center" vertical="center" textRotation="90" wrapText="1"/>
    </xf>
    <xf numFmtId="0" fontId="0" fillId="5" borderId="14" xfId="0" applyFill="1" applyBorder="1" applyAlignment="1">
      <alignment horizontal="center" vertical="center" textRotation="90" wrapText="1"/>
    </xf>
    <xf numFmtId="0" fontId="0" fillId="5" borderId="16" xfId="0" applyFill="1" applyBorder="1" applyAlignment="1">
      <alignment horizontal="center" vertical="center" textRotation="90" wrapText="1"/>
    </xf>
    <xf numFmtId="0" fontId="0" fillId="3" borderId="11" xfId="0" applyFill="1" applyBorder="1" applyAlignment="1">
      <alignment horizontal="center" vertical="center" textRotation="90" wrapText="1"/>
    </xf>
    <xf numFmtId="0" fontId="0" fillId="3" borderId="14" xfId="0" applyFill="1" applyBorder="1" applyAlignment="1">
      <alignment horizontal="center" vertical="center" textRotation="90" wrapText="1"/>
    </xf>
    <xf numFmtId="0" fontId="0" fillId="3" borderId="16" xfId="0" applyFill="1" applyBorder="1" applyAlignment="1">
      <alignment horizontal="center" vertical="center" textRotation="90" wrapText="1"/>
    </xf>
    <xf numFmtId="0" fontId="0" fillId="0" borderId="19" xfId="0" applyBorder="1" applyAlignment="1">
      <alignment horizontal="center"/>
    </xf>
  </cellXfs>
  <cellStyles count="2">
    <cellStyle name="Normal" xfId="0" builtinId="0"/>
    <cellStyle name="Porcentaje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 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50</c:v>
              </c:pt>
              <c:pt idx="1">
                <c:v>40</c:v>
              </c:pt>
              <c:pt idx="2">
                <c:v>35</c:v>
              </c:pt>
            </c:numLit>
          </c:xVal>
          <c:yVal>
            <c:numRef>
              <c:f>('Resultados 2'!$D$3,'Resultados 2'!$D$7,'Resultados 2'!$D$11)</c:f>
              <c:numCache>
                <c:formatCode>0.00%</c:formatCode>
                <c:ptCount val="3"/>
                <c:pt idx="0">
                  <c:v>0.30509883517989422</c:v>
                </c:pt>
                <c:pt idx="1">
                  <c:v>0.23205000581763649</c:v>
                </c:pt>
                <c:pt idx="2">
                  <c:v>0.22081808897105404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06-400D-AB23-E83B72A5C620}"/>
            </c:ext>
          </c:extLst>
        </c:ser>
        <c:ser>
          <c:idx val="1"/>
          <c:order val="1"/>
          <c:tx>
            <c:v>Set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50</c:v>
              </c:pt>
              <c:pt idx="1">
                <c:v>40</c:v>
              </c:pt>
              <c:pt idx="2">
                <c:v>35</c:v>
              </c:pt>
            </c:numLit>
          </c:xVal>
          <c:yVal>
            <c:numRef>
              <c:f>('Resultados 2'!$D$4,'Resultados 2'!$D$8,'Resultados 2'!$D$12)</c:f>
              <c:numCache>
                <c:formatCode>0.00%</c:formatCode>
                <c:ptCount val="3"/>
                <c:pt idx="0">
                  <c:v>0.10407117486029728</c:v>
                </c:pt>
                <c:pt idx="1">
                  <c:v>4.3703762358317688E-2</c:v>
                </c:pt>
                <c:pt idx="2">
                  <c:v>3.6610031447252327E-2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06-400D-AB23-E83B72A5C620}"/>
            </c:ext>
          </c:extLst>
        </c:ser>
        <c:ser>
          <c:idx val="2"/>
          <c:order val="2"/>
          <c:tx>
            <c:v>Set 11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35</c:v>
              </c:pt>
              <c:pt idx="1">
                <c:v>40</c:v>
              </c:pt>
              <c:pt idx="2">
                <c:v>50</c:v>
              </c:pt>
            </c:numLit>
          </c:xVal>
          <c:yVal>
            <c:numRef>
              <c:f>('Resultados 2'!$D$13,'Resultados 2'!$D$9,'Resultados 2'!$D$5)</c:f>
              <c:numCache>
                <c:formatCode>0.00%</c:formatCode>
                <c:ptCount val="3"/>
                <c:pt idx="0">
                  <c:v>1.2409047585838157E-2</c:v>
                </c:pt>
                <c:pt idx="1">
                  <c:v>1.8600785735871865E-2</c:v>
                </c:pt>
                <c:pt idx="2">
                  <c:v>8.0140409605504795E-2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06-400D-AB23-E83B72A5C620}"/>
            </c:ext>
          </c:extLst>
        </c:ser>
        <c:ser>
          <c:idx val="3"/>
          <c:order val="3"/>
          <c:tx>
            <c:v>Set 14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35</c:v>
              </c:pt>
              <c:pt idx="1">
                <c:v>40</c:v>
              </c:pt>
              <c:pt idx="2">
                <c:v>50</c:v>
              </c:pt>
            </c:numLit>
          </c:xVal>
          <c:yVal>
            <c:numRef>
              <c:f>('Resultados 2'!$D$14,'Resultados 2'!$D$10,'Resultados 2'!$D$6)</c:f>
              <c:numCache>
                <c:formatCode>0.00%</c:formatCode>
                <c:ptCount val="3"/>
                <c:pt idx="0">
                  <c:v>0.14747916382019402</c:v>
                </c:pt>
                <c:pt idx="1">
                  <c:v>7.5830031425058078E-2</c:v>
                </c:pt>
                <c:pt idx="2">
                  <c:v>0.13846526475300899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06-400D-AB23-E83B72A5C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838544"/>
        <c:axId val="1951839024"/>
      </c:scatterChart>
      <c:valAx>
        <c:axId val="1951838544"/>
        <c:scaling>
          <c:orientation val="minMax"/>
          <c:max val="5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Cantidad</a:t>
                </a:r>
                <a:r>
                  <a:rPr lang="es-CL" baseline="0"/>
                  <a:t> de datos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51839024"/>
        <c:crosses val="autoZero"/>
        <c:crossBetween val="midCat"/>
      </c:valAx>
      <c:valAx>
        <c:axId val="19518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 error relativo etanol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5183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 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35</c:v>
              </c:pt>
              <c:pt idx="1">
                <c:v>40</c:v>
              </c:pt>
              <c:pt idx="2">
                <c:v>50</c:v>
              </c:pt>
            </c:numLit>
          </c:xVal>
          <c:yVal>
            <c:numRef>
              <c:f>('Resultados 2'!$F$11,'Resultados 2'!$F$7,'Resultados 2'!$F$3)</c:f>
              <c:numCache>
                <c:formatCode>0.00%</c:formatCode>
                <c:ptCount val="3"/>
                <c:pt idx="0">
                  <c:v>9.1899999999999996E-2</c:v>
                </c:pt>
                <c:pt idx="1">
                  <c:v>0.107</c:v>
                </c:pt>
                <c:pt idx="2">
                  <c:v>0.11849999999999999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44-4200-BE1B-FE656BF7B790}"/>
            </c:ext>
          </c:extLst>
        </c:ser>
        <c:ser>
          <c:idx val="1"/>
          <c:order val="1"/>
          <c:tx>
            <c:v>Set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35</c:v>
              </c:pt>
              <c:pt idx="1">
                <c:v>40</c:v>
              </c:pt>
              <c:pt idx="2">
                <c:v>50</c:v>
              </c:pt>
            </c:numLit>
          </c:xVal>
          <c:yVal>
            <c:numRef>
              <c:f>('Resultados 2'!$F$12,'Resultados 2'!$F$8,'Resultados 2'!$F$4)</c:f>
              <c:numCache>
                <c:formatCode>0.00%</c:formatCode>
                <c:ptCount val="3"/>
                <c:pt idx="0">
                  <c:v>8.4699999999999998E-2</c:v>
                </c:pt>
                <c:pt idx="1">
                  <c:v>8.7300000000000003E-2</c:v>
                </c:pt>
                <c:pt idx="2">
                  <c:v>0.10920000000000001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44-4200-BE1B-FE656BF7B790}"/>
            </c:ext>
          </c:extLst>
        </c:ser>
        <c:ser>
          <c:idx val="2"/>
          <c:order val="2"/>
          <c:tx>
            <c:v>Set 11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35</c:v>
              </c:pt>
              <c:pt idx="1">
                <c:v>40</c:v>
              </c:pt>
              <c:pt idx="2">
                <c:v>50</c:v>
              </c:pt>
            </c:numLit>
          </c:xVal>
          <c:yVal>
            <c:numRef>
              <c:f>('Resultados 2'!$F$13,'Resultados 2'!$F$9,'Resultados 2'!$F$5)</c:f>
              <c:numCache>
                <c:formatCode>0.00%</c:formatCode>
                <c:ptCount val="3"/>
                <c:pt idx="0">
                  <c:v>6.3899999999999998E-2</c:v>
                </c:pt>
                <c:pt idx="1">
                  <c:v>7.0800000000000002E-2</c:v>
                </c:pt>
                <c:pt idx="2">
                  <c:v>7.4800000000000005E-2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44-4200-BE1B-FE656BF7B790}"/>
            </c:ext>
          </c:extLst>
        </c:ser>
        <c:ser>
          <c:idx val="3"/>
          <c:order val="3"/>
          <c:tx>
            <c:v>Set 14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3"/>
              <c:pt idx="0">
                <c:v>35</c:v>
              </c:pt>
              <c:pt idx="1">
                <c:v>40</c:v>
              </c:pt>
              <c:pt idx="2">
                <c:v>50</c:v>
              </c:pt>
            </c:numLit>
          </c:xVal>
          <c:yVal>
            <c:numRef>
              <c:f>('Resultados 2'!$F$14,'Resultados 2'!$F$10,'Resultados 2'!$F$6)</c:f>
              <c:numCache>
                <c:formatCode>0.00%</c:formatCode>
                <c:ptCount val="3"/>
                <c:pt idx="0">
                  <c:v>0.1033</c:v>
                </c:pt>
                <c:pt idx="1">
                  <c:v>0.1205</c:v>
                </c:pt>
                <c:pt idx="2">
                  <c:v>0.1163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44-4200-BE1B-FE656BF7B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838544"/>
        <c:axId val="1951839024"/>
      </c:scatterChart>
      <c:valAx>
        <c:axId val="1951838544"/>
        <c:scaling>
          <c:orientation val="minMax"/>
          <c:max val="5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Cantidad</a:t>
                </a:r>
                <a:r>
                  <a:rPr lang="es-CL" baseline="0"/>
                  <a:t> de datos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51839024"/>
        <c:crosses val="autoZero"/>
        <c:crossBetween val="midCat"/>
      </c:valAx>
      <c:valAx>
        <c:axId val="19518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 NRMSE</a:t>
                </a:r>
                <a:r>
                  <a:rPr lang="es-CL" baseline="0"/>
                  <a:t> Azúcar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5183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'Resultados 2'!$M$2</c:f>
              <c:strCache>
                <c:ptCount val="1"/>
                <c:pt idx="0">
                  <c:v>Set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 2'!$L$2:$L$4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('Resultados 2'!$I$11,'Resultados 2'!$I$7,'Resultados 2'!$I$3)</c:f>
              <c:numCache>
                <c:formatCode>General</c:formatCode>
                <c:ptCount val="3"/>
                <c:pt idx="0">
                  <c:v>5.6386909999999998E-2</c:v>
                </c:pt>
                <c:pt idx="1">
                  <c:v>6.4188590000000004E-2</c:v>
                </c:pt>
                <c:pt idx="2">
                  <c:v>0.10575287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D2-4DB9-82A2-7CFB1F75018C}"/>
            </c:ext>
          </c:extLst>
        </c:ser>
        <c:ser>
          <c:idx val="1"/>
          <c:order val="1"/>
          <c:tx>
            <c:strRef>
              <c:f>'Resultados 2'!$M$3</c:f>
              <c:strCache>
                <c:ptCount val="1"/>
                <c:pt idx="0">
                  <c:v>Set 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'Resultados 2'!$L$2:$L$4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('Resultados 2'!$I$12,'Resultados 2'!$I$8,'Resultados 2'!$I$4)</c:f>
              <c:numCache>
                <c:formatCode>General</c:formatCode>
                <c:ptCount val="3"/>
                <c:pt idx="0">
                  <c:v>6.8960499999999999E-3</c:v>
                </c:pt>
                <c:pt idx="1">
                  <c:v>7.8136899999999999E-3</c:v>
                </c:pt>
                <c:pt idx="2">
                  <c:v>2.005351E-2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D2-4DB9-82A2-7CFB1F75018C}"/>
            </c:ext>
          </c:extLst>
        </c:ser>
        <c:ser>
          <c:idx val="2"/>
          <c:order val="2"/>
          <c:tx>
            <c:strRef>
              <c:f>'Resultados 2'!$M$4</c:f>
              <c:strCache>
                <c:ptCount val="1"/>
                <c:pt idx="0">
                  <c:v>Set 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'Resultados 2'!$L$2:$L$4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('Resultados 2'!$I$13,'Resultados 2'!$I$9,'Resultados 2'!$I$5)</c:f>
              <c:numCache>
                <c:formatCode>General</c:formatCode>
                <c:ptCount val="3"/>
                <c:pt idx="0">
                  <c:v>3.15723E-3</c:v>
                </c:pt>
                <c:pt idx="1">
                  <c:v>4.0345499999999996E-3</c:v>
                </c:pt>
                <c:pt idx="2" formatCode="0.00000000">
                  <c:v>1.053695E-2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D2-4DB9-82A2-7CFB1F75018C}"/>
            </c:ext>
          </c:extLst>
        </c:ser>
        <c:ser>
          <c:idx val="3"/>
          <c:order val="3"/>
          <c:tx>
            <c:strRef>
              <c:f>'Resultados 2'!$M$5</c:f>
              <c:strCache>
                <c:ptCount val="1"/>
                <c:pt idx="0">
                  <c:v>Set 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'Resultados 2'!$L$2:$L$4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('Resultados 2'!$I$14,'Resultados 2'!$I$10,'Resultados 2'!$I$6)</c:f>
              <c:numCache>
                <c:formatCode>General</c:formatCode>
                <c:ptCount val="3"/>
                <c:pt idx="0">
                  <c:v>3.1722750000000001E-2</c:v>
                </c:pt>
                <c:pt idx="1">
                  <c:v>1.931093E-2</c:v>
                </c:pt>
                <c:pt idx="2">
                  <c:v>3.1813359999999999E-2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D2-4DB9-82A2-7CFB1F750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226592"/>
        <c:axId val="777227552"/>
      </c:scatterChart>
      <c:valAx>
        <c:axId val="777226592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7227552"/>
        <c:crosses val="autoZero"/>
        <c:crossBetween val="midCat"/>
      </c:valAx>
      <c:valAx>
        <c:axId val="7772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Costo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722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6A9AA6F7-11CE-4353-B4B6-A753D8C54BCB}">
          <cx:tx>
            <cx:txData>
              <cx:f>_xlchart.v1.0</cx:f>
              <cx:v>betaG0</cx:v>
            </cx:txData>
          </cx:tx>
          <cx:spPr>
            <a:solidFill>
              <a:schemeClr val="accent2"/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65C55B2B-F664-486F-B301-5C3564005C22}">
          <cx:tx>
            <cx:txData>
              <cx:f>_xlchart.v1.4</cx:f>
              <cx:v>betaF0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30698188-2F8F-4C48-84FE-D42D858A6E85}">
          <cx:tx>
            <cx:txData>
              <cx:f>_xlchart.v1.6</cx:f>
              <cx:v>mu0</cx:v>
            </cx:txData>
          </cx:tx>
          <cx:spPr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4EB40A38-DC92-4972-AE80-67AED409FA37}">
          <cx:tx>
            <cx:txData>
              <cx:f>_xlchart.v1.2</cx:f>
              <cx:v>Yxn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C5594EE8-D7EB-41F7-AE75-F81440184B50}">
          <cx:tx>
            <cx:txData>
              <cx:f>_xlchart.v1.12</cx:f>
              <cx:v>Yxg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5A360CD2-3DF7-4043-87E1-CD4AE0BCDDBA}">
          <cx:tx>
            <cx:txData>
              <cx:f>_xlchart.v1.10</cx:f>
              <cx:v>Yeg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80000000000000004"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728DEEC9-3654-4DD5-A110-B10FC9B31D0A}">
          <cx:tx>
            <cx:txData>
              <cx:f>_xlchart.v1.8</cx:f>
              <cx:v>Yef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/>
        <cx:majorGridlines/>
        <cx:tickLabels/>
      </cx:axis>
    </cx:plotArea>
  </cx:chart>
  <cx:spPr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6A9AA6F7-11CE-4353-B4B6-A753D8C54BCB}">
          <cx:tx>
            <cx:txData>
              <cx:f>_xlchart.v1.22</cx:f>
              <cx:v>betaG0</cx:v>
            </cx:txData>
          </cx:tx>
          <cx:spPr>
            <a:solidFill>
              <a:schemeClr val="accent2"/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65C55B2B-F664-486F-B301-5C3564005C22}">
          <cx:tx>
            <cx:txData>
              <cx:f>_xlchart.v1.18</cx:f>
              <cx:v>betaF0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30698188-2F8F-4C48-84FE-D42D858A6E85}">
          <cx:tx>
            <cx:txData>
              <cx:f>_xlchart.v1.14</cx:f>
              <cx:v>mu0</cx:v>
            </cx:txData>
          </cx:tx>
          <cx:spPr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" sourceLinked="0"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4EB40A38-DC92-4972-AE80-67AED409FA37}">
          <cx:tx>
            <cx:txData>
              <cx:f>_xlchart.v1.24</cx:f>
              <cx:v>Yxn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C5594EE8-D7EB-41F7-AE75-F81440184B50}">
          <cx:tx>
            <cx:txData>
              <cx:f>_xlchart.v1.26</cx:f>
              <cx:v>Yxg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5A360CD2-3DF7-4043-87E1-CD4AE0BCDDBA}">
          <cx:tx>
            <cx:txData>
              <cx:f>_xlchart.v1.16</cx:f>
              <cx:v>Yeg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80000000000000004"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728DEEC9-3654-4DD5-A110-B10FC9B31D0A}">
          <cx:tx>
            <cx:txData>
              <cx:f>_xlchart.v1.20</cx:f>
              <cx:v>Yef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/>
        <cx:majorGridlines/>
        <cx:tickLabels/>
      </cx:axis>
    </cx:plotArea>
  </cx:chart>
  <cx:spPr>
    <a:ln>
      <a:noFill/>
    </a:ln>
  </cx:spPr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6A9AA6F7-11CE-4353-B4B6-A753D8C54BCB}">
          <cx:tx>
            <cx:txData>
              <cx:f>_xlchart.v1.45</cx:f>
              <cx:v>betaG0</cx:v>
            </cx:txData>
          </cx:tx>
          <cx:spPr>
            <a:solidFill>
              <a:schemeClr val="accent2"/>
            </a:solidFill>
            <a:ln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65C55B2B-F664-486F-B301-5C3564005C22}">
          <cx:tx>
            <cx:txData>
              <cx:f>_xlchart.v1.37</cx:f>
              <cx:v>betaF0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30698188-2F8F-4C48-84FE-D42D858A6E85}">
          <cx:tx>
            <cx:txData>
              <cx:f>_xlchart.v1.28</cx:f>
              <cx:v>mu0</cx:v>
            </cx:txData>
          </cx:tx>
          <cx:spPr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4EB40A38-DC92-4972-AE80-67AED409FA37}">
          <cx:tx>
            <cx:txData>
              <cx:f>_xlchart.v1.39</cx:f>
              <cx:v>Yxn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C5594EE8-D7EB-41F7-AE75-F81440184B50}">
          <cx:tx>
            <cx:txData>
              <cx:f>_xlchart.v1.33</cx:f>
              <cx:v>Yxg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5A360CD2-3DF7-4043-87E1-CD4AE0BCDDBA}">
          <cx:tx>
            <cx:txData>
              <cx:f>_xlchart.v1.43</cx:f>
              <cx:v>Yeg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80000000000000004"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728DEEC9-3654-4DD5-A110-B10FC9B31D0A}">
          <cx:tx>
            <cx:txData>
              <cx:f>_xlchart.v1.41</cx:f>
              <cx:v>Yef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/>
        <cx:majorGridlines/>
        <cx:tickLabels/>
      </cx:axis>
    </cx:plotArea>
  </cx:chart>
  <cx:spPr>
    <a:ln>
      <a:noFill/>
    </a:ln>
  </cx:spPr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plotArea>
      <cx:plotAreaRegion>
        <cx:series layoutId="clusteredColumn" uniqueId="{C9B6CA41-40ED-44BC-A30F-91442140BCA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</cx:chartData>
  <cx:chart>
    <cx:plotArea>
      <cx:plotAreaRegion>
        <cx:series layoutId="clusteredColumn" uniqueId="{E6A7DD5D-9350-4F2A-BD8F-B185D43D567E}">
          <cx:spPr>
            <a:solidFill>
              <a:schemeClr val="accent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plotArea>
      <cx:plotAreaRegion>
        <cx:series layoutId="clusteredColumn" uniqueId="{98E6CA0F-6466-4F54-9DEB-4CB71CE67FAF}">
          <cx:spPr>
            <a:solidFill>
              <a:schemeClr val="accent3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plotArea>
      <cx:plotAreaRegion>
        <cx:series layoutId="clusteredColumn" uniqueId="{9A80F626-E190-45A3-9E07-542F553716B0}">
          <cx:spPr>
            <a:solidFill>
              <a:schemeClr val="accent4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plotArea>
      <cx:plotAreaRegion>
        <cx:series layoutId="clusteredColumn" uniqueId="{9906A36B-5C20-40F9-99B9-267FD595F603}">
          <cx:spPr>
            <a:solidFill>
              <a:schemeClr val="accent5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plotArea>
      <cx:plotAreaRegion>
        <cx:series layoutId="clusteredColumn" uniqueId="{83B06F5D-AB66-4556-99EA-0E9BB789EF0D}">
          <cx:spPr>
            <a:solidFill>
              <a:schemeClr val="accent6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plotArea>
      <cx:plotAreaRegion>
        <cx:series layoutId="clusteredColumn" uniqueId="{6FD55107-C350-490C-A74D-DDB24AB40759}">
          <cx:spPr>
            <a:solidFill>
              <a:schemeClr val="tx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50">
          <cx:pt idx="0">1.5270804877388759</cx:pt>
          <cx:pt idx="1">4.850514939296346</cx:pt>
          <cx:pt idx="2">0.23553543382017861</cx:pt>
          <cx:pt idx="3">1.4789405335040691</cx:pt>
          <cx:pt idx="4">1.7632632704774971</cx:pt>
          <cx:pt idx="5">3.3738439668184652</cx:pt>
          <cx:pt idx="6">1.100316472242042</cx:pt>
          <cx:pt idx="7">0.4518752531907364</cx:pt>
          <cx:pt idx="8">1.718642886072322</cx:pt>
          <cx:pt idx="9">1.0803477171264659</cx:pt>
          <cx:pt idx="10">2.895646996567776</cx:pt>
          <cx:pt idx="11">1.305003992855698</cx:pt>
          <cx:pt idx="12">1.7942830917244461</cx:pt>
          <cx:pt idx="13">2.5765714714097321</cx:pt>
          <cx:pt idx="14">0.45594540635759689</cx:pt>
          <cx:pt idx="15">0.84108690838249922</cx:pt>
          <cx:pt idx="16">1.4375904770707839</cx:pt>
          <cx:pt idx="17">1.8413149759623919</cx:pt>
          <cx:pt idx="18">1.688151118707405</cx:pt>
          <cx:pt idx="19">0.85781285332391377</cx:pt>
          <cx:pt idx="20">2.4149638557808002</cx:pt>
          <cx:pt idx="21">3.3038070819419989</cx:pt>
          <cx:pt idx="22">2.0770307526074339</cx:pt>
          <cx:pt idx="23">3.893671184911172</cx:pt>
          <cx:pt idx="24">3.844084630584347</cx:pt>
          <cx:pt idx="25">2.614446601797082</cx:pt>
          <cx:pt idx="26">4.1577551963834054</cx:pt>
          <cx:pt idx="27">0.35096545121603412</cx:pt>
          <cx:pt idx="28">1.8137100794334391</cx:pt>
          <cx:pt idx="29">0.61404232777015577</cx:pt>
          <cx:pt idx="30">1.3514976724639101</cx:pt>
          <cx:pt idx="31">1.9991316186647099</cx:pt>
          <cx:pt idx="32">4.4482599897689132</cx:pt>
          <cx:pt idx="33">1.1187936440531281</cx:pt>
          <cx:pt idx="34">1.2822339503207389</cx:pt>
          <cx:pt idx="35">0.57388886362052272</cx:pt>
          <cx:pt idx="36">4.3800332930190624</cx:pt>
          <cx:pt idx="37">2.6757654567366602</cx:pt>
          <cx:pt idx="38">2.955778978407098</cx:pt>
          <cx:pt idx="39">0.38323233714267452</cx:pt>
          <cx:pt idx="40">4.4252058770277394</cx:pt>
          <cx:pt idx="41">0.80898060182916187</cx:pt>
          <cx:pt idx="42">1.989834202392571</cx:pt>
          <cx:pt idx="43">0.72967253887345185</cx:pt>
          <cx:pt idx="44">1.7666765324772551</cx:pt>
          <cx:pt idx="45">0.69987284158389496</cx:pt>
          <cx:pt idx="46">4.2858153856020049</cx:pt>
          <cx:pt idx="47">1.865459686429324</cx:pt>
          <cx:pt idx="48">3.6442763566270329</cx:pt>
          <cx:pt idx="49">2.1183458303736882</cx:pt>
        </cx:lvl>
      </cx:numDim>
    </cx:data>
    <cx:data id="1">
      <cx:numDim type="val">
        <cx:lvl ptCount="35">
          <cx:pt idx="0">1.5270804877388759</cx:pt>
          <cx:pt idx="1">4.850514939296346</cx:pt>
          <cx:pt idx="2">1.4789405335040691</cx:pt>
          <cx:pt idx="3">1.7632632704774971</cx:pt>
          <cx:pt idx="4">3.3738439668184652</cx:pt>
          <cx:pt idx="5">1.100316472242042</cx:pt>
          <cx:pt idx="6">1.718642886072322</cx:pt>
          <cx:pt idx="7">2.895646996567776</cx:pt>
          <cx:pt idx="8">1.305003992855698</cx:pt>
          <cx:pt idx="9">1.7942830917244461</cx:pt>
          <cx:pt idx="10">2.5765714714097321</cx:pt>
          <cx:pt idx="11">0.84108690838249922</cx:pt>
          <cx:pt idx="12">1.4375904770707839</cx:pt>
          <cx:pt idx="13">1.8413149759623919</cx:pt>
          <cx:pt idx="14">1.688151118707405</cx:pt>
          <cx:pt idx="15">2.4149638557808002</cx:pt>
          <cx:pt idx="16">3.893671184911172</cx:pt>
          <cx:pt idx="17">3.844084630584347</cx:pt>
          <cx:pt idx="18">2.614446601797082</cx:pt>
          <cx:pt idx="19">4.1577551963834054</cx:pt>
          <cx:pt idx="20">0.35096545121603412</cx:pt>
          <cx:pt idx="21">1.8137100794334391</cx:pt>
          <cx:pt idx="22">1.3514976724639101</cx:pt>
          <cx:pt idx="23">1.9991316186647099</cx:pt>
          <cx:pt idx="24">1.2822339503207389</cx:pt>
          <cx:pt idx="25">4.3800332930190624</cx:pt>
          <cx:pt idx="26">2.6757654567366602</cx:pt>
          <cx:pt idx="27">2.955778978407098</cx:pt>
          <cx:pt idx="28">4.4252058770277394</cx:pt>
          <cx:pt idx="29">0.80898060182916187</cx:pt>
          <cx:pt idx="30">1.989834202392571</cx:pt>
          <cx:pt idx="31">0.69987284158389507</cx:pt>
          <cx:pt idx="32">4.2858153856020049</cx:pt>
          <cx:pt idx="33">1.865459686429324</cx:pt>
          <cx:pt idx="34">2.1183458303736882</cx:pt>
        </cx:lvl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00000000-A3DD-4F82-9E54-2289CBC00A1E}">
          <cx:tx>
            <cx:txData>
              <cx:v>betaG0 50 datos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A3DD-4F82-9E54-2289CBC00A1E}">
          <cx:tx>
            <cx:txData>
              <cx:v>betaG0 35 datos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_xlchart.v1.52</cx:f>
      </cx:numDim>
    </cx:data>
    <cx:data id="1">
      <cx:numDim type="val">
        <cx:f>_xlchart.v1.51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00000000-5FAA-4E58-BB01-D6002F2B306D}">
          <cx:tx>
            <cx:txData>
              <cx:f/>
              <cx:v>betaF0 50 datos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5FAA-4E58-BB01-D6002F2B306D}">
          <cx:tx>
            <cx:txData>
              <cx:f/>
              <cx:v>betaF0 35 datos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_xlchart.v1.56</cx:f>
      </cx:numDim>
    </cx:data>
    <cx:data id="1">
      <cx:numDim type="val">
        <cx:f>_xlchart.v1.55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0-6884-4B43-81B0-15ED6A66AD95}" formatIdx="1">
          <cx:tx>
            <cx:txData>
              <cx:f/>
              <cx:v>mu0 50 datos</cx:v>
            </cx:txData>
          </cx:tx>
          <cx:spPr>
            <a:solidFill>
              <a:schemeClr val="accent1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6884-4B43-81B0-15ED6A66AD95}">
          <cx:tx>
            <cx:txData>
              <cx:f/>
              <cx:v>mu0 35 datos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_xlchart.v1.53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00000000-1E82-4F83-9C0F-2115419DB863}">
          <cx:tx>
            <cx:txData>
              <cx:f/>
              <cx:v>Yxn 50 datos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1E82-4F83-9C0F-2115419DB863}">
          <cx:tx>
            <cx:txData>
              <cx:f/>
              <cx:v>Yxn 35 datos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_xlchart.v1.58</cx:f>
      </cx:numDim>
    </cx:data>
    <cx:data id="1">
      <cx:numDim type="val">
        <cx:f>_xlchart.v1.57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00000000-9077-4942-9330-85B0330A6DE0}">
          <cx:tx>
            <cx:txData>
              <cx:f/>
              <cx:v>Yxg 50 datos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077-4942-9330-85B0330A6DE0}">
          <cx:tx>
            <cx:txData>
              <cx:f/>
              <cx:v>Yxg 35 datos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  <cx:data id="1">
      <cx:numDim type="val">
        <cx:f>_xlchart.v1.49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00000000-9EBC-489A-8A47-437E1CCC1A0B}">
          <cx:tx>
            <cx:txData>
              <cx:f/>
              <cx:v>Yeg 50 datos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EBC-489A-8A47-437E1CCC1A0B}">
          <cx:tx>
            <cx:txData>
              <cx:f/>
              <cx:v>Yeg 35 datos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80000000000000004"/>
        <cx:majorGridlines/>
        <cx:tickLabels/>
      </cx:axis>
    </cx:plotArea>
    <cx:legend pos="b" align="ctr" overlay="0"/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_xlchart.v1.60</cx:f>
      </cx:numDim>
    </cx:data>
    <cx:data id="1">
      <cx:numDim type="val">
        <cx:f>_xlchart.v1.59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00000000-22ED-4354-B148-8D624539200A}">
          <cx:tx>
            <cx:txData>
              <cx:f/>
              <cx:v>Yef 50 datos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22ED-4354-B148-8D624539200A}">
          <cx:tx>
            <cx:txData>
              <cx:f/>
              <cx:v>Yef 35 datos</cx:v>
            </cx:txData>
          </cx:tx>
          <cx:spPr>
            <a:solidFill>
              <a:schemeClr val="tx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/>
        <cx:majorGridlines/>
        <cx:tickLabels/>
      </cx:axis>
    </cx:plotArea>
    <cx:legend pos="b" align="ctr" overlay="0"/>
  </cx:chart>
  <cx:spPr>
    <a:ln>
      <a:noFill/>
    </a:ln>
  </cx:spPr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_xlchart.v1.64</cx:f>
      </cx:numDim>
    </cx:data>
  </cx:chartData>
  <cx:chart>
    <cx:plotArea>
      <cx:plotAreaRegion>
        <cx:series layoutId="clusteredColumn" uniqueId="{C9B6CA41-40ED-44BC-A30F-91442140BCA4}">
          <cx:spPr>
            <a:solidFill>
              <a:schemeClr val="accent1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</cx:chartData>
  <cx:chart>
    <cx:plotArea>
      <cx:plotAreaRegion>
        <cx:series layoutId="clusteredColumn" uniqueId="{E6A7DD5D-9350-4F2A-BD8F-B185D43D567E}">
          <cx:spPr>
            <a:solidFill>
              <a:schemeClr val="accent2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_xlchart.v1.67</cx:f>
      </cx:numDim>
    </cx:data>
  </cx:chartData>
  <cx:chart>
    <cx:plotArea>
      <cx:plotAreaRegion>
        <cx:series layoutId="clusteredColumn" uniqueId="{98E6CA0F-6466-4F54-9DEB-4CB71CE67FAF}">
          <cx:spPr>
            <a:solidFill>
              <a:schemeClr val="accent3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</cx:chartData>
  <cx:chart>
    <cx:plotArea>
      <cx:plotAreaRegion>
        <cx:series layoutId="clusteredColumn" uniqueId="{9A80F626-E190-45A3-9E07-542F553716B0}">
          <cx:spPr>
            <a:solidFill>
              <a:schemeClr val="accent4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_xlchart.v1.62</cx:f>
      </cx:numDim>
    </cx:data>
  </cx:chartData>
  <cx:chart>
    <cx:plotArea>
      <cx:plotAreaRegion>
        <cx:series layoutId="clusteredColumn" uniqueId="{9906A36B-5C20-40F9-99B9-267FD595F603}">
          <cx:spPr>
            <a:solidFill>
              <a:schemeClr val="accent5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</cx:chartData>
  <cx:chart>
    <cx:plotArea>
      <cx:plotAreaRegion>
        <cx:series layoutId="clusteredColumn" uniqueId="{83B06F5D-AB66-4556-99EA-0E9BB789EF0D}">
          <cx:spPr>
            <a:solidFill>
              <a:schemeClr val="accent6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</cx:chartData>
  <cx:chart>
    <cx:plotArea>
      <cx:plotAreaRegion>
        <cx:series layoutId="clusteredColumn" uniqueId="{6FD55107-C350-490C-A74D-DDB24AB40759}">
          <cx:spPr>
            <a:solidFill>
              <a:schemeClr val="tx2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50">
          <cx:pt idx="0">1.5270804877388759</cx:pt>
          <cx:pt idx="1">4.850514939296346</cx:pt>
          <cx:pt idx="2">0.23553543382017861</cx:pt>
          <cx:pt idx="3">1.4789405335040691</cx:pt>
          <cx:pt idx="4">1.7632632704774971</cx:pt>
          <cx:pt idx="5">3.3738439668184652</cx:pt>
          <cx:pt idx="6">1.100316472242042</cx:pt>
          <cx:pt idx="7">0.4518752531907364</cx:pt>
          <cx:pt idx="8">1.718642886072322</cx:pt>
          <cx:pt idx="9">1.0803477171264659</cx:pt>
          <cx:pt idx="10">2.895646996567776</cx:pt>
          <cx:pt idx="11">1.305003992855698</cx:pt>
          <cx:pt idx="12">1.7942830917244461</cx:pt>
          <cx:pt idx="13">2.5765714714097321</cx:pt>
          <cx:pt idx="14">0.45594540635759689</cx:pt>
          <cx:pt idx="15">0.84108690838249922</cx:pt>
          <cx:pt idx="16">1.4375904770707839</cx:pt>
          <cx:pt idx="17">1.8413149759623919</cx:pt>
          <cx:pt idx="18">1.688151118707405</cx:pt>
          <cx:pt idx="19">0.85781285332391377</cx:pt>
          <cx:pt idx="20">2.4149638557808002</cx:pt>
          <cx:pt idx="21">3.3038070819419989</cx:pt>
          <cx:pt idx="22">2.0770307526074339</cx:pt>
          <cx:pt idx="23">3.893671184911172</cx:pt>
          <cx:pt idx="24">3.844084630584347</cx:pt>
          <cx:pt idx="25">2.614446601797082</cx:pt>
          <cx:pt idx="26">4.1577551963834054</cx:pt>
          <cx:pt idx="27">0.35096545121603412</cx:pt>
          <cx:pt idx="28">1.8137100794334391</cx:pt>
          <cx:pt idx="29">0.61404232777015577</cx:pt>
          <cx:pt idx="30">1.3514976724639101</cx:pt>
          <cx:pt idx="31">1.9991316186647099</cx:pt>
          <cx:pt idx="32">4.4482599897689132</cx:pt>
          <cx:pt idx="33">1.1187936440531281</cx:pt>
          <cx:pt idx="34">1.2822339503207389</cx:pt>
          <cx:pt idx="35">0.57388886362052272</cx:pt>
          <cx:pt idx="36">4.3800332930190624</cx:pt>
          <cx:pt idx="37">2.6757654567366602</cx:pt>
          <cx:pt idx="38">2.955778978407098</cx:pt>
          <cx:pt idx="39">0.38323233714267452</cx:pt>
          <cx:pt idx="40">4.4252058770277394</cx:pt>
          <cx:pt idx="41">0.80898060182916187</cx:pt>
          <cx:pt idx="42">1.989834202392571</cx:pt>
          <cx:pt idx="43">0.72967253887345185</cx:pt>
          <cx:pt idx="44">1.7666765324772551</cx:pt>
          <cx:pt idx="45">0.69987284158389496</cx:pt>
          <cx:pt idx="46">4.2858153856020049</cx:pt>
          <cx:pt idx="47">1.865459686429324</cx:pt>
          <cx:pt idx="48">3.6442763566270329</cx:pt>
          <cx:pt idx="49">2.1183458303736882</cx:pt>
        </cx:lvl>
      </cx:numDim>
    </cx:data>
    <cx:data id="1">
      <cx:numDim type="val">
        <cx:lvl ptCount="35">
          <cx:pt idx="0">1.5270804877388759</cx:pt>
          <cx:pt idx="1">4.850514939296346</cx:pt>
          <cx:pt idx="2">1.4789405335040691</cx:pt>
          <cx:pt idx="3">1.7632632704774971</cx:pt>
          <cx:pt idx="4">3.3738439668184652</cx:pt>
          <cx:pt idx="5">1.100316472242042</cx:pt>
          <cx:pt idx="6">1.718642886072322</cx:pt>
          <cx:pt idx="7">2.895646996567776</cx:pt>
          <cx:pt idx="8">1.305003992855698</cx:pt>
          <cx:pt idx="9">1.7942830917244461</cx:pt>
          <cx:pt idx="10">2.5765714714097321</cx:pt>
          <cx:pt idx="11">0.84108690838249922</cx:pt>
          <cx:pt idx="12">1.4375904770707839</cx:pt>
          <cx:pt idx="13">1.8413149759623919</cx:pt>
          <cx:pt idx="14">1.688151118707405</cx:pt>
          <cx:pt idx="15">2.4149638557808002</cx:pt>
          <cx:pt idx="16">3.893671184911172</cx:pt>
          <cx:pt idx="17">3.844084630584347</cx:pt>
          <cx:pt idx="18">2.614446601797082</cx:pt>
          <cx:pt idx="19">4.1577551963834054</cx:pt>
          <cx:pt idx="20">0.35096545121603412</cx:pt>
          <cx:pt idx="21">1.8137100794334391</cx:pt>
          <cx:pt idx="22">1.3514976724639101</cx:pt>
          <cx:pt idx="23">1.9991316186647099</cx:pt>
          <cx:pt idx="24">1.2822339503207389</cx:pt>
          <cx:pt idx="25">4.3800332930190624</cx:pt>
          <cx:pt idx="26">2.6757654567366602</cx:pt>
          <cx:pt idx="27">2.955778978407098</cx:pt>
          <cx:pt idx="28">4.4252058770277394</cx:pt>
          <cx:pt idx="29">0.80898060182916187</cx:pt>
          <cx:pt idx="30">1.989834202392571</cx:pt>
          <cx:pt idx="31">0.69987284158389507</cx:pt>
          <cx:pt idx="32">4.2858153856020049</cx:pt>
          <cx:pt idx="33">1.865459686429324</cx:pt>
          <cx:pt idx="34">2.1183458303736882</cx:pt>
        </cx:lvl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00000000-A3DD-4F82-9E54-2289CBC00A1E}">
          <cx:tx>
            <cx:txData>
              <cx:v>betaG0 50 datos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A3DD-4F82-9E54-2289CBC00A1E}">
          <cx:tx>
            <cx:txData>
              <cx:v>betaG0 35 datos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_xlchart.v1.76</cx:f>
      </cx:numDim>
    </cx:data>
    <cx:data id="1">
      <cx:numDim type="val">
        <cx:f>_xlchart.v1.75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00000000-5FAA-4E58-BB01-D6002F2B306D}">
          <cx:tx>
            <cx:txData>
              <cx:f/>
              <cx:v>betaF0 50 datos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5FAA-4E58-BB01-D6002F2B306D}">
          <cx:tx>
            <cx:txData>
              <cx:f/>
              <cx:v>betaF0 35 datos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4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_xlchart.v1.83</cx:f>
      </cx:numDim>
    </cx:data>
    <cx:data id="1">
      <cx:numDim type="val">
        <cx:f>_xlchart.v1.82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00000000-6884-4B43-81B0-15ED6A66AD95}" formatIdx="1">
          <cx:tx>
            <cx:txData>
              <cx:f/>
              <cx:v>mu0 50 datos</cx:v>
            </cx:txData>
          </cx:tx>
          <cx:spPr>
            <a:solidFill>
              <a:schemeClr val="accent1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6884-4B43-81B0-15ED6A66AD95}">
          <cx:tx>
            <cx:txData>
              <cx:f/>
              <cx:v>mu0 35 datos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  <cx:data id="1">
      <cx:numDim type="val">
        <cx:f>_xlchart.v1.71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00000000-1E82-4F83-9C0F-2115419DB863}">
          <cx:tx>
            <cx:txData>
              <cx:f/>
              <cx:v>Yxn 50 datos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1E82-4F83-9C0F-2115419DB863}">
          <cx:tx>
            <cx:txData>
              <cx:f/>
              <cx:v>Yxn 35 datos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4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  <cx:data id="1">
      <cx:numDim type="val">
        <cx:f>_xlchart.v1.77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00000000-9077-4942-9330-85B0330A6DE0}">
          <cx:tx>
            <cx:txData>
              <cx:f/>
              <cx:v>Yxg 50 datos</cx:v>
            </cx:txData>
          </cx:tx>
          <cx:spPr>
            <a:solidFill>
              <a:schemeClr val="accent5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077-4942-9330-85B0330A6DE0}">
          <cx:tx>
            <cx:txData>
              <cx:f/>
              <cx:v>Yxg 35 datos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majorGridlines/>
        <cx:tickLabels/>
      </cx:axis>
    </cx:plotArea>
    <cx:legend pos="b" align="ctr" overlay="0"/>
  </cx:chart>
</cx:chartSpace>
</file>

<file path=xl/charts/chartEx4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_xlchart.v1.85</cx:f>
      </cx:numDim>
    </cx:data>
    <cx:data id="1">
      <cx:numDim type="val">
        <cx:f>_xlchart.v1.84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00000000-9EBC-489A-8A47-437E1CCC1A0B}">
          <cx:tx>
            <cx:txData>
              <cx:f/>
              <cx:v>Yeg 50 datos</cx:v>
            </cx:txData>
          </cx:tx>
          <cx:spPr>
            <a:solidFill>
              <a:schemeClr val="accent6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9EBC-489A-8A47-437E1CCC1A0B}">
          <cx:tx>
            <cx:txData>
              <cx:f/>
              <cx:v>Yeg 35 datos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80000000000000004"/>
        <cx:majorGridlines/>
        <cx:tickLabels/>
      </cx:axis>
    </cx:plotArea>
    <cx:legend pos="b" align="ctr" overlay="0"/>
  </cx:chart>
</cx:chartSpace>
</file>

<file path=xl/charts/chartEx4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_xlchart.v1.68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00000000-22ED-4354-B148-8D624539200A}">
          <cx:tx>
            <cx:txData>
              <cx:f/>
              <cx:v>Yef 50 datos</cx:v>
            </cx:txData>
          </cx:tx>
          <cx:spPr>
            <a:solidFill>
              <a:schemeClr val="tx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22ED-4354-B148-8D624539200A}">
          <cx:tx>
            <cx:txData>
              <cx:f/>
              <cx:v>Yef 35 datos</cx:v>
            </cx:txData>
          </cx:tx>
          <cx:spPr>
            <a:solidFill>
              <a:schemeClr val="tx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/>
        <cx:majorGridlines/>
        <cx:tickLabels/>
      </cx:axis>
    </cx:plotArea>
    <cx:legend pos="b" align="ctr" overlay="0"/>
  </cx:chart>
  <cx:spPr>
    <a:ln>
      <a:noFill/>
    </a:ln>
  </cx:spPr>
</cx:chartSpace>
</file>

<file path=xl/charts/chartEx5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_xlchart.v1.70</cx:f>
      </cx:numDim>
    </cx:data>
  </cx:chartData>
  <cx:chart>
    <cx:plotArea>
      <cx:plotAreaRegion>
        <cx:series layoutId="clusteredColumn" uniqueId="{C9B6CA41-40ED-44BC-A30F-91442140BCA4}">
          <cx:spPr>
            <a:solidFill>
              <a:schemeClr val="accent1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_xlchart.v1.79</cx:f>
      </cx:numDim>
    </cx:data>
  </cx:chartData>
  <cx:chart>
    <cx:plotArea>
      <cx:plotAreaRegion>
        <cx:series layoutId="clusteredColumn" uniqueId="{E6A7DD5D-9350-4F2A-BD8F-B185D43D567E}">
          <cx:spPr>
            <a:solidFill>
              <a:schemeClr val="accent2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</cx:chartData>
  <cx:chart>
    <cx:plotArea>
      <cx:plotAreaRegion>
        <cx:series layoutId="clusteredColumn" uniqueId="{98E6CA0F-6466-4F54-9DEB-4CB71CE67FAF}">
          <cx:spPr>
            <a:solidFill>
              <a:schemeClr val="accent3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_xlchart.v1.80</cx:f>
      </cx:numDim>
    </cx:data>
  </cx:chartData>
  <cx:chart>
    <cx:plotArea>
      <cx:plotAreaRegion>
        <cx:series layoutId="clusteredColumn" uniqueId="{9A80F626-E190-45A3-9E07-542F553716B0}">
          <cx:spPr>
            <a:solidFill>
              <a:schemeClr val="accent4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5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</cx:chartData>
  <cx:chart>
    <cx:plotArea>
      <cx:plotAreaRegion>
        <cx:series layoutId="clusteredColumn" uniqueId="{9906A36B-5C20-40F9-99B9-267FD595F603}">
          <cx:spPr>
            <a:solidFill>
              <a:schemeClr val="accent5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5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_xlchart.v1.86</cx:f>
      </cx:numDim>
    </cx:data>
  </cx:chartData>
  <cx:chart>
    <cx:plotArea>
      <cx:plotAreaRegion>
        <cx:series layoutId="clusteredColumn" uniqueId="{83B06F5D-AB66-4556-99EA-0E9BB789EF0D}">
          <cx:spPr>
            <a:solidFill>
              <a:schemeClr val="accent6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5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_xlchart.v1.74</cx:f>
      </cx:numDim>
    </cx:data>
  </cx:chartData>
  <cx:chart>
    <cx:plotArea>
      <cx:plotAreaRegion>
        <cx:series layoutId="clusteredColumn" uniqueId="{6FD55107-C350-490C-A74D-DDB24AB40759}">
          <cx:spPr>
            <a:solidFill>
              <a:schemeClr val="tx2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0.xml"/><Relationship Id="rId7" Type="http://schemas.microsoft.com/office/2014/relationships/chartEx" Target="../charts/chartEx14.xml"/><Relationship Id="rId2" Type="http://schemas.microsoft.com/office/2014/relationships/chartEx" Target="../charts/chartEx9.xml"/><Relationship Id="rId1" Type="http://schemas.microsoft.com/office/2014/relationships/chartEx" Target="../charts/chartEx8.xml"/><Relationship Id="rId6" Type="http://schemas.microsoft.com/office/2014/relationships/chartEx" Target="../charts/chartEx13.xml"/><Relationship Id="rId5" Type="http://schemas.microsoft.com/office/2014/relationships/chartEx" Target="../charts/chartEx12.xml"/><Relationship Id="rId4" Type="http://schemas.microsoft.com/office/2014/relationships/chartEx" Target="../charts/chartEx11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22.xml"/><Relationship Id="rId13" Type="http://schemas.microsoft.com/office/2014/relationships/chartEx" Target="../charts/chartEx27.xml"/><Relationship Id="rId3" Type="http://schemas.microsoft.com/office/2014/relationships/chartEx" Target="../charts/chartEx17.xml"/><Relationship Id="rId7" Type="http://schemas.microsoft.com/office/2014/relationships/chartEx" Target="../charts/chartEx21.xml"/><Relationship Id="rId12" Type="http://schemas.microsoft.com/office/2014/relationships/chartEx" Target="../charts/chartEx26.xml"/><Relationship Id="rId2" Type="http://schemas.microsoft.com/office/2014/relationships/chartEx" Target="../charts/chartEx16.xml"/><Relationship Id="rId1" Type="http://schemas.microsoft.com/office/2014/relationships/chartEx" Target="../charts/chartEx15.xml"/><Relationship Id="rId6" Type="http://schemas.microsoft.com/office/2014/relationships/chartEx" Target="../charts/chartEx20.xml"/><Relationship Id="rId11" Type="http://schemas.microsoft.com/office/2014/relationships/chartEx" Target="../charts/chartEx25.xml"/><Relationship Id="rId5" Type="http://schemas.microsoft.com/office/2014/relationships/chartEx" Target="../charts/chartEx19.xml"/><Relationship Id="rId10" Type="http://schemas.microsoft.com/office/2014/relationships/chartEx" Target="../charts/chartEx24.xml"/><Relationship Id="rId4" Type="http://schemas.microsoft.com/office/2014/relationships/chartEx" Target="../charts/chartEx18.xml"/><Relationship Id="rId9" Type="http://schemas.microsoft.com/office/2014/relationships/chartEx" Target="../charts/chartEx23.xml"/><Relationship Id="rId14" Type="http://schemas.microsoft.com/office/2014/relationships/chartEx" Target="../charts/chartEx28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36.xml"/><Relationship Id="rId13" Type="http://schemas.microsoft.com/office/2014/relationships/chartEx" Target="../charts/chartEx41.xml"/><Relationship Id="rId3" Type="http://schemas.microsoft.com/office/2014/relationships/chartEx" Target="../charts/chartEx31.xml"/><Relationship Id="rId7" Type="http://schemas.microsoft.com/office/2014/relationships/chartEx" Target="../charts/chartEx35.xml"/><Relationship Id="rId12" Type="http://schemas.microsoft.com/office/2014/relationships/chartEx" Target="../charts/chartEx40.xml"/><Relationship Id="rId2" Type="http://schemas.microsoft.com/office/2014/relationships/chartEx" Target="../charts/chartEx30.xml"/><Relationship Id="rId1" Type="http://schemas.microsoft.com/office/2014/relationships/chartEx" Target="../charts/chartEx29.xml"/><Relationship Id="rId6" Type="http://schemas.microsoft.com/office/2014/relationships/chartEx" Target="../charts/chartEx34.xml"/><Relationship Id="rId11" Type="http://schemas.microsoft.com/office/2014/relationships/chartEx" Target="../charts/chartEx39.xml"/><Relationship Id="rId5" Type="http://schemas.microsoft.com/office/2014/relationships/chartEx" Target="../charts/chartEx33.xml"/><Relationship Id="rId10" Type="http://schemas.microsoft.com/office/2014/relationships/chartEx" Target="../charts/chartEx38.xml"/><Relationship Id="rId4" Type="http://schemas.microsoft.com/office/2014/relationships/chartEx" Target="../charts/chartEx32.xml"/><Relationship Id="rId9" Type="http://schemas.microsoft.com/office/2014/relationships/chartEx" Target="../charts/chartEx37.xml"/><Relationship Id="rId14" Type="http://schemas.microsoft.com/office/2014/relationships/chartEx" Target="../charts/chartEx4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14/relationships/chartEx" Target="../charts/chartEx50.xml"/><Relationship Id="rId13" Type="http://schemas.microsoft.com/office/2014/relationships/chartEx" Target="../charts/chartEx55.xml"/><Relationship Id="rId3" Type="http://schemas.microsoft.com/office/2014/relationships/chartEx" Target="../charts/chartEx45.xml"/><Relationship Id="rId7" Type="http://schemas.microsoft.com/office/2014/relationships/chartEx" Target="../charts/chartEx49.xml"/><Relationship Id="rId12" Type="http://schemas.microsoft.com/office/2014/relationships/chartEx" Target="../charts/chartEx54.xml"/><Relationship Id="rId2" Type="http://schemas.microsoft.com/office/2014/relationships/chartEx" Target="../charts/chartEx44.xml"/><Relationship Id="rId1" Type="http://schemas.microsoft.com/office/2014/relationships/chartEx" Target="../charts/chartEx43.xml"/><Relationship Id="rId6" Type="http://schemas.microsoft.com/office/2014/relationships/chartEx" Target="../charts/chartEx48.xml"/><Relationship Id="rId11" Type="http://schemas.microsoft.com/office/2014/relationships/chartEx" Target="../charts/chartEx53.xml"/><Relationship Id="rId5" Type="http://schemas.microsoft.com/office/2014/relationships/chartEx" Target="../charts/chartEx47.xml"/><Relationship Id="rId10" Type="http://schemas.microsoft.com/office/2014/relationships/chartEx" Target="../charts/chartEx52.xml"/><Relationship Id="rId4" Type="http://schemas.microsoft.com/office/2014/relationships/chartEx" Target="../charts/chartEx46.xml"/><Relationship Id="rId9" Type="http://schemas.microsoft.com/office/2014/relationships/chartEx" Target="../charts/chartEx51.xml"/><Relationship Id="rId14" Type="http://schemas.microsoft.com/office/2014/relationships/chartEx" Target="../charts/chartEx5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518160</xdr:colOff>
      <xdr:row>56</xdr:row>
      <xdr:rowOff>11430</xdr:rowOff>
    </xdr:from>
    <xdr:to>
      <xdr:col>20</xdr:col>
      <xdr:colOff>457200</xdr:colOff>
      <xdr:row>71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013EE0E-E08A-42CE-B0A0-DDD303D22F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1960" y="10252710"/>
              <a:ext cx="2324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548640</xdr:colOff>
      <xdr:row>56</xdr:row>
      <xdr:rowOff>26670</xdr:rowOff>
    </xdr:from>
    <xdr:to>
      <xdr:col>24</xdr:col>
      <xdr:colOff>510540</xdr:colOff>
      <xdr:row>71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7DFBA2F-1E9A-4FF5-9F05-0A08EE943C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00" y="10267950"/>
              <a:ext cx="26212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518160</xdr:colOff>
      <xdr:row>56</xdr:row>
      <xdr:rowOff>19050</xdr:rowOff>
    </xdr:from>
    <xdr:to>
      <xdr:col>17</xdr:col>
      <xdr:colOff>381000</xdr:colOff>
      <xdr:row>71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3FB6EE3-CBC8-453A-895D-AD31546EEA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89720" y="10260330"/>
              <a:ext cx="25450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144780</xdr:colOff>
      <xdr:row>56</xdr:row>
      <xdr:rowOff>3810</xdr:rowOff>
    </xdr:from>
    <xdr:to>
      <xdr:col>28</xdr:col>
      <xdr:colOff>297180</xdr:colOff>
      <xdr:row>71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A70E80D-D332-443B-94E9-DAA74A62D6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21200" y="1024509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381000</xdr:colOff>
      <xdr:row>56</xdr:row>
      <xdr:rowOff>19050</xdr:rowOff>
    </xdr:from>
    <xdr:to>
      <xdr:col>31</xdr:col>
      <xdr:colOff>312420</xdr:colOff>
      <xdr:row>71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D9D0442-5CD2-471D-9C01-04F04B1A9C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9580" y="1026033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419100</xdr:colOff>
      <xdr:row>56</xdr:row>
      <xdr:rowOff>3810</xdr:rowOff>
    </xdr:from>
    <xdr:to>
      <xdr:col>34</xdr:col>
      <xdr:colOff>571500</xdr:colOff>
      <xdr:row>71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A5E80AF8-354E-4556-AD91-17E3861EA2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00820" y="1024509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38100</xdr:colOff>
      <xdr:row>56</xdr:row>
      <xdr:rowOff>19050</xdr:rowOff>
    </xdr:from>
    <xdr:to>
      <xdr:col>38</xdr:col>
      <xdr:colOff>403860</xdr:colOff>
      <xdr:row>71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CD777AF8-6FEF-4DB3-B901-5FCC392647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71580" y="1026033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518160</xdr:colOff>
      <xdr:row>56</xdr:row>
      <xdr:rowOff>11430</xdr:rowOff>
    </xdr:from>
    <xdr:to>
      <xdr:col>20</xdr:col>
      <xdr:colOff>457200</xdr:colOff>
      <xdr:row>71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1134276-20B0-49CD-A044-E70C710243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18720" y="7509510"/>
              <a:ext cx="2324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548640</xdr:colOff>
      <xdr:row>56</xdr:row>
      <xdr:rowOff>26670</xdr:rowOff>
    </xdr:from>
    <xdr:to>
      <xdr:col>24</xdr:col>
      <xdr:colOff>510540</xdr:colOff>
      <xdr:row>71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06749B7-21F6-4385-B2A8-54E2A48576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4260" y="7524750"/>
              <a:ext cx="26212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518160</xdr:colOff>
      <xdr:row>56</xdr:row>
      <xdr:rowOff>19050</xdr:rowOff>
    </xdr:from>
    <xdr:to>
      <xdr:col>17</xdr:col>
      <xdr:colOff>381000</xdr:colOff>
      <xdr:row>71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1386E37-7C7E-4B9C-AB8F-E74269388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6480" y="7517130"/>
              <a:ext cx="25450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144780</xdr:colOff>
      <xdr:row>56</xdr:row>
      <xdr:rowOff>3810</xdr:rowOff>
    </xdr:from>
    <xdr:to>
      <xdr:col>28</xdr:col>
      <xdr:colOff>297180</xdr:colOff>
      <xdr:row>71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5A43C4D-307C-41E8-97CB-73956F707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9380" y="750189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381000</xdr:colOff>
      <xdr:row>56</xdr:row>
      <xdr:rowOff>19050</xdr:rowOff>
    </xdr:from>
    <xdr:to>
      <xdr:col>31</xdr:col>
      <xdr:colOff>312420</xdr:colOff>
      <xdr:row>71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2F1F743-6E03-4E85-8F4B-82205BF3F7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77760" y="751713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419100</xdr:colOff>
      <xdr:row>56</xdr:row>
      <xdr:rowOff>3810</xdr:rowOff>
    </xdr:from>
    <xdr:to>
      <xdr:col>34</xdr:col>
      <xdr:colOff>571500</xdr:colOff>
      <xdr:row>71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A39BB37-DDF8-4834-8224-B91379227F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79000" y="750189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38100</xdr:colOff>
      <xdr:row>56</xdr:row>
      <xdr:rowOff>19050</xdr:rowOff>
    </xdr:from>
    <xdr:to>
      <xdr:col>38</xdr:col>
      <xdr:colOff>403860</xdr:colOff>
      <xdr:row>71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F49F0D7-41C1-439C-B709-2E4F5B0995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49760" y="751713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10886</xdr:colOff>
      <xdr:row>45</xdr:row>
      <xdr:rowOff>9252</xdr:rowOff>
    </xdr:from>
    <xdr:to>
      <xdr:col>18</xdr:col>
      <xdr:colOff>342540</xdr:colOff>
      <xdr:row>63</xdr:row>
      <xdr:rowOff>53751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930C491-964D-46B8-A891-3515B22D2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3586" y="8238852"/>
              <a:ext cx="2876734" cy="333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457199</xdr:colOff>
      <xdr:row>45</xdr:row>
      <xdr:rowOff>16872</xdr:rowOff>
    </xdr:from>
    <xdr:to>
      <xdr:col>22</xdr:col>
      <xdr:colOff>261985</xdr:colOff>
      <xdr:row>63</xdr:row>
      <xdr:rowOff>67086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34615CA-1ABC-45AA-90E6-E0CB4A2660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4979" y="8246472"/>
              <a:ext cx="2890886" cy="3342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510540</xdr:colOff>
      <xdr:row>45</xdr:row>
      <xdr:rowOff>19050</xdr:rowOff>
    </xdr:from>
    <xdr:to>
      <xdr:col>14</xdr:col>
      <xdr:colOff>764361</xdr:colOff>
      <xdr:row>63</xdr:row>
      <xdr:rowOff>74979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6115417-B756-43AF-8028-2117A841F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0420" y="8248650"/>
              <a:ext cx="2890341" cy="3347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329565</xdr:colOff>
      <xdr:row>45</xdr:row>
      <xdr:rowOff>29119</xdr:rowOff>
    </xdr:from>
    <xdr:to>
      <xdr:col>27</xdr:col>
      <xdr:colOff>147958</xdr:colOff>
      <xdr:row>63</xdr:row>
      <xdr:rowOff>88858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8106259-2C82-4FF6-885E-7BF47BB044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33445" y="8258719"/>
              <a:ext cx="2866393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212000</xdr:colOff>
      <xdr:row>45</xdr:row>
      <xdr:rowOff>46264</xdr:rowOff>
    </xdr:from>
    <xdr:to>
      <xdr:col>31</xdr:col>
      <xdr:colOff>16785</xdr:colOff>
      <xdr:row>63</xdr:row>
      <xdr:rowOff>96478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53E5D7E-3080-4950-AFA0-508B5074E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63880" y="8275864"/>
              <a:ext cx="2890885" cy="3342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92528</xdr:colOff>
      <xdr:row>45</xdr:row>
      <xdr:rowOff>60142</xdr:rowOff>
    </xdr:from>
    <xdr:to>
      <xdr:col>35</xdr:col>
      <xdr:colOff>319136</xdr:colOff>
      <xdr:row>63</xdr:row>
      <xdr:rowOff>112261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2E67C8A-22E0-4AEE-BAA1-1DC9EFA3C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0508" y="8289742"/>
              <a:ext cx="2878368" cy="334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459921</xdr:colOff>
      <xdr:row>45</xdr:row>
      <xdr:rowOff>59871</xdr:rowOff>
    </xdr:from>
    <xdr:to>
      <xdr:col>40</xdr:col>
      <xdr:colOff>278313</xdr:colOff>
      <xdr:row>63</xdr:row>
      <xdr:rowOff>111990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E02426C-2A33-41C4-BC0F-00DEE28240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49661" y="8289471"/>
              <a:ext cx="2866392" cy="334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484854</xdr:colOff>
      <xdr:row>64</xdr:row>
      <xdr:rowOff>116170</xdr:rowOff>
    </xdr:from>
    <xdr:to>
      <xdr:col>14</xdr:col>
      <xdr:colOff>738675</xdr:colOff>
      <xdr:row>82</xdr:row>
      <xdr:rowOff>168288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89446D42-2FAD-E9CA-AFD3-B93E09B13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4734" y="11820490"/>
              <a:ext cx="2890341" cy="3343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40821</xdr:colOff>
      <xdr:row>64</xdr:row>
      <xdr:rowOff>168387</xdr:rowOff>
    </xdr:from>
    <xdr:to>
      <xdr:col>18</xdr:col>
      <xdr:colOff>376285</xdr:colOff>
      <xdr:row>83</xdr:row>
      <xdr:rowOff>55043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1071F0CC-CA0D-4D78-AF6E-CDB5BAD905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3521" y="11872707"/>
              <a:ext cx="2880544" cy="3361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419235</xdr:colOff>
      <xdr:row>65</xdr:row>
      <xdr:rowOff>29324</xdr:rowOff>
    </xdr:from>
    <xdr:to>
      <xdr:col>22</xdr:col>
      <xdr:colOff>224021</xdr:colOff>
      <xdr:row>83</xdr:row>
      <xdr:rowOff>89063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A05DE5EF-06E5-4A8E-8304-F6656CF5B3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7015" y="11916524"/>
              <a:ext cx="2890886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321468</xdr:colOff>
      <xdr:row>65</xdr:row>
      <xdr:rowOff>18710</xdr:rowOff>
    </xdr:from>
    <xdr:to>
      <xdr:col>27</xdr:col>
      <xdr:colOff>139861</xdr:colOff>
      <xdr:row>83</xdr:row>
      <xdr:rowOff>78449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078D83FD-07D2-4034-9E82-DA8DC5E9BB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25348" y="11905910"/>
              <a:ext cx="2866393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230028</xdr:colOff>
      <xdr:row>65</xdr:row>
      <xdr:rowOff>35720</xdr:rowOff>
    </xdr:from>
    <xdr:to>
      <xdr:col>31</xdr:col>
      <xdr:colOff>34813</xdr:colOff>
      <xdr:row>83</xdr:row>
      <xdr:rowOff>95459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BB9B6224-6139-49BE-8CAB-02CF665C4A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81908" y="11922920"/>
              <a:ext cx="2890885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100353</xdr:colOff>
      <xdr:row>65</xdr:row>
      <xdr:rowOff>16328</xdr:rowOff>
    </xdr:from>
    <xdr:to>
      <xdr:col>35</xdr:col>
      <xdr:colOff>326961</xdr:colOff>
      <xdr:row>83</xdr:row>
      <xdr:rowOff>60827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BDF8085F-D33E-48D3-B3E5-F4DE599CF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8333" y="11903528"/>
              <a:ext cx="2878368" cy="333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478358</xdr:colOff>
      <xdr:row>64</xdr:row>
      <xdr:rowOff>140766</xdr:rowOff>
    </xdr:from>
    <xdr:to>
      <xdr:col>40</xdr:col>
      <xdr:colOff>296750</xdr:colOff>
      <xdr:row>83</xdr:row>
      <xdr:rowOff>17897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A3397613-225A-466A-995A-B61C0DC9D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68098" y="11845086"/>
              <a:ext cx="2866392" cy="3351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10886</xdr:colOff>
      <xdr:row>45</xdr:row>
      <xdr:rowOff>9252</xdr:rowOff>
    </xdr:from>
    <xdr:to>
      <xdr:col>18</xdr:col>
      <xdr:colOff>342540</xdr:colOff>
      <xdr:row>63</xdr:row>
      <xdr:rowOff>53751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BF5F963-3C5B-406E-B27F-C6D30E6E8B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3586" y="8238852"/>
              <a:ext cx="2876734" cy="333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457199</xdr:colOff>
      <xdr:row>45</xdr:row>
      <xdr:rowOff>16872</xdr:rowOff>
    </xdr:from>
    <xdr:to>
      <xdr:col>22</xdr:col>
      <xdr:colOff>261985</xdr:colOff>
      <xdr:row>63</xdr:row>
      <xdr:rowOff>67086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FEACC6E-D5C5-46EE-85F6-A6127C70B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4979" y="8246472"/>
              <a:ext cx="2890886" cy="3342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510540</xdr:colOff>
      <xdr:row>45</xdr:row>
      <xdr:rowOff>19050</xdr:rowOff>
    </xdr:from>
    <xdr:to>
      <xdr:col>14</xdr:col>
      <xdr:colOff>764361</xdr:colOff>
      <xdr:row>63</xdr:row>
      <xdr:rowOff>74979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1373D24-BB8C-4356-A746-E5A1C0961E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0420" y="8248650"/>
              <a:ext cx="2890341" cy="3347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329565</xdr:colOff>
      <xdr:row>45</xdr:row>
      <xdr:rowOff>29119</xdr:rowOff>
    </xdr:from>
    <xdr:to>
      <xdr:col>27</xdr:col>
      <xdr:colOff>147958</xdr:colOff>
      <xdr:row>63</xdr:row>
      <xdr:rowOff>88858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EFE7125-2DD4-4E12-B406-3C75C26BE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33445" y="8258719"/>
              <a:ext cx="2866393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212000</xdr:colOff>
      <xdr:row>45</xdr:row>
      <xdr:rowOff>46264</xdr:rowOff>
    </xdr:from>
    <xdr:to>
      <xdr:col>31</xdr:col>
      <xdr:colOff>16785</xdr:colOff>
      <xdr:row>63</xdr:row>
      <xdr:rowOff>96478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2E1E72D-86FA-4F34-B897-601282AD7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63880" y="8275864"/>
              <a:ext cx="2890885" cy="3342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92528</xdr:colOff>
      <xdr:row>45</xdr:row>
      <xdr:rowOff>60142</xdr:rowOff>
    </xdr:from>
    <xdr:to>
      <xdr:col>35</xdr:col>
      <xdr:colOff>319136</xdr:colOff>
      <xdr:row>63</xdr:row>
      <xdr:rowOff>112261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4F261C0-8C01-421E-A2AA-106EC51224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0508" y="8289742"/>
              <a:ext cx="2878368" cy="334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459921</xdr:colOff>
      <xdr:row>45</xdr:row>
      <xdr:rowOff>59871</xdr:rowOff>
    </xdr:from>
    <xdr:to>
      <xdr:col>40</xdr:col>
      <xdr:colOff>278313</xdr:colOff>
      <xdr:row>63</xdr:row>
      <xdr:rowOff>111990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6A6F567D-4E93-4279-A631-1A2A38F2D2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49661" y="8289471"/>
              <a:ext cx="2866392" cy="334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484854</xdr:colOff>
      <xdr:row>64</xdr:row>
      <xdr:rowOff>116170</xdr:rowOff>
    </xdr:from>
    <xdr:to>
      <xdr:col>14</xdr:col>
      <xdr:colOff>738675</xdr:colOff>
      <xdr:row>82</xdr:row>
      <xdr:rowOff>168288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8A594355-6B34-410C-9A97-FD2A6FB38F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4734" y="11820490"/>
              <a:ext cx="2890341" cy="3343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40821</xdr:colOff>
      <xdr:row>64</xdr:row>
      <xdr:rowOff>168387</xdr:rowOff>
    </xdr:from>
    <xdr:to>
      <xdr:col>18</xdr:col>
      <xdr:colOff>376285</xdr:colOff>
      <xdr:row>83</xdr:row>
      <xdr:rowOff>55043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21048F05-4D46-48B6-B834-F66EC40DD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3521" y="11872707"/>
              <a:ext cx="2880544" cy="3361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419235</xdr:colOff>
      <xdr:row>65</xdr:row>
      <xdr:rowOff>29324</xdr:rowOff>
    </xdr:from>
    <xdr:to>
      <xdr:col>22</xdr:col>
      <xdr:colOff>224021</xdr:colOff>
      <xdr:row>83</xdr:row>
      <xdr:rowOff>89063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87061394-B4B0-4E01-B9F4-C7AE1A5EBB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7015" y="11916524"/>
              <a:ext cx="2890886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321468</xdr:colOff>
      <xdr:row>65</xdr:row>
      <xdr:rowOff>18710</xdr:rowOff>
    </xdr:from>
    <xdr:to>
      <xdr:col>27</xdr:col>
      <xdr:colOff>139861</xdr:colOff>
      <xdr:row>83</xdr:row>
      <xdr:rowOff>78449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32A48D14-7697-448B-8B34-82ED206CD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25348" y="11905910"/>
              <a:ext cx="2866393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230028</xdr:colOff>
      <xdr:row>65</xdr:row>
      <xdr:rowOff>35720</xdr:rowOff>
    </xdr:from>
    <xdr:to>
      <xdr:col>31</xdr:col>
      <xdr:colOff>34813</xdr:colOff>
      <xdr:row>83</xdr:row>
      <xdr:rowOff>95459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63ED73EC-463B-4287-AD38-DBFC9CD2E0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81908" y="11922920"/>
              <a:ext cx="2890885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100353</xdr:colOff>
      <xdr:row>65</xdr:row>
      <xdr:rowOff>16328</xdr:rowOff>
    </xdr:from>
    <xdr:to>
      <xdr:col>35</xdr:col>
      <xdr:colOff>326961</xdr:colOff>
      <xdr:row>83</xdr:row>
      <xdr:rowOff>60827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BCBEA339-8F9C-4B34-AA9B-AEFF9D982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8333" y="11903528"/>
              <a:ext cx="2878368" cy="333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478358</xdr:colOff>
      <xdr:row>64</xdr:row>
      <xdr:rowOff>140766</xdr:rowOff>
    </xdr:from>
    <xdr:to>
      <xdr:col>40</xdr:col>
      <xdr:colOff>296750</xdr:colOff>
      <xdr:row>83</xdr:row>
      <xdr:rowOff>17897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C33CDC5F-0637-47AA-84DC-B09CF42F22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68098" y="11845086"/>
              <a:ext cx="2866392" cy="3351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480110</xdr:colOff>
      <xdr:row>0</xdr:row>
      <xdr:rowOff>154686</xdr:rowOff>
    </xdr:from>
    <xdr:to>
      <xdr:col>14</xdr:col>
      <xdr:colOff>136766</xdr:colOff>
      <xdr:row>21</xdr:row>
      <xdr:rowOff>105873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4126CA-DE7E-E467-8821-C1C09BDF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85285" y="154686"/>
          <a:ext cx="7562406" cy="3751662"/>
        </a:xfrm>
        <a:prstGeom prst="rect">
          <a:avLst/>
        </a:prstGeom>
      </xdr:spPr>
    </xdr:pic>
    <xdr:clientData/>
  </xdr:twoCellAnchor>
  <xdr:twoCellAnchor editAs="oneCell">
    <xdr:from>
      <xdr:col>4</xdr:col>
      <xdr:colOff>422309</xdr:colOff>
      <xdr:row>26</xdr:row>
      <xdr:rowOff>130312</xdr:rowOff>
    </xdr:from>
    <xdr:to>
      <xdr:col>14</xdr:col>
      <xdr:colOff>92300</xdr:colOff>
      <xdr:row>47</xdr:row>
      <xdr:rowOff>76363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17EC751-AB2D-267D-9ADA-038797192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34078" y="4842989"/>
          <a:ext cx="7583068" cy="3761912"/>
        </a:xfrm>
        <a:prstGeom prst="rect">
          <a:avLst/>
        </a:prstGeom>
      </xdr:spPr>
    </xdr:pic>
    <xdr:clientData/>
  </xdr:twoCellAnchor>
  <xdr:twoCellAnchor editAs="oneCell">
    <xdr:from>
      <xdr:col>4</xdr:col>
      <xdr:colOff>401054</xdr:colOff>
      <xdr:row>52</xdr:row>
      <xdr:rowOff>48328</xdr:rowOff>
    </xdr:from>
    <xdr:to>
      <xdr:col>14</xdr:col>
      <xdr:colOff>55805</xdr:colOff>
      <xdr:row>72</xdr:row>
      <xdr:rowOff>168526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3D7FDB6-BE60-73CA-674E-8A4B1D18E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12823" y="9485405"/>
          <a:ext cx="7567828" cy="3754352"/>
        </a:xfrm>
        <a:prstGeom prst="rect">
          <a:avLst/>
        </a:prstGeom>
      </xdr:spPr>
    </xdr:pic>
    <xdr:clientData/>
  </xdr:twoCellAnchor>
  <xdr:twoCellAnchor editAs="oneCell">
    <xdr:from>
      <xdr:col>14</xdr:col>
      <xdr:colOff>474785</xdr:colOff>
      <xdr:row>51</xdr:row>
      <xdr:rowOff>128956</xdr:rowOff>
    </xdr:from>
    <xdr:to>
      <xdr:col>24</xdr:col>
      <xdr:colOff>121708</xdr:colOff>
      <xdr:row>72</xdr:row>
      <xdr:rowOff>63563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5CE1FE2-7EE1-A789-D996-DDCBECB49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9631" y="9319848"/>
          <a:ext cx="7560000" cy="3750469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26</xdr:row>
      <xdr:rowOff>123826</xdr:rowOff>
    </xdr:from>
    <xdr:to>
      <xdr:col>24</xdr:col>
      <xdr:colOff>597225</xdr:colOff>
      <xdr:row>47</xdr:row>
      <xdr:rowOff>73820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C95CFE6-1232-EB9F-0BF8-AE9F880C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4819651"/>
          <a:ext cx="7560000" cy="37504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10886</xdr:colOff>
      <xdr:row>40</xdr:row>
      <xdr:rowOff>9252</xdr:rowOff>
    </xdr:from>
    <xdr:to>
      <xdr:col>18</xdr:col>
      <xdr:colOff>342540</xdr:colOff>
      <xdr:row>58</xdr:row>
      <xdr:rowOff>53751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2422FD5-35E5-4B22-9734-F0A10A87CF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3586" y="8238852"/>
              <a:ext cx="2876734" cy="333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457199</xdr:colOff>
      <xdr:row>40</xdr:row>
      <xdr:rowOff>16872</xdr:rowOff>
    </xdr:from>
    <xdr:to>
      <xdr:col>22</xdr:col>
      <xdr:colOff>261985</xdr:colOff>
      <xdr:row>58</xdr:row>
      <xdr:rowOff>67086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44D1442-1881-44D7-A264-0E1B15478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4979" y="8246472"/>
              <a:ext cx="2890886" cy="3342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510540</xdr:colOff>
      <xdr:row>40</xdr:row>
      <xdr:rowOff>19050</xdr:rowOff>
    </xdr:from>
    <xdr:to>
      <xdr:col>14</xdr:col>
      <xdr:colOff>764361</xdr:colOff>
      <xdr:row>58</xdr:row>
      <xdr:rowOff>74979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23ABE90-A569-42B5-85E2-F07556A9C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0420" y="8248650"/>
              <a:ext cx="2890341" cy="3347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329565</xdr:colOff>
      <xdr:row>40</xdr:row>
      <xdr:rowOff>29119</xdr:rowOff>
    </xdr:from>
    <xdr:to>
      <xdr:col>27</xdr:col>
      <xdr:colOff>147958</xdr:colOff>
      <xdr:row>58</xdr:row>
      <xdr:rowOff>88858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8E64652-BB7E-4B07-BEBE-3D0926B974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33445" y="8258719"/>
              <a:ext cx="2866393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212000</xdr:colOff>
      <xdr:row>40</xdr:row>
      <xdr:rowOff>46264</xdr:rowOff>
    </xdr:from>
    <xdr:to>
      <xdr:col>31</xdr:col>
      <xdr:colOff>16785</xdr:colOff>
      <xdr:row>58</xdr:row>
      <xdr:rowOff>96478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379E8E5-3C79-4713-B14B-B94312C2F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63880" y="8275864"/>
              <a:ext cx="2890885" cy="3342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92528</xdr:colOff>
      <xdr:row>40</xdr:row>
      <xdr:rowOff>60142</xdr:rowOff>
    </xdr:from>
    <xdr:to>
      <xdr:col>35</xdr:col>
      <xdr:colOff>319136</xdr:colOff>
      <xdr:row>58</xdr:row>
      <xdr:rowOff>112261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C0BF087-5B7F-45E7-B597-8B0FD98EEE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0508" y="8289742"/>
              <a:ext cx="2878368" cy="334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459921</xdr:colOff>
      <xdr:row>40</xdr:row>
      <xdr:rowOff>59871</xdr:rowOff>
    </xdr:from>
    <xdr:to>
      <xdr:col>40</xdr:col>
      <xdr:colOff>278313</xdr:colOff>
      <xdr:row>58</xdr:row>
      <xdr:rowOff>111990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EEF277B-0318-41F9-93D0-5F62FFE837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49661" y="8289471"/>
              <a:ext cx="2866392" cy="3343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484854</xdr:colOff>
      <xdr:row>59</xdr:row>
      <xdr:rowOff>116170</xdr:rowOff>
    </xdr:from>
    <xdr:to>
      <xdr:col>14</xdr:col>
      <xdr:colOff>738675</xdr:colOff>
      <xdr:row>77</xdr:row>
      <xdr:rowOff>168288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16641C4E-C4BF-4971-9850-18F0913BC7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4734" y="11820490"/>
              <a:ext cx="2890341" cy="3343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40821</xdr:colOff>
      <xdr:row>59</xdr:row>
      <xdr:rowOff>168387</xdr:rowOff>
    </xdr:from>
    <xdr:to>
      <xdr:col>18</xdr:col>
      <xdr:colOff>376285</xdr:colOff>
      <xdr:row>78</xdr:row>
      <xdr:rowOff>55043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36AF9940-268F-4D7D-8BD4-C1CEE2C6CC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3521" y="11872707"/>
              <a:ext cx="2880544" cy="3361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419235</xdr:colOff>
      <xdr:row>60</xdr:row>
      <xdr:rowOff>29324</xdr:rowOff>
    </xdr:from>
    <xdr:to>
      <xdr:col>22</xdr:col>
      <xdr:colOff>224021</xdr:colOff>
      <xdr:row>78</xdr:row>
      <xdr:rowOff>89063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D1E89213-8A33-4636-824A-CED42B532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7015" y="11916524"/>
              <a:ext cx="2890886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321468</xdr:colOff>
      <xdr:row>60</xdr:row>
      <xdr:rowOff>18710</xdr:rowOff>
    </xdr:from>
    <xdr:to>
      <xdr:col>27</xdr:col>
      <xdr:colOff>139861</xdr:colOff>
      <xdr:row>78</xdr:row>
      <xdr:rowOff>78449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B4D6DCFB-10AE-4899-B682-147A98A5D4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25348" y="11905910"/>
              <a:ext cx="2866393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230028</xdr:colOff>
      <xdr:row>60</xdr:row>
      <xdr:rowOff>35720</xdr:rowOff>
    </xdr:from>
    <xdr:to>
      <xdr:col>31</xdr:col>
      <xdr:colOff>34813</xdr:colOff>
      <xdr:row>78</xdr:row>
      <xdr:rowOff>95459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9FEA2E23-42F3-4386-8C15-92D3FB975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81908" y="11922920"/>
              <a:ext cx="2890885" cy="3351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100353</xdr:colOff>
      <xdr:row>60</xdr:row>
      <xdr:rowOff>16328</xdr:rowOff>
    </xdr:from>
    <xdr:to>
      <xdr:col>35</xdr:col>
      <xdr:colOff>326961</xdr:colOff>
      <xdr:row>78</xdr:row>
      <xdr:rowOff>60827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7272C1E8-1865-4E3F-B6B4-BC45A0BF3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8333" y="11903528"/>
              <a:ext cx="2878368" cy="333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478358</xdr:colOff>
      <xdr:row>59</xdr:row>
      <xdr:rowOff>140766</xdr:rowOff>
    </xdr:from>
    <xdr:to>
      <xdr:col>40</xdr:col>
      <xdr:colOff>296750</xdr:colOff>
      <xdr:row>78</xdr:row>
      <xdr:rowOff>17897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D5A4ECE9-9AE7-41CC-A57F-99E48410B2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68098" y="11845086"/>
              <a:ext cx="2866392" cy="3351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484909</xdr:colOff>
      <xdr:row>15</xdr:row>
      <xdr:rowOff>147205</xdr:rowOff>
    </xdr:from>
    <xdr:to>
      <xdr:col>14</xdr:col>
      <xdr:colOff>187036</xdr:colOff>
      <xdr:row>30</xdr:row>
      <xdr:rowOff>179071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8E03C2-93CD-D307-82AB-DE1EB2580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297872</xdr:colOff>
      <xdr:row>16</xdr:row>
      <xdr:rowOff>13853</xdr:rowOff>
    </xdr:from>
    <xdr:to>
      <xdr:col>20</xdr:col>
      <xdr:colOff>131618</xdr:colOff>
      <xdr:row>31</xdr:row>
      <xdr:rowOff>27708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3CE641-6095-43AB-ACB6-411E5BDE8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480580</xdr:colOff>
      <xdr:row>31</xdr:row>
      <xdr:rowOff>55245</xdr:rowOff>
    </xdr:from>
    <xdr:to>
      <xdr:col>14</xdr:col>
      <xdr:colOff>182360</xdr:colOff>
      <xdr:row>46</xdr:row>
      <xdr:rowOff>74642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217A031-55A9-9FC4-CF07-08C22841D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7"/>
  <sheetViews>
    <sheetView topLeftCell="L27" zoomScale="80" zoomScaleNormal="80" workbookViewId="0">
      <selection activeCell="AD55" sqref="AD55"/>
    </sheetView>
  </sheetViews>
  <sheetFormatPr baseColWidth="10" defaultColWidth="8.88671875" defaultRowHeight="14.4" x14ac:dyDescent="0.3"/>
  <cols>
    <col min="3" max="3" width="12" bestFit="1" customWidth="1"/>
    <col min="4" max="4" width="12.6640625" bestFit="1" customWidth="1"/>
    <col min="5" max="5" width="11.77734375" bestFit="1" customWidth="1"/>
    <col min="7" max="7" width="12.88671875" bestFit="1" customWidth="1"/>
    <col min="8" max="10" width="0" hidden="1" customWidth="1"/>
    <col min="11" max="11" width="12" bestFit="1" customWidth="1"/>
    <col min="12" max="12" width="15.109375" bestFit="1" customWidth="1"/>
    <col min="13" max="13" width="12" bestFit="1" customWidth="1"/>
    <col min="14" max="14" width="11.33203125" bestFit="1" customWidth="1"/>
    <col min="15" max="15" width="12.77734375" bestFit="1" customWidth="1"/>
    <col min="16" max="16" width="12" bestFit="1" customWidth="1"/>
    <col min="17" max="17" width="14.33203125" bestFit="1" customWidth="1"/>
    <col min="18" max="18" width="10.77734375" bestFit="1" customWidth="1"/>
    <col min="19" max="21" width="12" bestFit="1" customWidth="1"/>
    <col min="22" max="22" width="9" bestFit="1" customWidth="1"/>
    <col min="25" max="25" width="9.88671875" customWidth="1"/>
    <col min="28" max="29" width="12" bestFit="1" customWidth="1"/>
    <col min="30" max="30" width="9" bestFit="1" customWidth="1"/>
    <col min="31" max="32" width="12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3" x14ac:dyDescent="0.3">
      <c r="A2" s="2">
        <v>1</v>
      </c>
      <c r="B2" s="3" t="s">
        <v>32</v>
      </c>
      <c r="C2" s="3">
        <v>3213.295919199998</v>
      </c>
      <c r="D2" s="3">
        <v>53.554931986666631</v>
      </c>
      <c r="E2" s="3" t="s">
        <v>33</v>
      </c>
      <c r="F2" s="3"/>
      <c r="G2" s="3" t="s">
        <v>34</v>
      </c>
      <c r="H2" s="3" t="s">
        <v>35</v>
      </c>
      <c r="I2" s="3"/>
      <c r="J2" s="3" t="s">
        <v>36</v>
      </c>
      <c r="K2" s="3">
        <v>2.4703174421693019E-2</v>
      </c>
      <c r="L2" s="3">
        <v>0</v>
      </c>
      <c r="M2" s="3">
        <v>2.4703174421693019E-2</v>
      </c>
      <c r="N2" s="3" t="s">
        <v>17</v>
      </c>
      <c r="O2" s="3">
        <v>212</v>
      </c>
      <c r="P2" s="10">
        <v>9.7654493694516878E-5</v>
      </c>
      <c r="Q2" s="3">
        <v>1E-4</v>
      </c>
      <c r="R2" s="3">
        <v>2000</v>
      </c>
      <c r="S2" s="14">
        <v>0.49122929896424561</v>
      </c>
      <c r="T2" s="14">
        <v>1.5270804877388759</v>
      </c>
      <c r="U2" s="14">
        <v>1.9259065797858199</v>
      </c>
      <c r="V2" s="14">
        <v>9.6469999999999993E-3</v>
      </c>
      <c r="W2" s="14">
        <v>8.5518540000000005</v>
      </c>
      <c r="X2" s="14">
        <v>7.1656500000000003</v>
      </c>
      <c r="Y2" s="14">
        <v>44.150669999999998</v>
      </c>
      <c r="Z2" s="14">
        <v>42.528283999999999</v>
      </c>
      <c r="AA2" s="14">
        <v>1E-4</v>
      </c>
      <c r="AB2" s="14">
        <v>3.3107923860306911</v>
      </c>
      <c r="AC2" s="14">
        <v>6.1597599245610413</v>
      </c>
      <c r="AD2" s="14">
        <v>1.6426339999999999</v>
      </c>
      <c r="AE2" s="14">
        <v>0.31022465459519422</v>
      </c>
      <c r="AF2" s="15">
        <v>0.54665308919257394</v>
      </c>
    </row>
    <row r="3" spans="1:33" x14ac:dyDescent="0.3">
      <c r="A3" s="5">
        <v>2</v>
      </c>
      <c r="B3" t="s">
        <v>37</v>
      </c>
      <c r="C3">
        <v>2627.882927300001</v>
      </c>
      <c r="D3">
        <v>43.798048788333347</v>
      </c>
      <c r="E3" t="s">
        <v>38</v>
      </c>
      <c r="G3" t="s">
        <v>34</v>
      </c>
      <c r="H3" t="s">
        <v>39</v>
      </c>
      <c r="J3" t="s">
        <v>36</v>
      </c>
      <c r="K3">
        <v>1.9260742925086699E-2</v>
      </c>
      <c r="L3">
        <v>0</v>
      </c>
      <c r="M3">
        <v>1.9260742925086699E-2</v>
      </c>
      <c r="N3" t="s">
        <v>17</v>
      </c>
      <c r="O3">
        <v>236</v>
      </c>
      <c r="P3" s="11">
        <v>8.0279052905500031E-5</v>
      </c>
      <c r="Q3">
        <v>1E-4</v>
      </c>
      <c r="R3">
        <v>2000</v>
      </c>
      <c r="S3">
        <v>9.5340553177132401E-2</v>
      </c>
      <c r="T3">
        <v>4.850514939296346</v>
      </c>
      <c r="U3">
        <v>1.723227134060048</v>
      </c>
      <c r="V3">
        <v>9.6469999999999993E-3</v>
      </c>
      <c r="W3">
        <v>8.5518540000000005</v>
      </c>
      <c r="X3">
        <v>7.1656500000000003</v>
      </c>
      <c r="Y3">
        <v>44.150669999999998</v>
      </c>
      <c r="Z3">
        <v>42.528283999999999</v>
      </c>
      <c r="AA3">
        <v>1E-4</v>
      </c>
      <c r="AB3">
        <v>2.416260149187003</v>
      </c>
      <c r="AC3">
        <v>9.9913447457622464</v>
      </c>
      <c r="AD3">
        <v>1.6426339999999999</v>
      </c>
      <c r="AE3">
        <v>0.58073847105624532</v>
      </c>
      <c r="AF3" s="6">
        <v>0.30876599033911339</v>
      </c>
      <c r="AG3">
        <v>1</v>
      </c>
    </row>
    <row r="4" spans="1:33" x14ac:dyDescent="0.3">
      <c r="A4" s="5">
        <v>3</v>
      </c>
      <c r="B4" t="s">
        <v>40</v>
      </c>
      <c r="C4">
        <v>2074.364482399978</v>
      </c>
      <c r="D4">
        <v>34.572741373332967</v>
      </c>
      <c r="E4" t="s">
        <v>41</v>
      </c>
      <c r="G4" t="s">
        <v>34</v>
      </c>
      <c r="H4" t="s">
        <v>42</v>
      </c>
      <c r="J4" t="s">
        <v>36</v>
      </c>
      <c r="K4">
        <v>3.0480169477601991E-2</v>
      </c>
      <c r="L4">
        <v>0</v>
      </c>
      <c r="M4">
        <v>3.0480169477601991E-2</v>
      </c>
      <c r="N4" t="s">
        <v>17</v>
      </c>
      <c r="O4">
        <v>198</v>
      </c>
      <c r="P4" s="11">
        <v>9.6730838317541095E-5</v>
      </c>
      <c r="Q4">
        <v>1E-4</v>
      </c>
      <c r="R4">
        <v>2000</v>
      </c>
      <c r="S4">
        <v>0.20492223174306631</v>
      </c>
      <c r="T4">
        <v>0.23553543382017861</v>
      </c>
      <c r="U4">
        <v>8.5432001351057245</v>
      </c>
      <c r="V4">
        <v>9.6469999999999993E-3</v>
      </c>
      <c r="W4">
        <v>8.5518540000000005</v>
      </c>
      <c r="X4">
        <v>7.1656500000000003</v>
      </c>
      <c r="Y4">
        <v>44.150669999999998</v>
      </c>
      <c r="Z4">
        <v>42.528283999999999</v>
      </c>
      <c r="AA4">
        <v>1E-4</v>
      </c>
      <c r="AB4">
        <v>2.968285090383584</v>
      </c>
      <c r="AC4">
        <v>8.643858849268673</v>
      </c>
      <c r="AD4">
        <v>1.6426339999999999</v>
      </c>
      <c r="AE4">
        <v>0.1259136526766475</v>
      </c>
      <c r="AF4" s="6">
        <v>0.59741654275506184</v>
      </c>
      <c r="AG4">
        <v>1</v>
      </c>
    </row>
    <row r="5" spans="1:33" x14ac:dyDescent="0.3">
      <c r="A5" s="5">
        <v>4</v>
      </c>
      <c r="B5" t="s">
        <v>43</v>
      </c>
      <c r="C5">
        <v>7318.5311609999917</v>
      </c>
      <c r="D5">
        <v>121.9755193499999</v>
      </c>
      <c r="E5" t="s">
        <v>44</v>
      </c>
      <c r="G5" t="s">
        <v>34</v>
      </c>
      <c r="H5" t="s">
        <v>45</v>
      </c>
      <c r="J5" t="s">
        <v>36</v>
      </c>
      <c r="K5">
        <v>1.9154109697566511E-2</v>
      </c>
      <c r="L5">
        <v>0</v>
      </c>
      <c r="M5">
        <v>1.9154109697566511E-2</v>
      </c>
      <c r="N5" t="s">
        <v>17</v>
      </c>
      <c r="O5">
        <v>170</v>
      </c>
      <c r="P5" s="11">
        <v>9.9770959924361978E-5</v>
      </c>
      <c r="Q5">
        <v>1E-4</v>
      </c>
      <c r="R5">
        <v>2000</v>
      </c>
      <c r="S5" s="16">
        <v>0.23867230327866931</v>
      </c>
      <c r="T5" s="16">
        <v>1.4789405335040691</v>
      </c>
      <c r="U5" s="16">
        <v>1.137318705859411</v>
      </c>
      <c r="V5" s="16">
        <v>9.6469999999999993E-3</v>
      </c>
      <c r="W5" s="16">
        <v>8.5518540000000005</v>
      </c>
      <c r="X5" s="16">
        <v>7.1656500000000003</v>
      </c>
      <c r="Y5" s="16">
        <v>44.150669999999998</v>
      </c>
      <c r="Z5" s="16">
        <v>42.528283999999999</v>
      </c>
      <c r="AA5" s="16">
        <v>1E-4</v>
      </c>
      <c r="AB5" s="16">
        <v>4.7487233770171322</v>
      </c>
      <c r="AC5" s="16">
        <v>5.5804137605699884</v>
      </c>
      <c r="AD5" s="16">
        <v>1.6426339999999999</v>
      </c>
      <c r="AE5" s="16">
        <v>0.35821627237548298</v>
      </c>
      <c r="AF5" s="17">
        <v>0.60828105216998085</v>
      </c>
      <c r="AG5">
        <v>0</v>
      </c>
    </row>
    <row r="6" spans="1:33" x14ac:dyDescent="0.3">
      <c r="A6" s="5">
        <v>5</v>
      </c>
      <c r="B6" t="s">
        <v>46</v>
      </c>
      <c r="C6">
        <v>7374.550728000002</v>
      </c>
      <c r="D6">
        <v>122.90917880000001</v>
      </c>
      <c r="E6" t="s">
        <v>47</v>
      </c>
      <c r="G6" t="s">
        <v>34</v>
      </c>
      <c r="H6" t="s">
        <v>48</v>
      </c>
      <c r="J6" t="s">
        <v>36</v>
      </c>
      <c r="K6">
        <v>3.4835567092652363E-2</v>
      </c>
      <c r="L6">
        <v>0</v>
      </c>
      <c r="M6">
        <v>3.4835567092652363E-2</v>
      </c>
      <c r="N6" t="s">
        <v>17</v>
      </c>
      <c r="O6">
        <v>820</v>
      </c>
      <c r="P6" s="11">
        <v>8.9495828330964918E-5</v>
      </c>
      <c r="Q6">
        <v>1E-4</v>
      </c>
      <c r="R6">
        <v>2000</v>
      </c>
      <c r="S6" s="18">
        <v>0.2215474581717817</v>
      </c>
      <c r="T6" s="16">
        <v>1.7632632704774971</v>
      </c>
      <c r="U6" s="16">
        <v>3.8822158056424811</v>
      </c>
      <c r="V6" s="16">
        <v>9.6469999999999993E-3</v>
      </c>
      <c r="W6" s="16">
        <v>8.5518540000000005</v>
      </c>
      <c r="X6" s="16">
        <v>7.1656500000000003</v>
      </c>
      <c r="Y6" s="16">
        <v>44.150669999999998</v>
      </c>
      <c r="Z6" s="16">
        <v>42.528283999999999</v>
      </c>
      <c r="AA6" s="16">
        <v>1E-4</v>
      </c>
      <c r="AB6" s="16">
        <v>2.5366740295826569</v>
      </c>
      <c r="AC6" s="16">
        <v>7.0276789570579181</v>
      </c>
      <c r="AD6" s="16">
        <v>1.6426339999999999</v>
      </c>
      <c r="AE6" s="16">
        <v>0.58980414277809312</v>
      </c>
      <c r="AF6" s="17">
        <v>0.29932090289880298</v>
      </c>
      <c r="AG6">
        <v>0</v>
      </c>
    </row>
    <row r="7" spans="1:33" x14ac:dyDescent="0.3">
      <c r="A7" s="5">
        <v>6</v>
      </c>
      <c r="B7" t="s">
        <v>49</v>
      </c>
      <c r="C7">
        <v>5694.3620688000228</v>
      </c>
      <c r="D7">
        <v>94.906034480000386</v>
      </c>
      <c r="E7" t="s">
        <v>50</v>
      </c>
      <c r="G7" t="s">
        <v>34</v>
      </c>
      <c r="H7" t="s">
        <v>51</v>
      </c>
      <c r="J7" t="s">
        <v>36</v>
      </c>
      <c r="K7">
        <v>1.2291011892049669E-2</v>
      </c>
      <c r="L7">
        <v>0</v>
      </c>
      <c r="M7">
        <v>1.2291011892049669E-2</v>
      </c>
      <c r="N7" t="s">
        <v>17</v>
      </c>
      <c r="O7">
        <v>378</v>
      </c>
      <c r="P7" s="11">
        <v>9.7765343569708419E-5</v>
      </c>
      <c r="Q7">
        <v>1E-4</v>
      </c>
      <c r="R7">
        <v>2000</v>
      </c>
      <c r="S7" s="18">
        <v>7.1046409533329261E-2</v>
      </c>
      <c r="T7" s="16">
        <v>3.3738439668184652</v>
      </c>
      <c r="U7" s="16">
        <v>2.3322033875726329</v>
      </c>
      <c r="V7" s="16">
        <v>9.6469999999999993E-3</v>
      </c>
      <c r="W7" s="16">
        <v>8.5518540000000005</v>
      </c>
      <c r="X7" s="16">
        <v>7.1656500000000003</v>
      </c>
      <c r="Y7" s="16">
        <v>44.150669999999998</v>
      </c>
      <c r="Z7" s="16">
        <v>42.528283999999999</v>
      </c>
      <c r="AA7" s="16">
        <v>1E-4</v>
      </c>
      <c r="AB7" s="16">
        <v>2.1760985567100839</v>
      </c>
      <c r="AC7" s="16">
        <v>7.3611499471052522</v>
      </c>
      <c r="AD7" s="16">
        <v>1.6426339999999999</v>
      </c>
      <c r="AE7" s="16">
        <v>0.42272115248163261</v>
      </c>
      <c r="AF7" s="17">
        <v>0.41214687694987062</v>
      </c>
      <c r="AG7">
        <v>0</v>
      </c>
    </row>
    <row r="8" spans="1:33" x14ac:dyDescent="0.3">
      <c r="A8" s="5">
        <v>7</v>
      </c>
      <c r="B8" t="s">
        <v>52</v>
      </c>
      <c r="C8">
        <v>15231.7497136</v>
      </c>
      <c r="D8">
        <v>253.86249522666671</v>
      </c>
      <c r="E8" t="s">
        <v>53</v>
      </c>
      <c r="G8" t="s">
        <v>34</v>
      </c>
      <c r="H8" t="s">
        <v>54</v>
      </c>
      <c r="J8" t="s">
        <v>36</v>
      </c>
      <c r="K8">
        <v>1.057828657334144E-2</v>
      </c>
      <c r="L8">
        <v>0</v>
      </c>
      <c r="M8">
        <v>1.057828657334144E-2</v>
      </c>
      <c r="N8" t="s">
        <v>17</v>
      </c>
      <c r="O8">
        <v>2001</v>
      </c>
      <c r="P8" s="11">
        <v>8.4329416212390856E-4</v>
      </c>
      <c r="Q8">
        <v>1E-4</v>
      </c>
      <c r="R8">
        <v>2000</v>
      </c>
      <c r="S8" s="13">
        <v>0.1297696297226717</v>
      </c>
      <c r="T8">
        <v>1.100316472242042</v>
      </c>
      <c r="U8">
        <v>3.2764644886323269</v>
      </c>
      <c r="V8">
        <v>9.6469999999999993E-3</v>
      </c>
      <c r="W8">
        <v>8.5518540000000005</v>
      </c>
      <c r="X8">
        <v>7.1656500000000003</v>
      </c>
      <c r="Y8">
        <v>44.150669999999998</v>
      </c>
      <c r="Z8">
        <v>42.528283999999999</v>
      </c>
      <c r="AA8">
        <v>1E-4</v>
      </c>
      <c r="AB8">
        <v>2.1972924445174771</v>
      </c>
      <c r="AC8">
        <v>5.6254618072746307</v>
      </c>
      <c r="AD8">
        <v>1.6426339999999999</v>
      </c>
      <c r="AE8">
        <v>0.22361832346956681</v>
      </c>
      <c r="AF8" s="6">
        <v>0.72267916407755917</v>
      </c>
      <c r="AG8">
        <v>1</v>
      </c>
    </row>
    <row r="9" spans="1:33" x14ac:dyDescent="0.3">
      <c r="A9" s="5">
        <v>8</v>
      </c>
      <c r="B9" t="s">
        <v>55</v>
      </c>
      <c r="C9">
        <v>1172.7976606000159</v>
      </c>
      <c r="D9">
        <v>19.54662767666693</v>
      </c>
      <c r="E9" t="s">
        <v>56</v>
      </c>
      <c r="G9" t="s">
        <v>34</v>
      </c>
      <c r="H9" t="s">
        <v>57</v>
      </c>
      <c r="J9" t="s">
        <v>36</v>
      </c>
      <c r="K9">
        <v>4.4329000736589151E-2</v>
      </c>
      <c r="L9">
        <v>0</v>
      </c>
      <c r="M9">
        <v>4.4329000736589151E-2</v>
      </c>
      <c r="N9" t="s">
        <v>17</v>
      </c>
      <c r="O9">
        <v>190</v>
      </c>
      <c r="P9" s="11">
        <v>9.8783236932635694E-5</v>
      </c>
      <c r="Q9">
        <v>1E-4</v>
      </c>
      <c r="R9">
        <v>2000</v>
      </c>
      <c r="S9" s="13">
        <v>0.14297876206247159</v>
      </c>
      <c r="T9">
        <v>0.4518752531907364</v>
      </c>
      <c r="U9">
        <v>2.9046386223428819</v>
      </c>
      <c r="V9">
        <v>9.6469999999999993E-3</v>
      </c>
      <c r="W9">
        <v>8.5518540000000005</v>
      </c>
      <c r="X9">
        <v>7.1656500000000003</v>
      </c>
      <c r="Y9">
        <v>44.150669999999998</v>
      </c>
      <c r="Z9">
        <v>42.528283999999999</v>
      </c>
      <c r="AA9">
        <v>1E-4</v>
      </c>
      <c r="AB9">
        <v>8.0880288968246639</v>
      </c>
      <c r="AC9">
        <v>0.10024870399304101</v>
      </c>
      <c r="AD9">
        <v>1.6426339999999999</v>
      </c>
      <c r="AE9">
        <v>0.58861342323341403</v>
      </c>
      <c r="AF9" s="6">
        <v>0.44198863174540948</v>
      </c>
      <c r="AG9">
        <v>2</v>
      </c>
    </row>
    <row r="10" spans="1:33" x14ac:dyDescent="0.3">
      <c r="A10" s="5">
        <v>9</v>
      </c>
      <c r="B10" t="s">
        <v>58</v>
      </c>
      <c r="C10">
        <v>2026.802363299998</v>
      </c>
      <c r="D10">
        <v>33.780039388333293</v>
      </c>
      <c r="E10" t="s">
        <v>59</v>
      </c>
      <c r="G10" t="s">
        <v>34</v>
      </c>
      <c r="H10" t="s">
        <v>60</v>
      </c>
      <c r="J10" t="s">
        <v>36</v>
      </c>
      <c r="K10">
        <v>2.0507348618881031E-2</v>
      </c>
      <c r="L10">
        <v>0</v>
      </c>
      <c r="M10">
        <v>2.0507348618881031E-2</v>
      </c>
      <c r="N10" t="s">
        <v>17</v>
      </c>
      <c r="O10">
        <v>301</v>
      </c>
      <c r="P10" s="11">
        <v>9.8301866082106659E-5</v>
      </c>
      <c r="Q10">
        <v>1E-4</v>
      </c>
      <c r="R10">
        <v>2000</v>
      </c>
      <c r="S10" s="18">
        <v>0.2312320810462489</v>
      </c>
      <c r="T10" s="16">
        <v>1.718642886072322</v>
      </c>
      <c r="U10" s="16">
        <v>2.997279945587831</v>
      </c>
      <c r="V10" s="16">
        <v>9.6469999999999993E-3</v>
      </c>
      <c r="W10" s="16">
        <v>8.5518540000000005</v>
      </c>
      <c r="X10" s="16">
        <v>7.1656500000000003</v>
      </c>
      <c r="Y10" s="16">
        <v>44.150669999999998</v>
      </c>
      <c r="Z10" s="16">
        <v>42.528283999999999</v>
      </c>
      <c r="AA10" s="16">
        <v>1E-4</v>
      </c>
      <c r="AB10" s="16">
        <v>2.3541994629890439</v>
      </c>
      <c r="AC10" s="16">
        <v>8.2355175536869432</v>
      </c>
      <c r="AD10" s="16">
        <v>1.6426339999999999</v>
      </c>
      <c r="AE10" s="16">
        <v>0.33402337444756869</v>
      </c>
      <c r="AF10" s="17">
        <v>0.52953327715501552</v>
      </c>
      <c r="AG10">
        <v>1</v>
      </c>
    </row>
    <row r="11" spans="1:33" x14ac:dyDescent="0.3">
      <c r="A11" s="5">
        <v>10</v>
      </c>
      <c r="B11" t="s">
        <v>61</v>
      </c>
      <c r="C11">
        <v>1530.2371418999969</v>
      </c>
      <c r="D11">
        <v>25.503952364999961</v>
      </c>
      <c r="E11" t="s">
        <v>62</v>
      </c>
      <c r="G11" t="s">
        <v>34</v>
      </c>
      <c r="H11" t="s">
        <v>63</v>
      </c>
      <c r="J11" t="s">
        <v>36</v>
      </c>
      <c r="K11">
        <v>1.1969113477333331E-2</v>
      </c>
      <c r="L11">
        <v>0</v>
      </c>
      <c r="M11">
        <v>1.1969113477333331E-2</v>
      </c>
      <c r="N11" t="s">
        <v>17</v>
      </c>
      <c r="O11">
        <v>139</v>
      </c>
      <c r="P11" s="11">
        <v>8.1968711594551565E-5</v>
      </c>
      <c r="Q11">
        <v>1E-4</v>
      </c>
      <c r="R11">
        <v>2000</v>
      </c>
      <c r="S11" s="13">
        <v>6.725487547653651E-2</v>
      </c>
      <c r="T11">
        <v>1.0803477171264659</v>
      </c>
      <c r="U11">
        <v>6.1542765257035938</v>
      </c>
      <c r="V11">
        <v>9.6469999999999993E-3</v>
      </c>
      <c r="W11">
        <v>8.5518540000000005</v>
      </c>
      <c r="X11">
        <v>7.1656500000000003</v>
      </c>
      <c r="Y11">
        <v>44.150669999999998</v>
      </c>
      <c r="Z11">
        <v>42.528283999999999</v>
      </c>
      <c r="AA11">
        <v>1E-4</v>
      </c>
      <c r="AB11">
        <v>5.9549315289016196</v>
      </c>
      <c r="AC11">
        <v>6.9661198977461716</v>
      </c>
      <c r="AD11">
        <v>1.6426339999999999</v>
      </c>
      <c r="AE11">
        <v>0.61744467411003801</v>
      </c>
      <c r="AF11" s="6">
        <v>0.31994190888732188</v>
      </c>
      <c r="AG11">
        <v>3</v>
      </c>
    </row>
    <row r="12" spans="1:33" x14ac:dyDescent="0.3">
      <c r="A12" s="5">
        <v>11</v>
      </c>
      <c r="B12" t="s">
        <v>64</v>
      </c>
      <c r="C12">
        <v>5786.3767086000007</v>
      </c>
      <c r="D12">
        <v>96.439611810000017</v>
      </c>
      <c r="E12" t="s">
        <v>65</v>
      </c>
      <c r="G12" t="s">
        <v>34</v>
      </c>
      <c r="H12" t="s">
        <v>66</v>
      </c>
      <c r="J12" t="s">
        <v>36</v>
      </c>
      <c r="K12">
        <v>2.4991082200323301E-2</v>
      </c>
      <c r="L12">
        <v>0</v>
      </c>
      <c r="M12">
        <v>2.4991082200323301E-2</v>
      </c>
      <c r="N12" t="s">
        <v>17</v>
      </c>
      <c r="O12">
        <v>283</v>
      </c>
      <c r="P12" s="11">
        <v>9.8613290712376561E-5</v>
      </c>
      <c r="Q12">
        <v>1E-4</v>
      </c>
      <c r="R12">
        <v>2000</v>
      </c>
      <c r="S12" s="18">
        <v>0.35445682383815608</v>
      </c>
      <c r="T12" s="16">
        <v>2.895646996567776</v>
      </c>
      <c r="U12" s="16">
        <v>2.4417178876658232</v>
      </c>
      <c r="V12" s="16">
        <v>9.6469999999999993E-3</v>
      </c>
      <c r="W12" s="16">
        <v>8.5518540000000005</v>
      </c>
      <c r="X12" s="16">
        <v>7.1656500000000003</v>
      </c>
      <c r="Y12" s="16">
        <v>44.150669999999998</v>
      </c>
      <c r="Z12" s="16">
        <v>42.528283999999999</v>
      </c>
      <c r="AA12" s="16">
        <v>1E-4</v>
      </c>
      <c r="AB12" s="16">
        <v>2.0720119469016951</v>
      </c>
      <c r="AC12" s="16">
        <v>8.140244314273005</v>
      </c>
      <c r="AD12" s="16">
        <v>1.6426339999999999</v>
      </c>
      <c r="AE12" s="16">
        <v>0.43603437708916032</v>
      </c>
      <c r="AF12" s="17">
        <v>0.4738792844859725</v>
      </c>
      <c r="AG12">
        <v>0</v>
      </c>
    </row>
    <row r="13" spans="1:33" x14ac:dyDescent="0.3">
      <c r="A13" s="5">
        <v>12</v>
      </c>
      <c r="B13" t="s">
        <v>67</v>
      </c>
      <c r="C13">
        <v>28266.52760229999</v>
      </c>
      <c r="D13">
        <v>471.10879337166648</v>
      </c>
      <c r="E13" t="s">
        <v>68</v>
      </c>
      <c r="G13" t="s">
        <v>34</v>
      </c>
      <c r="H13" t="s">
        <v>69</v>
      </c>
      <c r="J13" t="s">
        <v>36</v>
      </c>
      <c r="K13">
        <v>2.3834521668663389E-2</v>
      </c>
      <c r="L13">
        <v>0</v>
      </c>
      <c r="M13">
        <v>2.3834521668663389E-2</v>
      </c>
      <c r="N13" t="s">
        <v>17</v>
      </c>
      <c r="O13">
        <v>2001</v>
      </c>
      <c r="P13" s="11">
        <v>3.0236792461020489E-3</v>
      </c>
      <c r="Q13">
        <v>1E-4</v>
      </c>
      <c r="R13">
        <v>2000</v>
      </c>
      <c r="S13" s="18">
        <v>0.1937974998036483</v>
      </c>
      <c r="T13" s="16">
        <v>1.305003992855698</v>
      </c>
      <c r="U13" s="16">
        <v>2.162669253941381</v>
      </c>
      <c r="V13" s="16">
        <v>9.6469999999999993E-3</v>
      </c>
      <c r="W13" s="16">
        <v>8.5518540000000005</v>
      </c>
      <c r="X13" s="16">
        <v>7.1656500000000003</v>
      </c>
      <c r="Y13" s="16">
        <v>44.150669999999998</v>
      </c>
      <c r="Z13" s="16">
        <v>42.528283999999999</v>
      </c>
      <c r="AA13" s="16">
        <v>1E-4</v>
      </c>
      <c r="AB13" s="16">
        <v>3.5333794506754348</v>
      </c>
      <c r="AC13" s="16">
        <v>9.9584996242521857</v>
      </c>
      <c r="AD13" s="16">
        <v>1.6426339999999999</v>
      </c>
      <c r="AE13" s="16">
        <v>0.27490580520813779</v>
      </c>
      <c r="AF13" s="17">
        <v>0.59371405082027096</v>
      </c>
      <c r="AG13">
        <v>0</v>
      </c>
    </row>
    <row r="14" spans="1:33" x14ac:dyDescent="0.3">
      <c r="A14" s="5">
        <v>13</v>
      </c>
      <c r="B14" t="s">
        <v>70</v>
      </c>
      <c r="C14">
        <v>5024.0627505999873</v>
      </c>
      <c r="D14">
        <v>83.734379176666451</v>
      </c>
      <c r="E14" t="s">
        <v>71</v>
      </c>
      <c r="G14" t="s">
        <v>34</v>
      </c>
      <c r="H14" t="s">
        <v>72</v>
      </c>
      <c r="J14" t="s">
        <v>36</v>
      </c>
      <c r="K14">
        <v>4.075483124784126E-2</v>
      </c>
      <c r="L14">
        <v>0</v>
      </c>
      <c r="M14">
        <v>4.075483124784126E-2</v>
      </c>
      <c r="N14" t="s">
        <v>17</v>
      </c>
      <c r="O14">
        <v>163</v>
      </c>
      <c r="P14" s="11">
        <v>9.4957242368113107E-5</v>
      </c>
      <c r="Q14">
        <v>1E-4</v>
      </c>
      <c r="R14">
        <v>2000</v>
      </c>
      <c r="S14" s="18">
        <v>0.47507925889546099</v>
      </c>
      <c r="T14" s="16">
        <v>1.7942830917244461</v>
      </c>
      <c r="U14" s="16">
        <v>1.536080827207515</v>
      </c>
      <c r="V14" s="16">
        <v>9.6469999999999993E-3</v>
      </c>
      <c r="W14" s="16">
        <v>8.5518540000000005</v>
      </c>
      <c r="X14" s="16">
        <v>7.1656500000000003</v>
      </c>
      <c r="Y14" s="16">
        <v>44.150669999999998</v>
      </c>
      <c r="Z14" s="16">
        <v>42.528283999999999</v>
      </c>
      <c r="AA14" s="16">
        <v>1E-4</v>
      </c>
      <c r="AB14" s="16">
        <v>3.0630033486266108</v>
      </c>
      <c r="AC14" s="16">
        <v>9.8713319233272756</v>
      </c>
      <c r="AD14" s="16">
        <v>1.6426339999999999</v>
      </c>
      <c r="AE14" s="16">
        <v>0.45417614586722482</v>
      </c>
      <c r="AF14" s="17">
        <v>0.37020863228583628</v>
      </c>
      <c r="AG14">
        <v>0</v>
      </c>
    </row>
    <row r="15" spans="1:33" x14ac:dyDescent="0.3">
      <c r="A15" s="5">
        <v>14</v>
      </c>
      <c r="B15" t="s">
        <v>73</v>
      </c>
      <c r="C15">
        <v>5644.6686482999939</v>
      </c>
      <c r="D15">
        <v>94.077810804999899</v>
      </c>
      <c r="E15" t="s">
        <v>74</v>
      </c>
      <c r="G15" t="s">
        <v>34</v>
      </c>
      <c r="H15" t="s">
        <v>75</v>
      </c>
      <c r="J15" t="s">
        <v>36</v>
      </c>
      <c r="K15">
        <v>2.3393480287682549E-2</v>
      </c>
      <c r="L15">
        <v>0</v>
      </c>
      <c r="M15">
        <v>2.3393480287682549E-2</v>
      </c>
      <c r="N15" t="s">
        <v>17</v>
      </c>
      <c r="O15">
        <v>593</v>
      </c>
      <c r="P15" s="11">
        <v>9.994242130357086E-5</v>
      </c>
      <c r="Q15">
        <v>1E-4</v>
      </c>
      <c r="R15">
        <v>2000</v>
      </c>
      <c r="S15" s="16">
        <v>0.1400943037433009</v>
      </c>
      <c r="T15" s="16">
        <v>2.5765714714097321</v>
      </c>
      <c r="U15" s="16">
        <v>2.8573243947471481</v>
      </c>
      <c r="V15" s="16">
        <v>9.6469999999999993E-3</v>
      </c>
      <c r="W15" s="16">
        <v>8.5518540000000005</v>
      </c>
      <c r="X15" s="16">
        <v>7.1656500000000003</v>
      </c>
      <c r="Y15" s="16">
        <v>44.150669999999998</v>
      </c>
      <c r="Z15" s="16">
        <v>42.528283999999999</v>
      </c>
      <c r="AA15" s="16">
        <v>1E-4</v>
      </c>
      <c r="AB15" s="16">
        <v>1.945967410891327</v>
      </c>
      <c r="AC15" s="16">
        <v>9.9831868103195394</v>
      </c>
      <c r="AD15" s="16">
        <v>1.6426339999999999</v>
      </c>
      <c r="AE15" s="16">
        <v>0.34218172241272238</v>
      </c>
      <c r="AF15" s="17">
        <v>0.51117062692806203</v>
      </c>
      <c r="AG15">
        <v>0</v>
      </c>
    </row>
    <row r="16" spans="1:33" x14ac:dyDescent="0.3">
      <c r="A16" s="5">
        <v>15</v>
      </c>
      <c r="B16" t="s">
        <v>76</v>
      </c>
      <c r="C16">
        <v>3150.2680907000031</v>
      </c>
      <c r="D16">
        <v>52.504468178333383</v>
      </c>
      <c r="E16" t="s">
        <v>77</v>
      </c>
      <c r="G16" t="s">
        <v>34</v>
      </c>
      <c r="H16" t="s">
        <v>78</v>
      </c>
      <c r="J16" t="s">
        <v>36</v>
      </c>
      <c r="K16">
        <v>4.8792226569489602E-2</v>
      </c>
      <c r="L16">
        <v>0</v>
      </c>
      <c r="M16">
        <v>4.8792226569489602E-2</v>
      </c>
      <c r="N16" t="s">
        <v>17</v>
      </c>
      <c r="O16">
        <v>297</v>
      </c>
      <c r="P16" s="11">
        <v>8.8844481270512529E-5</v>
      </c>
      <c r="Q16">
        <v>1E-4</v>
      </c>
      <c r="R16">
        <v>2000</v>
      </c>
      <c r="S16">
        <v>0.73049446761428727</v>
      </c>
      <c r="T16">
        <v>0.45594540635759689</v>
      </c>
      <c r="U16">
        <v>9.8888527982992258</v>
      </c>
      <c r="V16">
        <v>9.6469999999999993E-3</v>
      </c>
      <c r="W16">
        <v>8.5518540000000005</v>
      </c>
      <c r="X16">
        <v>7.1656500000000003</v>
      </c>
      <c r="Y16">
        <v>44.150669999999998</v>
      </c>
      <c r="Z16">
        <v>42.528283999999999</v>
      </c>
      <c r="AA16">
        <v>1E-4</v>
      </c>
      <c r="AB16">
        <v>2.346502237106856</v>
      </c>
      <c r="AC16">
        <v>1.27459639025463</v>
      </c>
      <c r="AD16">
        <v>1.6426339999999999</v>
      </c>
      <c r="AE16">
        <v>0.24741693023069031</v>
      </c>
      <c r="AF16" s="6">
        <v>0.60016251494780926</v>
      </c>
      <c r="AG16">
        <v>3</v>
      </c>
    </row>
    <row r="17" spans="1:33" x14ac:dyDescent="0.3">
      <c r="A17" s="5">
        <v>16</v>
      </c>
      <c r="B17" t="s">
        <v>79</v>
      </c>
      <c r="C17">
        <v>18658.914202199991</v>
      </c>
      <c r="D17">
        <v>310.98190336999983</v>
      </c>
      <c r="E17" t="s">
        <v>80</v>
      </c>
      <c r="G17" t="s">
        <v>34</v>
      </c>
      <c r="H17" t="s">
        <v>81</v>
      </c>
      <c r="J17" t="s">
        <v>36</v>
      </c>
      <c r="K17">
        <v>1.8639392445070579E-2</v>
      </c>
      <c r="L17">
        <v>0</v>
      </c>
      <c r="M17">
        <v>1.8639392445070579E-2</v>
      </c>
      <c r="N17" t="s">
        <v>17</v>
      </c>
      <c r="O17">
        <v>2001</v>
      </c>
      <c r="P17" s="11">
        <v>2.5010509107454318E-4</v>
      </c>
      <c r="Q17">
        <v>1E-4</v>
      </c>
      <c r="R17">
        <v>2000</v>
      </c>
      <c r="S17">
        <v>0.1070697432326719</v>
      </c>
      <c r="T17">
        <v>0.84108690838249922</v>
      </c>
      <c r="U17">
        <v>1.3930663481851771</v>
      </c>
      <c r="V17">
        <v>9.6469999999999993E-3</v>
      </c>
      <c r="W17">
        <v>8.5518540000000005</v>
      </c>
      <c r="X17">
        <v>7.1656500000000003</v>
      </c>
      <c r="Y17">
        <v>44.150669999999998</v>
      </c>
      <c r="Z17">
        <v>42.528283999999999</v>
      </c>
      <c r="AA17">
        <v>1E-4</v>
      </c>
      <c r="AB17">
        <v>7.0794181127694831</v>
      </c>
      <c r="AC17">
        <v>5.1024858503608908</v>
      </c>
      <c r="AD17">
        <v>1.6426339999999999</v>
      </c>
      <c r="AE17">
        <v>0.68414137490005245</v>
      </c>
      <c r="AF17" s="6">
        <v>0.22135648461899099</v>
      </c>
      <c r="AG17">
        <v>2</v>
      </c>
    </row>
    <row r="18" spans="1:33" x14ac:dyDescent="0.3">
      <c r="A18" s="5">
        <v>17</v>
      </c>
      <c r="B18" t="s">
        <v>82</v>
      </c>
      <c r="C18">
        <v>21111.6125092</v>
      </c>
      <c r="D18">
        <v>351.86020848666669</v>
      </c>
      <c r="E18" t="s">
        <v>83</v>
      </c>
      <c r="G18" t="s">
        <v>34</v>
      </c>
      <c r="H18" t="s">
        <v>84</v>
      </c>
      <c r="J18" t="s">
        <v>36</v>
      </c>
      <c r="K18">
        <v>1.9031896178424979E-2</v>
      </c>
      <c r="L18">
        <v>0</v>
      </c>
      <c r="M18">
        <v>1.9031896178424979E-2</v>
      </c>
      <c r="N18" t="s">
        <v>17</v>
      </c>
      <c r="O18">
        <v>2001</v>
      </c>
      <c r="P18" s="11">
        <v>1.604056233756677E-4</v>
      </c>
      <c r="Q18">
        <v>1E-4</v>
      </c>
      <c r="R18">
        <v>2000</v>
      </c>
      <c r="S18">
        <v>0.13943642659037339</v>
      </c>
      <c r="T18">
        <v>1.4375904770707839</v>
      </c>
      <c r="U18">
        <v>1.17514855524946</v>
      </c>
      <c r="V18">
        <v>9.6469999999999993E-3</v>
      </c>
      <c r="W18">
        <v>8.5518540000000005</v>
      </c>
      <c r="X18">
        <v>7.1656500000000003</v>
      </c>
      <c r="Y18">
        <v>44.150669999999998</v>
      </c>
      <c r="Z18">
        <v>42.528283999999999</v>
      </c>
      <c r="AA18">
        <v>1E-4</v>
      </c>
      <c r="AB18">
        <v>6.527551914797427</v>
      </c>
      <c r="AC18">
        <v>6.2341027278068388</v>
      </c>
      <c r="AD18">
        <v>1.6426339999999999</v>
      </c>
      <c r="AE18">
        <v>0.32014943742462582</v>
      </c>
      <c r="AF18" s="6">
        <v>0.54753100362087015</v>
      </c>
      <c r="AG18">
        <v>1</v>
      </c>
    </row>
    <row r="19" spans="1:33" x14ac:dyDescent="0.3">
      <c r="A19" s="5">
        <v>18</v>
      </c>
      <c r="B19" t="s">
        <v>85</v>
      </c>
      <c r="C19">
        <v>20588.614749</v>
      </c>
      <c r="D19">
        <v>343.14357914999999</v>
      </c>
      <c r="E19" t="s">
        <v>86</v>
      </c>
      <c r="G19" t="s">
        <v>34</v>
      </c>
      <c r="H19" t="s">
        <v>87</v>
      </c>
      <c r="J19" t="s">
        <v>36</v>
      </c>
      <c r="K19">
        <v>2.4723539734177399E-2</v>
      </c>
      <c r="L19">
        <v>0</v>
      </c>
      <c r="M19">
        <v>2.4723539734177399E-2</v>
      </c>
      <c r="N19" t="s">
        <v>17</v>
      </c>
      <c r="O19">
        <v>901</v>
      </c>
      <c r="P19" s="11">
        <v>9.5859297039156189E-5</v>
      </c>
      <c r="Q19">
        <v>1E-4</v>
      </c>
      <c r="R19">
        <v>2000</v>
      </c>
      <c r="S19" s="16">
        <v>0.1957220287925758</v>
      </c>
      <c r="T19" s="16">
        <v>1.8413149759623919</v>
      </c>
      <c r="U19" s="16">
        <v>1.142151867830226</v>
      </c>
      <c r="V19" s="16">
        <v>9.6469999999999993E-3</v>
      </c>
      <c r="W19" s="16">
        <v>8.5518540000000005</v>
      </c>
      <c r="X19" s="16">
        <v>7.1656500000000003</v>
      </c>
      <c r="Y19" s="16">
        <v>44.150669999999998</v>
      </c>
      <c r="Z19" s="16">
        <v>42.528283999999999</v>
      </c>
      <c r="AA19" s="16">
        <v>1E-4</v>
      </c>
      <c r="AB19" s="16">
        <v>4.357026494323847</v>
      </c>
      <c r="AC19" s="16">
        <v>9.5224248843655364</v>
      </c>
      <c r="AD19" s="16">
        <v>1.6426339999999999</v>
      </c>
      <c r="AE19" s="16">
        <v>0.50051089460210196</v>
      </c>
      <c r="AF19" s="17">
        <v>0.33005485774102938</v>
      </c>
      <c r="AG19">
        <v>0</v>
      </c>
    </row>
    <row r="20" spans="1:33" x14ac:dyDescent="0.3">
      <c r="A20" s="5">
        <v>19</v>
      </c>
      <c r="B20" t="s">
        <v>88</v>
      </c>
      <c r="C20">
        <v>4922.2885048000026</v>
      </c>
      <c r="D20">
        <v>82.03814174666671</v>
      </c>
      <c r="E20" t="s">
        <v>89</v>
      </c>
      <c r="G20" t="s">
        <v>34</v>
      </c>
      <c r="H20" t="s">
        <v>90</v>
      </c>
      <c r="J20" t="s">
        <v>36</v>
      </c>
      <c r="K20">
        <v>2.1089386883793221E-2</v>
      </c>
      <c r="L20">
        <v>0</v>
      </c>
      <c r="M20">
        <v>2.1089386883793221E-2</v>
      </c>
      <c r="N20" t="s">
        <v>17</v>
      </c>
      <c r="O20">
        <v>602</v>
      </c>
      <c r="P20" s="11">
        <v>9.8179584203664892E-5</v>
      </c>
      <c r="Q20">
        <v>1E-4</v>
      </c>
      <c r="R20">
        <v>2000</v>
      </c>
      <c r="S20" s="16">
        <v>0.2443548171277711</v>
      </c>
      <c r="T20" s="16">
        <v>1.688151118707405</v>
      </c>
      <c r="U20" s="16">
        <v>1.1020683670286131</v>
      </c>
      <c r="V20" s="16">
        <v>9.6469999999999993E-3</v>
      </c>
      <c r="W20" s="16">
        <v>8.5518540000000005</v>
      </c>
      <c r="X20" s="16">
        <v>7.1656500000000003</v>
      </c>
      <c r="Y20" s="16">
        <v>44.150669999999998</v>
      </c>
      <c r="Z20" s="16">
        <v>42.528283999999999</v>
      </c>
      <c r="AA20" s="16">
        <v>1E-4</v>
      </c>
      <c r="AB20" s="16">
        <v>5.0732425293949914</v>
      </c>
      <c r="AC20" s="16">
        <v>9.4576715142226693</v>
      </c>
      <c r="AD20" s="16">
        <v>1.6426339999999999</v>
      </c>
      <c r="AE20" s="16">
        <v>0.5665117530365259</v>
      </c>
      <c r="AF20" s="17">
        <v>0.26939164592091119</v>
      </c>
      <c r="AG20">
        <v>0</v>
      </c>
    </row>
    <row r="21" spans="1:33" x14ac:dyDescent="0.3">
      <c r="A21" s="5">
        <v>20</v>
      </c>
      <c r="B21" t="s">
        <v>91</v>
      </c>
      <c r="C21">
        <v>1461.625356399978</v>
      </c>
      <c r="D21">
        <v>24.360422606666301</v>
      </c>
      <c r="E21" t="s">
        <v>92</v>
      </c>
      <c r="G21" t="s">
        <v>34</v>
      </c>
      <c r="H21" t="s">
        <v>93</v>
      </c>
      <c r="J21" t="s">
        <v>36</v>
      </c>
      <c r="K21">
        <v>4.6013303754210019E-2</v>
      </c>
      <c r="L21">
        <v>0</v>
      </c>
      <c r="M21">
        <v>4.6013303754210019E-2</v>
      </c>
      <c r="N21" t="s">
        <v>17</v>
      </c>
      <c r="O21">
        <v>238</v>
      </c>
      <c r="P21" s="11">
        <v>8.9850374100776699E-5</v>
      </c>
      <c r="Q21">
        <v>1E-4</v>
      </c>
      <c r="R21">
        <v>2000</v>
      </c>
      <c r="S21">
        <v>0.57384487092889358</v>
      </c>
      <c r="T21">
        <v>0.85781285332391377</v>
      </c>
      <c r="U21">
        <v>9.6762141303577565</v>
      </c>
      <c r="V21">
        <v>9.6469999999999993E-3</v>
      </c>
      <c r="W21">
        <v>8.5518540000000005</v>
      </c>
      <c r="X21">
        <v>7.1656500000000003</v>
      </c>
      <c r="Y21">
        <v>44.150669999999998</v>
      </c>
      <c r="Z21">
        <v>42.528283999999999</v>
      </c>
      <c r="AA21">
        <v>1E-4</v>
      </c>
      <c r="AB21">
        <v>2.023255349818958</v>
      </c>
      <c r="AC21">
        <v>9.705414724740308</v>
      </c>
      <c r="AD21">
        <v>1.6426339999999999</v>
      </c>
      <c r="AE21">
        <v>0.38800431601736318</v>
      </c>
      <c r="AF21" s="6">
        <v>0.53291091905389765</v>
      </c>
      <c r="AG21">
        <v>1</v>
      </c>
    </row>
    <row r="22" spans="1:33" x14ac:dyDescent="0.3">
      <c r="A22" s="5">
        <v>21</v>
      </c>
      <c r="B22" t="s">
        <v>94</v>
      </c>
      <c r="C22">
        <v>13623.75451269999</v>
      </c>
      <c r="D22">
        <v>227.06257521166651</v>
      </c>
      <c r="E22" t="s">
        <v>95</v>
      </c>
      <c r="G22" t="s">
        <v>34</v>
      </c>
      <c r="H22" t="s">
        <v>96</v>
      </c>
      <c r="J22" t="s">
        <v>36</v>
      </c>
      <c r="K22">
        <v>1.74094920806762E-2</v>
      </c>
      <c r="L22">
        <v>0</v>
      </c>
      <c r="M22">
        <v>1.74094920806762E-2</v>
      </c>
      <c r="N22" t="s">
        <v>17</v>
      </c>
      <c r="O22">
        <v>1048</v>
      </c>
      <c r="P22" s="11">
        <v>8.9820340367870069E-5</v>
      </c>
      <c r="Q22">
        <v>1E-4</v>
      </c>
      <c r="R22">
        <v>2000</v>
      </c>
      <c r="S22" s="16">
        <v>0.18432378096980079</v>
      </c>
      <c r="T22" s="16">
        <v>2.4149638557808002</v>
      </c>
      <c r="U22" s="16">
        <v>1.3649814811210901</v>
      </c>
      <c r="V22" s="16">
        <v>9.6469999999999993E-3</v>
      </c>
      <c r="W22" s="16">
        <v>8.5518540000000005</v>
      </c>
      <c r="X22" s="16">
        <v>7.1656500000000003</v>
      </c>
      <c r="Y22" s="16">
        <v>44.150669999999998</v>
      </c>
      <c r="Z22" s="16">
        <v>42.528283999999999</v>
      </c>
      <c r="AA22" s="16">
        <v>1E-4</v>
      </c>
      <c r="AB22" s="16">
        <v>3.4242520685076201</v>
      </c>
      <c r="AC22" s="16">
        <v>9.9997745736004902</v>
      </c>
      <c r="AD22" s="16">
        <v>1.6426339999999999</v>
      </c>
      <c r="AE22" s="16">
        <v>0.45171710819292482</v>
      </c>
      <c r="AF22" s="17">
        <v>0.46110374288754669</v>
      </c>
      <c r="AG22">
        <v>0</v>
      </c>
    </row>
    <row r="23" spans="1:33" x14ac:dyDescent="0.3">
      <c r="A23" s="5">
        <v>22</v>
      </c>
      <c r="B23" t="s">
        <v>97</v>
      </c>
      <c r="C23">
        <v>7449.552884899982</v>
      </c>
      <c r="D23">
        <v>124.159214748333</v>
      </c>
      <c r="E23" t="s">
        <v>98</v>
      </c>
      <c r="G23" t="s">
        <v>34</v>
      </c>
      <c r="H23" t="s">
        <v>99</v>
      </c>
      <c r="J23" t="s">
        <v>36</v>
      </c>
      <c r="K23">
        <v>3.0807317000398619E-2</v>
      </c>
      <c r="L23">
        <v>0</v>
      </c>
      <c r="M23">
        <v>3.0807317000398619E-2</v>
      </c>
      <c r="N23" t="s">
        <v>17</v>
      </c>
      <c r="O23">
        <v>933</v>
      </c>
      <c r="P23" s="11">
        <v>5.7159296964075603E-5</v>
      </c>
      <c r="Q23">
        <v>1E-4</v>
      </c>
      <c r="R23">
        <v>2000</v>
      </c>
      <c r="S23">
        <v>0.1359084087448795</v>
      </c>
      <c r="T23">
        <v>3.3038070819419989</v>
      </c>
      <c r="U23">
        <v>6.9908380786620734</v>
      </c>
      <c r="V23">
        <v>9.6469999999999993E-3</v>
      </c>
      <c r="W23">
        <v>8.5518540000000005</v>
      </c>
      <c r="X23">
        <v>7.1656500000000003</v>
      </c>
      <c r="Y23">
        <v>44.150669999999998</v>
      </c>
      <c r="Z23">
        <v>42.528283999999999</v>
      </c>
      <c r="AA23">
        <v>1E-4</v>
      </c>
      <c r="AB23">
        <v>0.65955054452455097</v>
      </c>
      <c r="AC23">
        <v>6.6176297923569738</v>
      </c>
      <c r="AD23">
        <v>1.6426339999999999</v>
      </c>
      <c r="AE23">
        <v>0.26943243745875872</v>
      </c>
      <c r="AF23" s="6">
        <v>0.63907592800598911</v>
      </c>
      <c r="AG23">
        <v>2</v>
      </c>
    </row>
    <row r="24" spans="1:33" x14ac:dyDescent="0.3">
      <c r="A24" s="5">
        <v>23</v>
      </c>
      <c r="B24" t="s">
        <v>100</v>
      </c>
      <c r="C24">
        <v>5814.1657645999803</v>
      </c>
      <c r="D24">
        <v>96.902762743333</v>
      </c>
      <c r="E24" t="s">
        <v>101</v>
      </c>
      <c r="G24" t="s">
        <v>34</v>
      </c>
      <c r="H24" t="s">
        <v>102</v>
      </c>
      <c r="J24" t="s">
        <v>36</v>
      </c>
      <c r="K24">
        <v>2.5342726527727118E-2</v>
      </c>
      <c r="L24">
        <v>0</v>
      </c>
      <c r="M24">
        <v>2.5342726527727118E-2</v>
      </c>
      <c r="N24" t="s">
        <v>17</v>
      </c>
      <c r="O24">
        <v>232</v>
      </c>
      <c r="P24" s="11">
        <v>6.0758813264849172E-5</v>
      </c>
      <c r="Q24">
        <v>1E-4</v>
      </c>
      <c r="R24">
        <v>2000</v>
      </c>
      <c r="S24">
        <v>0.65230297039469942</v>
      </c>
      <c r="T24">
        <v>2.0770307526074339</v>
      </c>
      <c r="U24">
        <v>0.78075656968564511</v>
      </c>
      <c r="V24">
        <v>9.6469999999999993E-3</v>
      </c>
      <c r="W24">
        <v>8.5518540000000005</v>
      </c>
      <c r="X24">
        <v>7.1656500000000003</v>
      </c>
      <c r="Y24">
        <v>44.150669999999998</v>
      </c>
      <c r="Z24">
        <v>42.528283999999999</v>
      </c>
      <c r="AA24">
        <v>1E-4</v>
      </c>
      <c r="AB24">
        <v>3.9263394493182999</v>
      </c>
      <c r="AC24">
        <v>7.0427777304200028</v>
      </c>
      <c r="AD24">
        <v>1.6426339999999999</v>
      </c>
      <c r="AE24">
        <v>0.53593493485641408</v>
      </c>
      <c r="AF24" s="6">
        <v>0.21139776264460561</v>
      </c>
      <c r="AG24">
        <v>1</v>
      </c>
    </row>
    <row r="25" spans="1:33" x14ac:dyDescent="0.3">
      <c r="A25" s="5">
        <v>24</v>
      </c>
      <c r="B25" t="s">
        <v>103</v>
      </c>
      <c r="C25">
        <v>4185.7595682000101</v>
      </c>
      <c r="D25">
        <v>69.762659470000173</v>
      </c>
      <c r="E25" t="s">
        <v>104</v>
      </c>
      <c r="G25" t="s">
        <v>34</v>
      </c>
      <c r="H25" t="s">
        <v>105</v>
      </c>
      <c r="J25" t="s">
        <v>36</v>
      </c>
      <c r="K25">
        <v>1.7061836719004322E-2</v>
      </c>
      <c r="L25">
        <v>0</v>
      </c>
      <c r="M25">
        <v>1.7061836719004322E-2</v>
      </c>
      <c r="N25" t="s">
        <v>17</v>
      </c>
      <c r="O25">
        <v>240</v>
      </c>
      <c r="P25" s="11">
        <v>9.7299965244742958E-5</v>
      </c>
      <c r="Q25">
        <v>1E-4</v>
      </c>
      <c r="R25">
        <v>2000</v>
      </c>
      <c r="S25">
        <v>0.132546262650129</v>
      </c>
      <c r="T25">
        <v>3.893671184911172</v>
      </c>
      <c r="U25">
        <v>0.67255490702205023</v>
      </c>
      <c r="V25">
        <v>9.6469999999999993E-3</v>
      </c>
      <c r="W25">
        <v>8.5518540000000005</v>
      </c>
      <c r="X25">
        <v>7.1656500000000003</v>
      </c>
      <c r="Y25">
        <v>44.150669999999998</v>
      </c>
      <c r="Z25">
        <v>42.528283999999999</v>
      </c>
      <c r="AA25">
        <v>1E-4</v>
      </c>
      <c r="AB25">
        <v>3.921038778767866</v>
      </c>
      <c r="AC25">
        <v>9.991795607270566</v>
      </c>
      <c r="AD25">
        <v>1.6426339999999999</v>
      </c>
      <c r="AE25">
        <v>0.57030410431709933</v>
      </c>
      <c r="AF25" s="6">
        <v>0.27539095119876622</v>
      </c>
      <c r="AG25">
        <v>1</v>
      </c>
    </row>
    <row r="26" spans="1:33" x14ac:dyDescent="0.3">
      <c r="A26" s="5">
        <v>25</v>
      </c>
      <c r="B26" t="s">
        <v>106</v>
      </c>
      <c r="C26">
        <v>4901.0364973999967</v>
      </c>
      <c r="D26">
        <v>81.683941623333283</v>
      </c>
      <c r="E26" t="s">
        <v>107</v>
      </c>
      <c r="G26" t="s">
        <v>34</v>
      </c>
      <c r="H26" t="s">
        <v>108</v>
      </c>
      <c r="J26" t="s">
        <v>36</v>
      </c>
      <c r="K26">
        <v>3.2865191206284922E-2</v>
      </c>
      <c r="L26">
        <v>0</v>
      </c>
      <c r="M26">
        <v>3.2865191206284922E-2</v>
      </c>
      <c r="N26" t="s">
        <v>17</v>
      </c>
      <c r="O26">
        <v>832</v>
      </c>
      <c r="P26" s="11">
        <v>9.7801619461440078E-5</v>
      </c>
      <c r="Q26">
        <v>1E-4</v>
      </c>
      <c r="R26">
        <v>2000</v>
      </c>
      <c r="S26" s="16">
        <v>0.19413816212667731</v>
      </c>
      <c r="T26" s="16">
        <v>3.844084630584347</v>
      </c>
      <c r="U26" s="16">
        <v>1.2368361308460261</v>
      </c>
      <c r="V26" s="16">
        <v>9.6469999999999993E-3</v>
      </c>
      <c r="W26" s="16">
        <v>8.5518540000000005</v>
      </c>
      <c r="X26" s="16">
        <v>7.1656500000000003</v>
      </c>
      <c r="Y26" s="16">
        <v>44.150669999999998</v>
      </c>
      <c r="Z26" s="16">
        <v>42.528283999999999</v>
      </c>
      <c r="AA26" s="16">
        <v>1E-4</v>
      </c>
      <c r="AB26" s="16">
        <v>2.4274124306484648</v>
      </c>
      <c r="AC26" s="16">
        <v>9.9601620773877109</v>
      </c>
      <c r="AD26" s="16">
        <v>1.6426339999999999</v>
      </c>
      <c r="AE26" s="16">
        <v>0.59968154212108837</v>
      </c>
      <c r="AF26" s="17">
        <v>0.19259834076794369</v>
      </c>
      <c r="AG26">
        <v>0</v>
      </c>
    </row>
    <row r="27" spans="1:33" x14ac:dyDescent="0.3">
      <c r="A27" s="5">
        <v>26</v>
      </c>
      <c r="B27" t="s">
        <v>109</v>
      </c>
      <c r="C27">
        <v>2074.2730203999959</v>
      </c>
      <c r="D27">
        <v>34.571217006666608</v>
      </c>
      <c r="E27" t="s">
        <v>110</v>
      </c>
      <c r="G27" t="s">
        <v>34</v>
      </c>
      <c r="H27" t="s">
        <v>111</v>
      </c>
      <c r="J27" t="s">
        <v>36</v>
      </c>
      <c r="K27">
        <v>2.158008175818216E-2</v>
      </c>
      <c r="L27">
        <v>0</v>
      </c>
      <c r="M27">
        <v>2.158008175818216E-2</v>
      </c>
      <c r="N27" t="s">
        <v>17</v>
      </c>
      <c r="O27">
        <v>277</v>
      </c>
      <c r="P27" s="11">
        <v>9.9942092145659375E-5</v>
      </c>
      <c r="Q27">
        <v>1E-4</v>
      </c>
      <c r="R27">
        <v>2000</v>
      </c>
      <c r="S27">
        <v>0.37858929172535749</v>
      </c>
      <c r="T27">
        <v>2.614446601797082</v>
      </c>
      <c r="U27">
        <v>7.184449109992201</v>
      </c>
      <c r="V27">
        <v>9.6469999999999993E-3</v>
      </c>
      <c r="W27">
        <v>8.5518540000000005</v>
      </c>
      <c r="X27">
        <v>7.1656500000000003</v>
      </c>
      <c r="Y27">
        <v>44.150669999999998</v>
      </c>
      <c r="Z27">
        <v>42.528283999999999</v>
      </c>
      <c r="AA27">
        <v>1E-4</v>
      </c>
      <c r="AB27">
        <v>1.212010681004307</v>
      </c>
      <c r="AC27">
        <v>9.9930494297369474</v>
      </c>
      <c r="AD27">
        <v>1.6426339999999999</v>
      </c>
      <c r="AE27">
        <v>0.34845443192353331</v>
      </c>
      <c r="AF27" s="6">
        <v>0.53600703040912212</v>
      </c>
      <c r="AG27">
        <v>1</v>
      </c>
    </row>
    <row r="28" spans="1:33" x14ac:dyDescent="0.3">
      <c r="A28" s="5">
        <v>27</v>
      </c>
      <c r="B28" t="s">
        <v>112</v>
      </c>
      <c r="C28">
        <v>4781.5120207</v>
      </c>
      <c r="D28">
        <v>79.691867011666673</v>
      </c>
      <c r="E28" t="s">
        <v>113</v>
      </c>
      <c r="G28" t="s">
        <v>34</v>
      </c>
      <c r="H28" t="s">
        <v>114</v>
      </c>
      <c r="J28" t="s">
        <v>36</v>
      </c>
      <c r="K28">
        <v>3.5409677587260928E-2</v>
      </c>
      <c r="L28">
        <v>0</v>
      </c>
      <c r="M28">
        <v>3.5409677587260928E-2</v>
      </c>
      <c r="N28" t="s">
        <v>17</v>
      </c>
      <c r="O28">
        <v>695</v>
      </c>
      <c r="P28" s="11">
        <v>8.8803930078873696E-5</v>
      </c>
      <c r="Q28">
        <v>1E-4</v>
      </c>
      <c r="R28">
        <v>2000</v>
      </c>
      <c r="S28">
        <v>0.17552491149223229</v>
      </c>
      <c r="T28">
        <v>4.1577551963834054</v>
      </c>
      <c r="U28">
        <v>1.4753880067750491</v>
      </c>
      <c r="V28">
        <v>9.6469999999999993E-3</v>
      </c>
      <c r="W28">
        <v>8.5518540000000005</v>
      </c>
      <c r="X28">
        <v>7.1656500000000003</v>
      </c>
      <c r="Y28">
        <v>44.150669999999998</v>
      </c>
      <c r="Z28">
        <v>42.528283999999999</v>
      </c>
      <c r="AA28">
        <v>1E-4</v>
      </c>
      <c r="AB28">
        <v>2.0675212452253708</v>
      </c>
      <c r="AC28">
        <v>9.9962269957496606</v>
      </c>
      <c r="AD28">
        <v>1.6426339999999999</v>
      </c>
      <c r="AE28">
        <v>0.56432866694182982</v>
      </c>
      <c r="AF28" s="6">
        <v>0.2082087045653517</v>
      </c>
      <c r="AG28">
        <v>1</v>
      </c>
    </row>
    <row r="29" spans="1:33" x14ac:dyDescent="0.3">
      <c r="A29" s="5">
        <v>28</v>
      </c>
      <c r="B29" t="s">
        <v>115</v>
      </c>
      <c r="C29">
        <v>2133.3174923000038</v>
      </c>
      <c r="D29">
        <v>35.555291538333407</v>
      </c>
      <c r="E29" t="s">
        <v>116</v>
      </c>
      <c r="G29" t="s">
        <v>34</v>
      </c>
      <c r="H29" t="s">
        <v>117</v>
      </c>
      <c r="J29" t="s">
        <v>36</v>
      </c>
      <c r="K29">
        <v>1.10161903996707E-2</v>
      </c>
      <c r="L29">
        <v>0</v>
      </c>
      <c r="M29">
        <v>1.10161903996707E-2</v>
      </c>
      <c r="N29" t="s">
        <v>17</v>
      </c>
      <c r="O29">
        <v>255</v>
      </c>
      <c r="P29" s="11">
        <v>9.990303220302308E-5</v>
      </c>
      <c r="Q29">
        <v>1E-4</v>
      </c>
      <c r="R29">
        <v>2000</v>
      </c>
      <c r="S29" s="16">
        <v>0.1386956396634994</v>
      </c>
      <c r="T29" s="16">
        <v>0.35096545121603412</v>
      </c>
      <c r="U29" s="16">
        <v>5.6300792481507358</v>
      </c>
      <c r="V29" s="16">
        <v>9.6469999999999993E-3</v>
      </c>
      <c r="W29" s="16">
        <v>8.5518540000000005</v>
      </c>
      <c r="X29" s="16">
        <v>7.1656500000000003</v>
      </c>
      <c r="Y29" s="16">
        <v>44.150669999999998</v>
      </c>
      <c r="Z29" s="16">
        <v>42.528283999999999</v>
      </c>
      <c r="AA29" s="16">
        <v>1E-4</v>
      </c>
      <c r="AB29" s="16">
        <v>2.48489320225287</v>
      </c>
      <c r="AC29" s="16">
        <v>4.4853468547857913</v>
      </c>
      <c r="AD29" s="16">
        <v>1.6426339999999999</v>
      </c>
      <c r="AE29" s="16">
        <v>0.13702884973579349</v>
      </c>
      <c r="AF29" s="17">
        <v>0.61565639978424436</v>
      </c>
      <c r="AG29">
        <v>0</v>
      </c>
    </row>
    <row r="30" spans="1:33" x14ac:dyDescent="0.3">
      <c r="A30" s="5">
        <v>29</v>
      </c>
      <c r="B30" t="s">
        <v>118</v>
      </c>
      <c r="C30">
        <v>1720.9336680999841</v>
      </c>
      <c r="D30">
        <v>28.6822278016664</v>
      </c>
      <c r="E30" t="s">
        <v>119</v>
      </c>
      <c r="G30" t="s">
        <v>34</v>
      </c>
      <c r="H30" t="s">
        <v>120</v>
      </c>
      <c r="J30" t="s">
        <v>36</v>
      </c>
      <c r="K30">
        <v>1.528760483283453E-2</v>
      </c>
      <c r="L30">
        <v>0</v>
      </c>
      <c r="M30">
        <v>1.528760483283453E-2</v>
      </c>
      <c r="N30" t="s">
        <v>17</v>
      </c>
      <c r="O30">
        <v>334</v>
      </c>
      <c r="P30" s="11">
        <v>9.3982948527025596E-5</v>
      </c>
      <c r="Q30">
        <v>1E-4</v>
      </c>
      <c r="R30">
        <v>2000</v>
      </c>
      <c r="S30">
        <v>5.2075001580897208E-2</v>
      </c>
      <c r="T30">
        <v>1.8137100794334391</v>
      </c>
      <c r="U30">
        <v>1.5666984959853949</v>
      </c>
      <c r="V30">
        <v>9.6469999999999993E-3</v>
      </c>
      <c r="W30">
        <v>8.5518540000000005</v>
      </c>
      <c r="X30">
        <v>7.1656500000000003</v>
      </c>
      <c r="Y30">
        <v>44.150669999999998</v>
      </c>
      <c r="Z30">
        <v>42.528283999999999</v>
      </c>
      <c r="AA30">
        <v>1E-4</v>
      </c>
      <c r="AB30">
        <v>5.8649617967851384</v>
      </c>
      <c r="AC30">
        <v>4.2056147599870002</v>
      </c>
      <c r="AD30">
        <v>1.6426339999999999</v>
      </c>
      <c r="AE30">
        <v>0.1991690382268973</v>
      </c>
      <c r="AF30" s="6">
        <v>0.79546710150877675</v>
      </c>
      <c r="AG30">
        <v>1</v>
      </c>
    </row>
    <row r="31" spans="1:33" x14ac:dyDescent="0.3">
      <c r="A31" s="5">
        <v>30</v>
      </c>
      <c r="B31" t="s">
        <v>121</v>
      </c>
      <c r="C31">
        <v>9562.8541788000148</v>
      </c>
      <c r="D31">
        <v>159.38090298000029</v>
      </c>
      <c r="E31" t="s">
        <v>122</v>
      </c>
      <c r="G31" t="s">
        <v>34</v>
      </c>
      <c r="H31" t="s">
        <v>123</v>
      </c>
      <c r="J31" t="s">
        <v>36</v>
      </c>
      <c r="K31">
        <v>3.1160231464880579E-2</v>
      </c>
      <c r="L31">
        <v>0</v>
      </c>
      <c r="M31">
        <v>3.1160231464880579E-2</v>
      </c>
      <c r="N31" t="s">
        <v>17</v>
      </c>
      <c r="O31">
        <v>1156</v>
      </c>
      <c r="P31" s="11">
        <v>9.9623439468476128E-5</v>
      </c>
      <c r="Q31">
        <v>1E-4</v>
      </c>
      <c r="R31">
        <v>2000</v>
      </c>
      <c r="S31">
        <v>0.4018388425254531</v>
      </c>
      <c r="T31">
        <v>0.61404232777015577</v>
      </c>
      <c r="U31">
        <v>2.4462735119352401</v>
      </c>
      <c r="V31">
        <v>9.6469999999999993E-3</v>
      </c>
      <c r="W31">
        <v>8.5518540000000005</v>
      </c>
      <c r="X31">
        <v>7.1656500000000003</v>
      </c>
      <c r="Y31">
        <v>44.150669999999998</v>
      </c>
      <c r="Z31">
        <v>42.528283999999999</v>
      </c>
      <c r="AA31">
        <v>1E-4</v>
      </c>
      <c r="AB31">
        <v>3.3543712389456619</v>
      </c>
      <c r="AC31">
        <v>3.2130244179909879</v>
      </c>
      <c r="AD31">
        <v>1.6426339999999999</v>
      </c>
      <c r="AE31">
        <v>0.1648831061895614</v>
      </c>
      <c r="AF31" s="6">
        <v>0.8961940821529828</v>
      </c>
      <c r="AG31">
        <v>2</v>
      </c>
    </row>
    <row r="32" spans="1:33" x14ac:dyDescent="0.3">
      <c r="A32" s="5">
        <v>31</v>
      </c>
      <c r="B32" t="s">
        <v>124</v>
      </c>
      <c r="C32">
        <v>1135.8948174999971</v>
      </c>
      <c r="D32">
        <v>18.931580291666609</v>
      </c>
      <c r="E32" t="s">
        <v>125</v>
      </c>
      <c r="G32" t="s">
        <v>34</v>
      </c>
      <c r="H32" t="s">
        <v>126</v>
      </c>
      <c r="J32" t="s">
        <v>36</v>
      </c>
      <c r="K32">
        <v>1.2418892553136759E-2</v>
      </c>
      <c r="L32">
        <v>0</v>
      </c>
      <c r="M32">
        <v>1.2418892553136759E-2</v>
      </c>
      <c r="N32" t="s">
        <v>17</v>
      </c>
      <c r="O32">
        <v>173</v>
      </c>
      <c r="P32" s="11">
        <v>9.9952482821797579E-5</v>
      </c>
      <c r="Q32">
        <v>1E-4</v>
      </c>
      <c r="R32">
        <v>2000</v>
      </c>
      <c r="S32">
        <v>9.5131472790338165E-2</v>
      </c>
      <c r="T32">
        <v>1.3514976724639101</v>
      </c>
      <c r="U32">
        <v>1.378767963387493</v>
      </c>
      <c r="V32">
        <v>9.6469999999999993E-3</v>
      </c>
      <c r="W32">
        <v>8.5518540000000005</v>
      </c>
      <c r="X32">
        <v>7.1656500000000003</v>
      </c>
      <c r="Y32">
        <v>44.150669999999998</v>
      </c>
      <c r="Z32">
        <v>42.528283999999999</v>
      </c>
      <c r="AA32">
        <v>1E-4</v>
      </c>
      <c r="AB32">
        <v>5.7046777604247936</v>
      </c>
      <c r="AC32">
        <v>6.9959496868252078</v>
      </c>
      <c r="AD32">
        <v>1.6426339999999999</v>
      </c>
      <c r="AE32">
        <v>0.27282498101157071</v>
      </c>
      <c r="AF32" s="6">
        <v>0.70647905065370864</v>
      </c>
      <c r="AG32">
        <v>1</v>
      </c>
    </row>
    <row r="33" spans="1:33" x14ac:dyDescent="0.3">
      <c r="A33" s="5">
        <v>32</v>
      </c>
      <c r="B33" t="s">
        <v>127</v>
      </c>
      <c r="C33">
        <v>9774.8308117999986</v>
      </c>
      <c r="D33">
        <v>162.9138468633333</v>
      </c>
      <c r="E33" t="s">
        <v>128</v>
      </c>
      <c r="G33" t="s">
        <v>34</v>
      </c>
      <c r="H33" t="s">
        <v>129</v>
      </c>
      <c r="J33" t="s">
        <v>36</v>
      </c>
      <c r="K33">
        <v>3.5474141892733478E-2</v>
      </c>
      <c r="L33">
        <v>0</v>
      </c>
      <c r="M33">
        <v>3.5474141892733478E-2</v>
      </c>
      <c r="N33" t="s">
        <v>17</v>
      </c>
      <c r="O33">
        <v>576</v>
      </c>
      <c r="P33" s="11">
        <v>9.7171459345381795E-5</v>
      </c>
      <c r="Q33">
        <v>1E-4</v>
      </c>
      <c r="R33">
        <v>2000</v>
      </c>
      <c r="S33" s="16">
        <v>0.32234151004415629</v>
      </c>
      <c r="T33" s="16">
        <v>1.9991316186647099</v>
      </c>
      <c r="U33" s="16">
        <v>1.4055667221445689</v>
      </c>
      <c r="V33" s="16">
        <v>9.6469999999999993E-3</v>
      </c>
      <c r="W33" s="16">
        <v>8.5518540000000005</v>
      </c>
      <c r="X33" s="16">
        <v>7.1656500000000003</v>
      </c>
      <c r="Y33" s="16">
        <v>44.150669999999998</v>
      </c>
      <c r="Z33" s="16">
        <v>42.528283999999999</v>
      </c>
      <c r="AA33" s="16">
        <v>1E-4</v>
      </c>
      <c r="AB33" s="16">
        <v>3.566065080144825</v>
      </c>
      <c r="AC33" s="16">
        <v>6.1644202880710797</v>
      </c>
      <c r="AD33" s="16">
        <v>1.6426339999999999</v>
      </c>
      <c r="AE33" s="16">
        <v>0.49660288496814692</v>
      </c>
      <c r="AF33" s="17">
        <v>0.3550808755615506</v>
      </c>
      <c r="AG33">
        <v>0</v>
      </c>
    </row>
    <row r="34" spans="1:33" x14ac:dyDescent="0.3">
      <c r="A34" s="5">
        <v>33</v>
      </c>
      <c r="B34" t="s">
        <v>130</v>
      </c>
      <c r="C34">
        <v>4253.1494631999813</v>
      </c>
      <c r="D34">
        <v>70.885824386666357</v>
      </c>
      <c r="E34" t="s">
        <v>131</v>
      </c>
      <c r="G34" t="s">
        <v>34</v>
      </c>
      <c r="H34" t="s">
        <v>132</v>
      </c>
      <c r="J34" t="s">
        <v>36</v>
      </c>
      <c r="K34">
        <v>4.4191874799525091E-2</v>
      </c>
      <c r="L34">
        <v>0</v>
      </c>
      <c r="M34">
        <v>4.4191874799525091E-2</v>
      </c>
      <c r="N34" t="s">
        <v>17</v>
      </c>
      <c r="O34">
        <v>602</v>
      </c>
      <c r="P34" s="11">
        <v>7.0307574478676885E-5</v>
      </c>
      <c r="Q34">
        <v>1E-4</v>
      </c>
      <c r="R34">
        <v>2000</v>
      </c>
      <c r="S34">
        <v>0.65962327440448321</v>
      </c>
      <c r="T34">
        <v>4.4482599897689132</v>
      </c>
      <c r="U34">
        <v>5.0098081134271073</v>
      </c>
      <c r="V34">
        <v>9.6469999999999993E-3</v>
      </c>
      <c r="W34">
        <v>8.5518540000000005</v>
      </c>
      <c r="X34">
        <v>7.1656500000000003</v>
      </c>
      <c r="Y34">
        <v>44.150669999999998</v>
      </c>
      <c r="Z34">
        <v>42.528283999999999</v>
      </c>
      <c r="AA34">
        <v>1E-4</v>
      </c>
      <c r="AB34">
        <v>0.85232557149720689</v>
      </c>
      <c r="AC34">
        <v>9.9968986282814321</v>
      </c>
      <c r="AD34">
        <v>1.6426339999999999</v>
      </c>
      <c r="AE34">
        <v>0.41213678145615201</v>
      </c>
      <c r="AF34" s="6">
        <v>0.62659620795105597</v>
      </c>
      <c r="AG34">
        <v>2</v>
      </c>
    </row>
    <row r="35" spans="1:33" x14ac:dyDescent="0.3">
      <c r="A35" s="5">
        <v>34</v>
      </c>
      <c r="B35" t="s">
        <v>133</v>
      </c>
      <c r="C35">
        <v>2399.5497187000001</v>
      </c>
      <c r="D35">
        <v>39.992495311666673</v>
      </c>
      <c r="E35" t="s">
        <v>134</v>
      </c>
      <c r="G35" t="s">
        <v>34</v>
      </c>
      <c r="H35" t="s">
        <v>135</v>
      </c>
      <c r="J35" t="s">
        <v>36</v>
      </c>
      <c r="K35">
        <v>2.718230423091713E-2</v>
      </c>
      <c r="L35">
        <v>0</v>
      </c>
      <c r="M35">
        <v>2.718230423091713E-2</v>
      </c>
      <c r="N35" t="s">
        <v>17</v>
      </c>
      <c r="O35">
        <v>429</v>
      </c>
      <c r="P35" s="11">
        <v>9.9275834797104382E-5</v>
      </c>
      <c r="Q35">
        <v>1E-4</v>
      </c>
      <c r="R35">
        <v>2000</v>
      </c>
      <c r="S35">
        <v>5.9172438699637071E-2</v>
      </c>
      <c r="T35">
        <v>1.1187936440531281</v>
      </c>
      <c r="U35">
        <v>8.1363479882043865</v>
      </c>
      <c r="V35">
        <v>9.6469999999999993E-3</v>
      </c>
      <c r="W35">
        <v>8.5518540000000005</v>
      </c>
      <c r="X35">
        <v>7.1656500000000003</v>
      </c>
      <c r="Y35">
        <v>44.150669999999998</v>
      </c>
      <c r="Z35">
        <v>42.528283999999999</v>
      </c>
      <c r="AA35">
        <v>1E-4</v>
      </c>
      <c r="AB35">
        <v>7.3468442786090424</v>
      </c>
      <c r="AC35">
        <v>1.537417305912113</v>
      </c>
      <c r="AD35">
        <v>1.6426339999999999</v>
      </c>
      <c r="AE35">
        <v>0.72999562173552102</v>
      </c>
      <c r="AF35" s="6">
        <v>0.25443496210767719</v>
      </c>
      <c r="AG35">
        <v>4</v>
      </c>
    </row>
    <row r="36" spans="1:33" x14ac:dyDescent="0.3">
      <c r="A36" s="5">
        <v>35</v>
      </c>
      <c r="B36" t="s">
        <v>136</v>
      </c>
      <c r="C36">
        <v>1066.8020373000179</v>
      </c>
      <c r="D36">
        <v>17.780033955000299</v>
      </c>
      <c r="E36" t="s">
        <v>137</v>
      </c>
      <c r="G36" t="s">
        <v>34</v>
      </c>
      <c r="H36" t="s">
        <v>138</v>
      </c>
      <c r="J36" t="s">
        <v>36</v>
      </c>
      <c r="K36">
        <v>2.0386779345943549E-2</v>
      </c>
      <c r="L36">
        <v>0</v>
      </c>
      <c r="M36">
        <v>2.0386779345943549E-2</v>
      </c>
      <c r="N36" t="s">
        <v>17</v>
      </c>
      <c r="O36">
        <v>238</v>
      </c>
      <c r="P36" s="11">
        <v>9.7799410588132412E-5</v>
      </c>
      <c r="Q36">
        <v>1E-4</v>
      </c>
      <c r="R36">
        <v>2000</v>
      </c>
      <c r="S36" s="16">
        <v>0.1146204907562238</v>
      </c>
      <c r="T36" s="16">
        <v>1.2822339503207389</v>
      </c>
      <c r="U36" s="16">
        <v>3.3997732462060068</v>
      </c>
      <c r="V36" s="16">
        <v>9.6469999999999993E-3</v>
      </c>
      <c r="W36" s="16">
        <v>8.5518540000000005</v>
      </c>
      <c r="X36" s="16">
        <v>7.1656500000000003</v>
      </c>
      <c r="Y36" s="16">
        <v>44.150669999999998</v>
      </c>
      <c r="Z36" s="16">
        <v>42.528283999999999</v>
      </c>
      <c r="AA36" s="16">
        <v>1E-4</v>
      </c>
      <c r="AB36" s="16">
        <v>2.1198737333854409</v>
      </c>
      <c r="AC36" s="16">
        <v>5.6678882673044573</v>
      </c>
      <c r="AD36" s="16">
        <v>1.6426339999999999</v>
      </c>
      <c r="AE36" s="16">
        <v>0.28948593086548219</v>
      </c>
      <c r="AF36" s="17">
        <v>0.50893350559284523</v>
      </c>
      <c r="AG36">
        <v>0</v>
      </c>
    </row>
    <row r="37" spans="1:33" x14ac:dyDescent="0.3">
      <c r="A37" s="5">
        <v>36</v>
      </c>
      <c r="B37" t="s">
        <v>139</v>
      </c>
      <c r="C37">
        <v>2294.2875112000038</v>
      </c>
      <c r="D37">
        <v>38.238125186666728</v>
      </c>
      <c r="E37" t="s">
        <v>140</v>
      </c>
      <c r="G37" t="s">
        <v>34</v>
      </c>
      <c r="H37" t="s">
        <v>141</v>
      </c>
      <c r="J37" t="s">
        <v>36</v>
      </c>
      <c r="K37">
        <v>4.2882129783374037E-2</v>
      </c>
      <c r="L37">
        <v>0</v>
      </c>
      <c r="M37">
        <v>4.2882129783374037E-2</v>
      </c>
      <c r="N37" t="s">
        <v>17</v>
      </c>
      <c r="O37">
        <v>334</v>
      </c>
      <c r="P37" s="11">
        <v>9.8295988836569261E-5</v>
      </c>
      <c r="Q37">
        <v>1E-4</v>
      </c>
      <c r="R37">
        <v>2000</v>
      </c>
      <c r="S37">
        <v>0.67356462769414749</v>
      </c>
      <c r="T37">
        <v>0.57388886362052272</v>
      </c>
      <c r="U37">
        <v>3.6170171670026692</v>
      </c>
      <c r="V37">
        <v>9.6469999999999993E-3</v>
      </c>
      <c r="W37">
        <v>8.5518540000000005</v>
      </c>
      <c r="X37">
        <v>7.1656500000000003</v>
      </c>
      <c r="Y37">
        <v>44.150669999999998</v>
      </c>
      <c r="Z37">
        <v>42.528283999999999</v>
      </c>
      <c r="AA37">
        <v>1E-4</v>
      </c>
      <c r="AB37">
        <v>2.336016883177165</v>
      </c>
      <c r="AC37">
        <v>3.7032441470755901</v>
      </c>
      <c r="AD37">
        <v>1.6426339999999999</v>
      </c>
      <c r="AE37">
        <v>0.13360113217007261</v>
      </c>
      <c r="AF37" s="6">
        <v>0.96574481316584826</v>
      </c>
      <c r="AG37">
        <v>3</v>
      </c>
    </row>
    <row r="38" spans="1:33" x14ac:dyDescent="0.3">
      <c r="A38" s="5">
        <v>37</v>
      </c>
      <c r="B38" t="s">
        <v>142</v>
      </c>
      <c r="C38">
        <v>2741.5197531999729</v>
      </c>
      <c r="D38">
        <v>45.691995886666213</v>
      </c>
      <c r="E38" t="s">
        <v>143</v>
      </c>
      <c r="G38" t="s">
        <v>34</v>
      </c>
      <c r="H38" t="s">
        <v>144</v>
      </c>
      <c r="J38" t="s">
        <v>36</v>
      </c>
      <c r="K38">
        <v>3.6462153739501069E-2</v>
      </c>
      <c r="L38">
        <v>0</v>
      </c>
      <c r="M38">
        <v>3.6462153739501069E-2</v>
      </c>
      <c r="N38" t="s">
        <v>17</v>
      </c>
      <c r="O38">
        <v>473</v>
      </c>
      <c r="P38" s="11">
        <v>8.4768421213510278E-5</v>
      </c>
      <c r="Q38">
        <v>1E-4</v>
      </c>
      <c r="R38">
        <v>2000</v>
      </c>
      <c r="S38">
        <v>0.1004392902415865</v>
      </c>
      <c r="T38">
        <v>4.3800332930190624</v>
      </c>
      <c r="U38">
        <v>0.63567516180043038</v>
      </c>
      <c r="V38">
        <v>9.6469999999999993E-3</v>
      </c>
      <c r="W38">
        <v>8.5518540000000005</v>
      </c>
      <c r="X38">
        <v>7.1656500000000003</v>
      </c>
      <c r="Y38">
        <v>44.150669999999998</v>
      </c>
      <c r="Z38">
        <v>42.528283999999999</v>
      </c>
      <c r="AA38">
        <v>1E-4</v>
      </c>
      <c r="AB38">
        <v>2.9512050224277568</v>
      </c>
      <c r="AC38">
        <v>9.9091926377554085</v>
      </c>
      <c r="AD38">
        <v>1.6426339999999999</v>
      </c>
      <c r="AE38">
        <v>0.60218660480016539</v>
      </c>
      <c r="AF38" s="6">
        <v>0.14604862905263499</v>
      </c>
      <c r="AG38">
        <v>1</v>
      </c>
    </row>
    <row r="39" spans="1:33" x14ac:dyDescent="0.3">
      <c r="A39" s="5">
        <v>38</v>
      </c>
      <c r="B39" t="s">
        <v>145</v>
      </c>
      <c r="C39">
        <v>7975.0046935999999</v>
      </c>
      <c r="D39">
        <v>132.91674489333329</v>
      </c>
      <c r="E39" t="s">
        <v>146</v>
      </c>
      <c r="G39" t="s">
        <v>34</v>
      </c>
      <c r="H39" t="s">
        <v>147</v>
      </c>
      <c r="J39" t="s">
        <v>36</v>
      </c>
      <c r="K39">
        <v>3.260815693577121E-2</v>
      </c>
      <c r="L39">
        <v>0</v>
      </c>
      <c r="M39">
        <v>3.260815693577121E-2</v>
      </c>
      <c r="N39" t="s">
        <v>17</v>
      </c>
      <c r="O39">
        <v>384</v>
      </c>
      <c r="P39" s="11">
        <v>8.300816004010434E-5</v>
      </c>
      <c r="Q39">
        <v>1E-4</v>
      </c>
      <c r="R39">
        <v>2000</v>
      </c>
      <c r="S39" s="16">
        <v>0.17452147863439391</v>
      </c>
      <c r="T39" s="16">
        <v>2.6757654567366602</v>
      </c>
      <c r="U39" s="16">
        <v>0.81752363490333246</v>
      </c>
      <c r="V39" s="16">
        <v>9.6469999999999993E-3</v>
      </c>
      <c r="W39" s="16">
        <v>8.5518540000000005</v>
      </c>
      <c r="X39" s="16">
        <v>7.1656500000000003</v>
      </c>
      <c r="Y39" s="16">
        <v>44.150669999999998</v>
      </c>
      <c r="Z39" s="16">
        <v>42.528283999999999</v>
      </c>
      <c r="AA39" s="16">
        <v>1E-4</v>
      </c>
      <c r="AB39" s="16">
        <v>4.6126561510747308</v>
      </c>
      <c r="AC39" s="16">
        <v>9.9983768878087265</v>
      </c>
      <c r="AD39" s="16">
        <v>1.6426339999999999</v>
      </c>
      <c r="AE39" s="16">
        <v>0.59436989934675821</v>
      </c>
      <c r="AF39" s="17">
        <v>0.25578825498710922</v>
      </c>
      <c r="AG39">
        <v>0</v>
      </c>
    </row>
    <row r="40" spans="1:33" x14ac:dyDescent="0.3">
      <c r="A40" s="5">
        <v>39</v>
      </c>
      <c r="B40" t="s">
        <v>148</v>
      </c>
      <c r="C40">
        <v>2399.7903314</v>
      </c>
      <c r="D40">
        <v>39.996505523333333</v>
      </c>
      <c r="E40" t="s">
        <v>149</v>
      </c>
      <c r="G40" t="s">
        <v>34</v>
      </c>
      <c r="H40" t="s">
        <v>150</v>
      </c>
      <c r="J40" t="s">
        <v>36</v>
      </c>
      <c r="K40">
        <v>3.9624340522111133E-2</v>
      </c>
      <c r="L40">
        <v>0</v>
      </c>
      <c r="M40">
        <v>3.9624340522111133E-2</v>
      </c>
      <c r="N40" t="s">
        <v>17</v>
      </c>
      <c r="O40">
        <v>329</v>
      </c>
      <c r="P40" s="11">
        <v>6.4767194554348203E-5</v>
      </c>
      <c r="Q40">
        <v>1E-4</v>
      </c>
      <c r="R40">
        <v>2000</v>
      </c>
      <c r="S40" s="16">
        <v>0.10965967707491669</v>
      </c>
      <c r="T40" s="16">
        <v>2.955778978407098</v>
      </c>
      <c r="U40" s="16">
        <v>2.1872378522803202</v>
      </c>
      <c r="V40" s="16">
        <v>9.6469999999999993E-3</v>
      </c>
      <c r="W40" s="16">
        <v>8.5518540000000005</v>
      </c>
      <c r="X40" s="16">
        <v>7.1656500000000003</v>
      </c>
      <c r="Y40" s="16">
        <v>44.150669999999998</v>
      </c>
      <c r="Z40" s="16">
        <v>42.528283999999999</v>
      </c>
      <c r="AA40" s="16">
        <v>1E-4</v>
      </c>
      <c r="AB40" s="16">
        <v>2.655314943580394</v>
      </c>
      <c r="AC40" s="16">
        <v>9.000361131175044</v>
      </c>
      <c r="AD40" s="16">
        <v>1.6426339999999999</v>
      </c>
      <c r="AE40" s="16">
        <v>0.39369906643429131</v>
      </c>
      <c r="AF40" s="17">
        <v>0.47154905671617331</v>
      </c>
      <c r="AG40">
        <v>0</v>
      </c>
    </row>
    <row r="41" spans="1:33" x14ac:dyDescent="0.3">
      <c r="A41" s="5">
        <v>40</v>
      </c>
      <c r="B41" t="s">
        <v>151</v>
      </c>
      <c r="C41">
        <v>2150.890547700023</v>
      </c>
      <c r="D41">
        <v>35.84817579500038</v>
      </c>
      <c r="E41" t="s">
        <v>152</v>
      </c>
      <c r="G41" t="s">
        <v>34</v>
      </c>
      <c r="H41" t="s">
        <v>153</v>
      </c>
      <c r="J41" t="s">
        <v>36</v>
      </c>
      <c r="K41">
        <v>4.3342612504510339E-2</v>
      </c>
      <c r="L41">
        <v>0</v>
      </c>
      <c r="M41">
        <v>4.3342612504510339E-2</v>
      </c>
      <c r="N41" t="s">
        <v>17</v>
      </c>
      <c r="O41">
        <v>200</v>
      </c>
      <c r="P41" s="11">
        <v>9.8636369727282558E-5</v>
      </c>
      <c r="Q41">
        <v>1E-4</v>
      </c>
      <c r="R41">
        <v>2000</v>
      </c>
      <c r="S41">
        <v>0.74623867474013073</v>
      </c>
      <c r="T41">
        <v>0.38323233714267452</v>
      </c>
      <c r="U41">
        <v>5.189603952608044</v>
      </c>
      <c r="V41">
        <v>9.6469999999999993E-3</v>
      </c>
      <c r="W41">
        <v>8.5518540000000005</v>
      </c>
      <c r="X41">
        <v>7.1656500000000003</v>
      </c>
      <c r="Y41">
        <v>44.150669999999998</v>
      </c>
      <c r="Z41">
        <v>42.528283999999999</v>
      </c>
      <c r="AA41">
        <v>1E-4</v>
      </c>
      <c r="AB41">
        <v>4.1150732908538794</v>
      </c>
      <c r="AC41">
        <v>2.7688933293668101</v>
      </c>
      <c r="AD41">
        <v>1.6426339999999999</v>
      </c>
      <c r="AE41">
        <v>0.32734243950322528</v>
      </c>
      <c r="AF41" s="6">
        <v>0.53762638576624711</v>
      </c>
      <c r="AG41">
        <v>2</v>
      </c>
    </row>
    <row r="42" spans="1:33" x14ac:dyDescent="0.3">
      <c r="A42" s="5">
        <v>41</v>
      </c>
      <c r="B42" t="s">
        <v>154</v>
      </c>
      <c r="C42">
        <v>801.18145249999361</v>
      </c>
      <c r="D42">
        <v>13.353024208333229</v>
      </c>
      <c r="E42" t="s">
        <v>155</v>
      </c>
      <c r="G42" t="s">
        <v>34</v>
      </c>
      <c r="H42" t="s">
        <v>156</v>
      </c>
      <c r="J42" t="s">
        <v>36</v>
      </c>
      <c r="K42">
        <v>2.8191474311919811E-2</v>
      </c>
      <c r="L42">
        <v>0</v>
      </c>
      <c r="M42">
        <v>2.8191474311919811E-2</v>
      </c>
      <c r="N42" t="s">
        <v>17</v>
      </c>
      <c r="O42">
        <v>121</v>
      </c>
      <c r="P42" s="11">
        <v>9.4974927254155758E-5</v>
      </c>
      <c r="Q42">
        <v>1E-4</v>
      </c>
      <c r="R42">
        <v>2000</v>
      </c>
      <c r="S42">
        <v>0.1100526452209012</v>
      </c>
      <c r="T42">
        <v>4.4252058770277394</v>
      </c>
      <c r="U42">
        <v>0.28387301061526288</v>
      </c>
      <c r="V42">
        <v>9.6469999999999993E-3</v>
      </c>
      <c r="W42">
        <v>8.5518540000000005</v>
      </c>
      <c r="X42">
        <v>7.1656500000000003</v>
      </c>
      <c r="Y42">
        <v>44.150669999999998</v>
      </c>
      <c r="Z42">
        <v>42.528283999999999</v>
      </c>
      <c r="AA42">
        <v>1E-4</v>
      </c>
      <c r="AB42">
        <v>3.181449095176371</v>
      </c>
      <c r="AC42">
        <v>6.3954667337460576</v>
      </c>
      <c r="AD42">
        <v>1.6426339999999999</v>
      </c>
      <c r="AE42">
        <v>0.5828094220948038</v>
      </c>
      <c r="AF42" s="6">
        <v>0.1000003012946015</v>
      </c>
      <c r="AG42">
        <v>1</v>
      </c>
    </row>
    <row r="43" spans="1:33" x14ac:dyDescent="0.3">
      <c r="A43" s="5">
        <v>42</v>
      </c>
      <c r="B43" t="s">
        <v>157</v>
      </c>
      <c r="C43">
        <v>5815.0278800000087</v>
      </c>
      <c r="D43">
        <v>96.917131333333472</v>
      </c>
      <c r="E43" t="s">
        <v>158</v>
      </c>
      <c r="G43" t="s">
        <v>34</v>
      </c>
      <c r="H43" t="s">
        <v>159</v>
      </c>
      <c r="J43" t="s">
        <v>36</v>
      </c>
      <c r="K43">
        <v>1.9750574773232939E-2</v>
      </c>
      <c r="L43">
        <v>0</v>
      </c>
      <c r="M43">
        <v>1.9750574773232939E-2</v>
      </c>
      <c r="N43" t="s">
        <v>17</v>
      </c>
      <c r="O43">
        <v>598</v>
      </c>
      <c r="P43" s="11">
        <v>9.9638696878770399E-5</v>
      </c>
      <c r="Q43">
        <v>1E-4</v>
      </c>
      <c r="R43">
        <v>2000</v>
      </c>
      <c r="S43">
        <v>0.12605952622185199</v>
      </c>
      <c r="T43">
        <v>0.80898060182916187</v>
      </c>
      <c r="U43">
        <v>1.6505552513407891</v>
      </c>
      <c r="V43">
        <v>9.6469999999999993E-3</v>
      </c>
      <c r="W43">
        <v>8.5518540000000005</v>
      </c>
      <c r="X43">
        <v>7.1656500000000003</v>
      </c>
      <c r="Y43">
        <v>44.150669999999998</v>
      </c>
      <c r="Z43">
        <v>42.528283999999999</v>
      </c>
      <c r="AA43">
        <v>1E-4</v>
      </c>
      <c r="AB43">
        <v>6.3464584858163198</v>
      </c>
      <c r="AC43">
        <v>7.2077376194969194</v>
      </c>
      <c r="AD43">
        <v>1.6426339999999999</v>
      </c>
      <c r="AE43">
        <v>0.60668647705468071</v>
      </c>
      <c r="AF43" s="6">
        <v>0.25304596166561011</v>
      </c>
      <c r="AG43">
        <v>2</v>
      </c>
    </row>
    <row r="44" spans="1:33" x14ac:dyDescent="0.3">
      <c r="A44" s="5">
        <v>43</v>
      </c>
      <c r="B44" t="s">
        <v>160</v>
      </c>
      <c r="C44">
        <v>8238.3212055999902</v>
      </c>
      <c r="D44">
        <v>137.3053534266665</v>
      </c>
      <c r="E44" t="s">
        <v>161</v>
      </c>
      <c r="G44" t="s">
        <v>34</v>
      </c>
      <c r="H44" t="s">
        <v>162</v>
      </c>
      <c r="J44" t="s">
        <v>36</v>
      </c>
      <c r="K44">
        <v>1.7189471988636629E-2</v>
      </c>
      <c r="L44">
        <v>0</v>
      </c>
      <c r="M44">
        <v>1.7189471988636629E-2</v>
      </c>
      <c r="N44" t="s">
        <v>17</v>
      </c>
      <c r="O44">
        <v>841</v>
      </c>
      <c r="P44" s="11">
        <v>9.3389779026669382E-5</v>
      </c>
      <c r="Q44">
        <v>1E-4</v>
      </c>
      <c r="R44">
        <v>2000</v>
      </c>
      <c r="S44" s="16">
        <v>7.8883809403219776E-2</v>
      </c>
      <c r="T44" s="16">
        <v>1.989834202392571</v>
      </c>
      <c r="U44" s="16">
        <v>3.1129349638889261</v>
      </c>
      <c r="V44" s="16">
        <v>9.6469999999999993E-3</v>
      </c>
      <c r="W44" s="16">
        <v>8.5518540000000005</v>
      </c>
      <c r="X44" s="16">
        <v>7.1656500000000003</v>
      </c>
      <c r="Y44" s="16">
        <v>44.150669999999998</v>
      </c>
      <c r="Z44" s="16">
        <v>42.528283999999999</v>
      </c>
      <c r="AA44" s="16">
        <v>1E-4</v>
      </c>
      <c r="AB44" s="16">
        <v>2.461554532498798</v>
      </c>
      <c r="AC44" s="16">
        <v>5.9148049494740906</v>
      </c>
      <c r="AD44" s="16">
        <v>1.6426339999999999</v>
      </c>
      <c r="AE44" s="16">
        <v>0.31198441176541619</v>
      </c>
      <c r="AF44" s="17">
        <v>0.52920428717387114</v>
      </c>
      <c r="AG44">
        <v>0</v>
      </c>
    </row>
    <row r="45" spans="1:33" x14ac:dyDescent="0.3">
      <c r="A45" s="5">
        <v>44</v>
      </c>
      <c r="B45" t="s">
        <v>163</v>
      </c>
      <c r="C45">
        <v>1713.080664100009</v>
      </c>
      <c r="D45">
        <v>28.551344401666821</v>
      </c>
      <c r="E45" t="s">
        <v>164</v>
      </c>
      <c r="G45" t="s">
        <v>34</v>
      </c>
      <c r="H45" t="s">
        <v>165</v>
      </c>
      <c r="J45" t="s">
        <v>36</v>
      </c>
      <c r="K45">
        <v>2.5491717737612211E-2</v>
      </c>
      <c r="L45">
        <v>0</v>
      </c>
      <c r="M45">
        <v>2.5491717737612211E-2</v>
      </c>
      <c r="N45" t="s">
        <v>17</v>
      </c>
      <c r="O45">
        <v>277</v>
      </c>
      <c r="P45" s="11">
        <v>8.3926602150845891E-5</v>
      </c>
      <c r="Q45">
        <v>1E-4</v>
      </c>
      <c r="R45">
        <v>2000</v>
      </c>
      <c r="S45">
        <v>0.59027284533395008</v>
      </c>
      <c r="T45">
        <v>0.72967253887345185</v>
      </c>
      <c r="U45">
        <v>5.2004075887518528</v>
      </c>
      <c r="V45">
        <v>9.6469999999999993E-3</v>
      </c>
      <c r="W45">
        <v>8.5518540000000005</v>
      </c>
      <c r="X45">
        <v>7.1656500000000003</v>
      </c>
      <c r="Y45">
        <v>44.150669999999998</v>
      </c>
      <c r="Z45">
        <v>42.528283999999999</v>
      </c>
      <c r="AA45">
        <v>1E-4</v>
      </c>
      <c r="AB45">
        <v>1.992707408782082</v>
      </c>
      <c r="AC45">
        <v>3.7815374174516858</v>
      </c>
      <c r="AD45">
        <v>1.6426339999999999</v>
      </c>
      <c r="AE45">
        <v>0.2097603282626237</v>
      </c>
      <c r="AF45" s="6">
        <v>0.64192898817429889</v>
      </c>
      <c r="AG45">
        <v>2</v>
      </c>
    </row>
    <row r="46" spans="1:33" x14ac:dyDescent="0.3">
      <c r="A46" s="5">
        <v>45</v>
      </c>
      <c r="B46" t="s">
        <v>166</v>
      </c>
      <c r="C46">
        <v>2684.0802187000231</v>
      </c>
      <c r="D46">
        <v>44.734670311667053</v>
      </c>
      <c r="E46" t="s">
        <v>167</v>
      </c>
      <c r="G46" t="s">
        <v>34</v>
      </c>
      <c r="H46" t="s">
        <v>168</v>
      </c>
      <c r="J46" t="s">
        <v>36</v>
      </c>
      <c r="K46">
        <v>4.2273376204148103E-2</v>
      </c>
      <c r="L46">
        <v>0</v>
      </c>
      <c r="M46">
        <v>4.2273376204148103E-2</v>
      </c>
      <c r="N46" t="s">
        <v>17</v>
      </c>
      <c r="O46">
        <v>521</v>
      </c>
      <c r="P46" s="11">
        <v>9.9063731022885248E-5</v>
      </c>
      <c r="Q46">
        <v>1E-4</v>
      </c>
      <c r="R46">
        <v>2000</v>
      </c>
      <c r="S46">
        <v>0.57618409879936505</v>
      </c>
      <c r="T46">
        <v>1.7666765324772551</v>
      </c>
      <c r="U46">
        <v>1.797508525699276</v>
      </c>
      <c r="V46">
        <v>9.6469999999999993E-3</v>
      </c>
      <c r="W46">
        <v>8.5518540000000005</v>
      </c>
      <c r="X46">
        <v>7.1656500000000003</v>
      </c>
      <c r="Y46">
        <v>44.150669999999998</v>
      </c>
      <c r="Z46">
        <v>42.528283999999999</v>
      </c>
      <c r="AA46">
        <v>1E-4</v>
      </c>
      <c r="AB46">
        <v>2.5905178027153131</v>
      </c>
      <c r="AC46">
        <v>1.6255871023536539</v>
      </c>
      <c r="AD46">
        <v>1.6426339999999999</v>
      </c>
      <c r="AE46">
        <v>0.37283516593569932</v>
      </c>
      <c r="AF46" s="6">
        <v>0.54050542640947186</v>
      </c>
      <c r="AG46">
        <v>2</v>
      </c>
    </row>
    <row r="47" spans="1:33" s="28" customFormat="1" x14ac:dyDescent="0.3">
      <c r="A47" s="36">
        <v>46</v>
      </c>
      <c r="B47" s="28" t="s">
        <v>169</v>
      </c>
      <c r="C47" s="28">
        <v>7619.5466100000194</v>
      </c>
      <c r="D47" s="28">
        <v>126.99244350000031</v>
      </c>
      <c r="E47" s="28" t="s">
        <v>170</v>
      </c>
      <c r="G47" s="28" t="s">
        <v>34</v>
      </c>
      <c r="H47" s="28" t="s">
        <v>171</v>
      </c>
      <c r="J47" s="28" t="s">
        <v>36</v>
      </c>
      <c r="K47" s="28">
        <v>6.5581507067984292E-3</v>
      </c>
      <c r="L47" s="28">
        <v>0</v>
      </c>
      <c r="M47" s="28">
        <v>6.5581507067984292E-3</v>
      </c>
      <c r="N47" s="28" t="s">
        <v>17</v>
      </c>
      <c r="O47" s="28">
        <v>792</v>
      </c>
      <c r="P47" s="37">
        <v>9.6617142006042938E-5</v>
      </c>
      <c r="Q47" s="28">
        <v>1E-4</v>
      </c>
      <c r="R47" s="28">
        <v>2000</v>
      </c>
      <c r="S47" s="28">
        <v>0.104120612735653</v>
      </c>
      <c r="T47" s="28">
        <v>0.69987284158389496</v>
      </c>
      <c r="U47" s="28">
        <v>5.2848496376444301</v>
      </c>
      <c r="V47" s="28">
        <v>9.6469999999999993E-3</v>
      </c>
      <c r="W47" s="28">
        <v>8.5518540000000005</v>
      </c>
      <c r="X47" s="28">
        <v>7.1656500000000003</v>
      </c>
      <c r="Y47" s="28">
        <v>44.150669999999998</v>
      </c>
      <c r="Z47" s="28">
        <v>42.528283999999999</v>
      </c>
      <c r="AA47" s="28">
        <v>1E-4</v>
      </c>
      <c r="AB47" s="28">
        <v>4.5556791886315899</v>
      </c>
      <c r="AC47" s="28">
        <v>9.5958568691340407</v>
      </c>
      <c r="AD47" s="28">
        <v>1.6426339999999999</v>
      </c>
      <c r="AE47" s="28">
        <v>0.48521752171947302</v>
      </c>
      <c r="AF47" s="29">
        <v>0.42199546060608201</v>
      </c>
      <c r="AG47" s="28">
        <v>0</v>
      </c>
    </row>
    <row r="48" spans="1:33" x14ac:dyDescent="0.3">
      <c r="A48" s="5">
        <v>47</v>
      </c>
      <c r="B48" t="s">
        <v>172</v>
      </c>
      <c r="C48">
        <v>11826.519732199989</v>
      </c>
      <c r="D48">
        <v>197.1086622033331</v>
      </c>
      <c r="E48" t="s">
        <v>173</v>
      </c>
      <c r="G48" t="s">
        <v>34</v>
      </c>
      <c r="H48" t="s">
        <v>174</v>
      </c>
      <c r="J48" t="s">
        <v>36</v>
      </c>
      <c r="K48">
        <v>1.4965088059449979E-2</v>
      </c>
      <c r="L48">
        <v>0</v>
      </c>
      <c r="M48">
        <v>1.4965088059449979E-2</v>
      </c>
      <c r="N48" t="s">
        <v>17</v>
      </c>
      <c r="O48">
        <v>1095</v>
      </c>
      <c r="P48" s="11">
        <v>5.2661424167271222E-5</v>
      </c>
      <c r="Q48">
        <v>1E-4</v>
      </c>
      <c r="R48">
        <v>2000</v>
      </c>
      <c r="S48">
        <v>0.1532570313800844</v>
      </c>
      <c r="T48">
        <v>4.2858153856020049</v>
      </c>
      <c r="U48">
        <v>2.536698845023122</v>
      </c>
      <c r="V48">
        <v>9.6469999999999993E-3</v>
      </c>
      <c r="W48">
        <v>8.5518540000000005</v>
      </c>
      <c r="X48">
        <v>7.1656500000000003</v>
      </c>
      <c r="Y48">
        <v>44.150669999999998</v>
      </c>
      <c r="Z48">
        <v>42.528283999999999</v>
      </c>
      <c r="AA48">
        <v>1E-4</v>
      </c>
      <c r="AB48">
        <v>1.7310537172207709</v>
      </c>
      <c r="AC48">
        <v>5.6974743605757574</v>
      </c>
      <c r="AD48">
        <v>1.6426339999999999</v>
      </c>
      <c r="AE48">
        <v>0.65340654941529197</v>
      </c>
      <c r="AF48" s="6">
        <v>0.22357163673787189</v>
      </c>
      <c r="AG48">
        <v>2</v>
      </c>
    </row>
    <row r="49" spans="1:33" x14ac:dyDescent="0.3">
      <c r="A49" s="5">
        <v>48</v>
      </c>
      <c r="B49" t="s">
        <v>175</v>
      </c>
      <c r="C49">
        <v>20699.013515099999</v>
      </c>
      <c r="D49">
        <v>344.98355858500003</v>
      </c>
      <c r="E49" t="s">
        <v>176</v>
      </c>
      <c r="G49" t="s">
        <v>34</v>
      </c>
      <c r="H49" t="s">
        <v>177</v>
      </c>
      <c r="J49" t="s">
        <v>36</v>
      </c>
      <c r="K49">
        <v>3.1852124648471078E-2</v>
      </c>
      <c r="L49">
        <v>0</v>
      </c>
      <c r="M49">
        <v>3.1852124648471078E-2</v>
      </c>
      <c r="N49" t="s">
        <v>17</v>
      </c>
      <c r="O49">
        <v>2001</v>
      </c>
      <c r="P49" s="11">
        <v>5.7801786159527798E-4</v>
      </c>
      <c r="Q49">
        <v>1E-4</v>
      </c>
      <c r="R49">
        <v>2000</v>
      </c>
      <c r="S49">
        <v>0.25132863463943572</v>
      </c>
      <c r="T49">
        <v>1.865459686429324</v>
      </c>
      <c r="U49">
        <v>2.1127642458299349</v>
      </c>
      <c r="V49">
        <v>9.6469999999999993E-3</v>
      </c>
      <c r="W49">
        <v>8.5518540000000005</v>
      </c>
      <c r="X49">
        <v>7.1656500000000003</v>
      </c>
      <c r="Y49">
        <v>44.150669999999998</v>
      </c>
      <c r="Z49">
        <v>42.528283999999999</v>
      </c>
      <c r="AA49">
        <v>1E-4</v>
      </c>
      <c r="AB49">
        <v>3.8341718214547158</v>
      </c>
      <c r="AC49">
        <v>9.9996869851837449</v>
      </c>
      <c r="AD49">
        <v>1.6426339999999999</v>
      </c>
      <c r="AE49">
        <v>0.67902187981733841</v>
      </c>
      <c r="AF49" s="6">
        <v>0.22568589986582061</v>
      </c>
      <c r="AG49">
        <v>1</v>
      </c>
    </row>
    <row r="50" spans="1:33" x14ac:dyDescent="0.3">
      <c r="A50" s="5">
        <v>49</v>
      </c>
      <c r="B50" t="s">
        <v>178</v>
      </c>
      <c r="C50">
        <v>4765.2219034000009</v>
      </c>
      <c r="D50">
        <v>79.420365056666682</v>
      </c>
      <c r="E50" t="s">
        <v>179</v>
      </c>
      <c r="G50" t="s">
        <v>34</v>
      </c>
      <c r="H50" t="s">
        <v>180</v>
      </c>
      <c r="J50" t="s">
        <v>36</v>
      </c>
      <c r="K50">
        <v>5.2961521648141233E-2</v>
      </c>
      <c r="L50">
        <v>0</v>
      </c>
      <c r="M50">
        <v>5.2961521648141233E-2</v>
      </c>
      <c r="N50" t="s">
        <v>17</v>
      </c>
      <c r="O50">
        <v>80</v>
      </c>
      <c r="P50" s="11">
        <v>9.4732513920650326E-5</v>
      </c>
      <c r="Q50">
        <v>1E-4</v>
      </c>
      <c r="R50">
        <v>2000</v>
      </c>
      <c r="S50">
        <v>0.1404611143406049</v>
      </c>
      <c r="T50">
        <v>3.6442763566270329</v>
      </c>
      <c r="U50">
        <v>1.0005176361906339E-2</v>
      </c>
      <c r="V50">
        <v>9.6469999999999993E-3</v>
      </c>
      <c r="W50">
        <v>8.5518540000000005</v>
      </c>
      <c r="X50">
        <v>7.1656500000000003</v>
      </c>
      <c r="Y50">
        <v>44.150669999999998</v>
      </c>
      <c r="Z50">
        <v>42.528283999999999</v>
      </c>
      <c r="AA50">
        <v>1E-4</v>
      </c>
      <c r="AB50">
        <v>9.9988425803023429</v>
      </c>
      <c r="AC50">
        <v>8.3897582583256849</v>
      </c>
      <c r="AD50">
        <v>1.6426339999999999</v>
      </c>
      <c r="AE50">
        <v>0.72077261606258325</v>
      </c>
      <c r="AF50" s="6">
        <v>0.1000001033488027</v>
      </c>
      <c r="AG50">
        <v>2</v>
      </c>
    </row>
    <row r="51" spans="1:33" x14ac:dyDescent="0.3">
      <c r="A51" s="7">
        <v>50</v>
      </c>
      <c r="B51" s="8" t="s">
        <v>181</v>
      </c>
      <c r="C51" s="8">
        <v>23030.39911909998</v>
      </c>
      <c r="D51" s="8">
        <v>383.83998531833299</v>
      </c>
      <c r="E51" s="8" t="s">
        <v>182</v>
      </c>
      <c r="F51" s="8"/>
      <c r="G51" s="8" t="s">
        <v>34</v>
      </c>
      <c r="H51" s="8" t="s">
        <v>183</v>
      </c>
      <c r="I51" s="8"/>
      <c r="J51" s="8" t="s">
        <v>36</v>
      </c>
      <c r="K51" s="8">
        <v>2.795408067721538E-2</v>
      </c>
      <c r="L51" s="8">
        <v>0</v>
      </c>
      <c r="M51" s="8">
        <v>2.795408067721538E-2</v>
      </c>
      <c r="N51" s="8" t="s">
        <v>17</v>
      </c>
      <c r="O51" s="8">
        <v>1080</v>
      </c>
      <c r="P51" s="12">
        <v>2.8808391582529199E-5</v>
      </c>
      <c r="Q51" s="8">
        <v>1E-4</v>
      </c>
      <c r="R51" s="8">
        <v>2000</v>
      </c>
      <c r="S51" s="19">
        <v>0.18926287318219631</v>
      </c>
      <c r="T51" s="19">
        <v>2.1183458303736882</v>
      </c>
      <c r="U51" s="19">
        <v>0.7208950141080489</v>
      </c>
      <c r="V51" s="19">
        <v>9.6469999999999993E-3</v>
      </c>
      <c r="W51" s="19">
        <v>8.5518540000000005</v>
      </c>
      <c r="X51" s="19">
        <v>7.1656500000000003</v>
      </c>
      <c r="Y51" s="19">
        <v>44.150669999999998</v>
      </c>
      <c r="Z51" s="19">
        <v>42.528283999999999</v>
      </c>
      <c r="AA51" s="19">
        <v>1E-4</v>
      </c>
      <c r="AB51" s="19">
        <v>4.8733462729098376</v>
      </c>
      <c r="AC51" s="19">
        <v>9.9971870927159774</v>
      </c>
      <c r="AD51" s="19">
        <v>1.6426339999999999</v>
      </c>
      <c r="AE51" s="19">
        <v>0.54004090963627938</v>
      </c>
      <c r="AF51" s="20">
        <v>0.2783457776910146</v>
      </c>
      <c r="AG51">
        <v>0</v>
      </c>
    </row>
    <row r="53" spans="1:33" x14ac:dyDescent="0.3">
      <c r="K53">
        <f>MIN(K2:K51)</f>
        <v>6.5581507067984292E-3</v>
      </c>
      <c r="S53">
        <f>AVERAGE(S2:S51)</f>
        <v>0.25738966483908388</v>
      </c>
      <c r="T53">
        <f t="shared" ref="T53:AF53" si="0">AVERAGE(T2:T51)</f>
        <v>2.0372200214497731</v>
      </c>
      <c r="U53">
        <f t="shared" si="0"/>
        <v>3.041773907244171</v>
      </c>
      <c r="AB53">
        <f t="shared" si="0"/>
        <v>3.6388165954822811</v>
      </c>
      <c r="AC53">
        <f t="shared" si="0"/>
        <v>7.0958930969653684</v>
      </c>
      <c r="AE53">
        <f t="shared" si="0"/>
        <v>0.43242131484063928</v>
      </c>
      <c r="AF53">
        <f t="shared" si="0"/>
        <v>0.44421546170083981</v>
      </c>
    </row>
    <row r="54" spans="1:33" x14ac:dyDescent="0.3">
      <c r="S54">
        <f>STDEVA(S2:S51)</f>
        <v>0.20065849855659187</v>
      </c>
      <c r="T54">
        <f t="shared" ref="T54:AF54" si="1">STDEVA(T2:T51)</f>
        <v>1.2892875694282213</v>
      </c>
      <c r="U54">
        <f t="shared" si="1"/>
        <v>2.4960476819747823</v>
      </c>
      <c r="AB54">
        <f t="shared" si="1"/>
        <v>1.9437923710138838</v>
      </c>
      <c r="AC54">
        <f t="shared" si="1"/>
        <v>2.7954726459813446</v>
      </c>
      <c r="AE54">
        <f t="shared" si="1"/>
        <v>0.16826592298232318</v>
      </c>
      <c r="AF54">
        <f t="shared" si="1"/>
        <v>0.20131704862738331</v>
      </c>
    </row>
    <row r="55" spans="1:33" x14ac:dyDescent="0.3">
      <c r="S55">
        <f>MEDIAN(S2:S51)</f>
        <v>0.17992434623101655</v>
      </c>
      <c r="T55">
        <f t="shared" ref="T55:AF55" si="2">MEDIAN(T2:T51)</f>
        <v>1.7804798121008507</v>
      </c>
      <c r="U55">
        <f t="shared" si="2"/>
        <v>2.1749535531108508</v>
      </c>
      <c r="AB55">
        <f t="shared" si="2"/>
        <v>3.1222262219014909</v>
      </c>
      <c r="AC55">
        <f t="shared" si="2"/>
        <v>7.1252576749584611</v>
      </c>
      <c r="AE55">
        <f t="shared" si="2"/>
        <v>0.42937776478539647</v>
      </c>
      <c r="AF55">
        <f t="shared" si="2"/>
        <v>0.46632639980185997</v>
      </c>
    </row>
    <row r="75" spans="25:33" x14ac:dyDescent="0.3">
      <c r="Z75" s="34" t="s">
        <v>18</v>
      </c>
      <c r="AA75" s="34" t="s">
        <v>19</v>
      </c>
      <c r="AB75" s="34" t="s">
        <v>20</v>
      </c>
      <c r="AC75" s="34" t="s">
        <v>27</v>
      </c>
      <c r="AD75" s="34" t="s">
        <v>28</v>
      </c>
      <c r="AE75" s="34" t="s">
        <v>30</v>
      </c>
      <c r="AF75" s="34" t="s">
        <v>31</v>
      </c>
    </row>
    <row r="76" spans="25:33" x14ac:dyDescent="0.3">
      <c r="Y76" t="s">
        <v>194</v>
      </c>
      <c r="Z76" s="35">
        <f t="shared" ref="Z76:AB77" si="3">S53</f>
        <v>0.25738966483908388</v>
      </c>
      <c r="AA76" s="35">
        <f t="shared" si="3"/>
        <v>2.0372200214497731</v>
      </c>
      <c r="AB76" s="35">
        <f t="shared" si="3"/>
        <v>3.041773907244171</v>
      </c>
      <c r="AC76" s="35">
        <f>AB53</f>
        <v>3.6388165954822811</v>
      </c>
      <c r="AD76" s="35">
        <f>AC53</f>
        <v>7.0958930969653684</v>
      </c>
      <c r="AE76" s="35">
        <f>AE53</f>
        <v>0.43242131484063928</v>
      </c>
      <c r="AF76" s="35">
        <f>AF53</f>
        <v>0.44421546170083981</v>
      </c>
      <c r="AG76" s="33"/>
    </row>
    <row r="77" spans="25:33" x14ac:dyDescent="0.3">
      <c r="Y77" t="s">
        <v>195</v>
      </c>
      <c r="Z77" s="35">
        <f t="shared" si="3"/>
        <v>0.20065849855659187</v>
      </c>
      <c r="AA77" s="35">
        <f t="shared" si="3"/>
        <v>1.2892875694282213</v>
      </c>
      <c r="AB77" s="35">
        <f t="shared" si="3"/>
        <v>2.4960476819747823</v>
      </c>
      <c r="AC77" s="35">
        <f>AB54</f>
        <v>1.9437923710138838</v>
      </c>
      <c r="AD77" s="35">
        <f>AC54</f>
        <v>2.7954726459813446</v>
      </c>
      <c r="AE77" s="35">
        <f>AE54</f>
        <v>0.16826592298232318</v>
      </c>
      <c r="AF77" s="35">
        <f>AF54</f>
        <v>0.20131704862738331</v>
      </c>
      <c r="AG77" s="33"/>
    </row>
  </sheetData>
  <conditionalFormatting sqref="P2:P51">
    <cfRule type="cellIs" dxfId="42" priority="20" operator="greaterThan">
      <formula>0.0001</formula>
    </cfRule>
  </conditionalFormatting>
  <conditionalFormatting sqref="S2:S51">
    <cfRule type="top10" dxfId="41" priority="8" percent="1" rank="15"/>
  </conditionalFormatting>
  <conditionalFormatting sqref="T2:T51">
    <cfRule type="top10" dxfId="40" priority="7" percent="1" rank="15"/>
  </conditionalFormatting>
  <conditionalFormatting sqref="U2:U51">
    <cfRule type="top10" dxfId="39" priority="6" percent="1" rank="15"/>
  </conditionalFormatting>
  <conditionalFormatting sqref="AB2:AB51">
    <cfRule type="top10" dxfId="38" priority="5" percent="1" rank="15"/>
  </conditionalFormatting>
  <conditionalFormatting sqref="AC2:AC51">
    <cfRule type="top10" dxfId="37" priority="1" percent="1" bottom="1" rank="15"/>
  </conditionalFormatting>
  <conditionalFormatting sqref="AE2:AE51">
    <cfRule type="top10" dxfId="36" priority="3" percent="1" rank="15"/>
  </conditionalFormatting>
  <conditionalFormatting sqref="AF2:AF51">
    <cfRule type="top10" dxfId="35" priority="2" percent="1" rank="15"/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6613-F55F-4B3B-BA65-706A25AB561D}">
  <sheetPr filterMode="1"/>
  <dimension ref="A1:AG54"/>
  <sheetViews>
    <sheetView topLeftCell="N58" zoomScale="90" zoomScaleNormal="90" workbookViewId="0">
      <selection activeCell="Q80" sqref="Q80"/>
    </sheetView>
  </sheetViews>
  <sheetFormatPr baseColWidth="10" defaultColWidth="8.88671875" defaultRowHeight="14.4" x14ac:dyDescent="0.3"/>
  <cols>
    <col min="2" max="2" width="19.77734375" bestFit="1" customWidth="1"/>
    <col min="3" max="3" width="12" bestFit="1" customWidth="1"/>
    <col min="4" max="4" width="12.6640625" bestFit="1" customWidth="1"/>
    <col min="5" max="5" width="11.77734375" bestFit="1" customWidth="1"/>
    <col min="7" max="7" width="12.88671875" bestFit="1" customWidth="1"/>
    <col min="8" max="10" width="0" hidden="1" customWidth="1"/>
    <col min="11" max="11" width="12" bestFit="1" customWidth="1"/>
    <col min="12" max="12" width="15.109375" bestFit="1" customWidth="1"/>
    <col min="13" max="13" width="12" bestFit="1" customWidth="1"/>
    <col min="14" max="14" width="11.33203125" bestFit="1" customWidth="1"/>
    <col min="15" max="15" width="12.77734375" bestFit="1" customWidth="1"/>
    <col min="16" max="16" width="12" bestFit="1" customWidth="1"/>
    <col min="17" max="17" width="14.33203125" bestFit="1" customWidth="1"/>
    <col min="18" max="18" width="10.77734375" bestFit="1" customWidth="1"/>
    <col min="19" max="21" width="12" bestFit="1" customWidth="1"/>
    <col min="22" max="22" width="9" bestFit="1" customWidth="1"/>
    <col min="28" max="29" width="12" bestFit="1" customWidth="1"/>
    <col min="30" max="30" width="9" bestFit="1" customWidth="1"/>
    <col min="31" max="32" width="12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3" x14ac:dyDescent="0.3">
      <c r="A2" s="2">
        <v>1</v>
      </c>
      <c r="B2" s="3" t="s">
        <v>32</v>
      </c>
      <c r="C2" s="3">
        <v>3213.295919199998</v>
      </c>
      <c r="D2" s="3">
        <v>53.554931986666631</v>
      </c>
      <c r="E2" s="3" t="s">
        <v>33</v>
      </c>
      <c r="F2" s="3"/>
      <c r="G2" s="3" t="s">
        <v>34</v>
      </c>
      <c r="H2" s="3" t="s">
        <v>35</v>
      </c>
      <c r="I2" s="3"/>
      <c r="J2" s="3" t="s">
        <v>36</v>
      </c>
      <c r="K2" s="3">
        <v>2.4703174421693019E-2</v>
      </c>
      <c r="L2" s="3">
        <v>0</v>
      </c>
      <c r="M2" s="3">
        <v>2.4703174421693019E-2</v>
      </c>
      <c r="N2" s="3" t="s">
        <v>17</v>
      </c>
      <c r="O2" s="3">
        <v>212</v>
      </c>
      <c r="P2" s="10">
        <v>9.7654493694516878E-5</v>
      </c>
      <c r="Q2" s="3">
        <v>1E-4</v>
      </c>
      <c r="R2" s="3">
        <v>2000</v>
      </c>
      <c r="S2" s="22">
        <v>0.49122929896424561</v>
      </c>
      <c r="T2" s="14">
        <v>1.5270804877388759</v>
      </c>
      <c r="U2" s="14">
        <v>1.9259065797858199</v>
      </c>
      <c r="V2" s="14">
        <v>9.6469999999999993E-3</v>
      </c>
      <c r="W2" s="14">
        <v>8.5518540000000005</v>
      </c>
      <c r="X2" s="14">
        <v>7.1656500000000003</v>
      </c>
      <c r="Y2" s="14">
        <v>44.150669999999998</v>
      </c>
      <c r="Z2" s="14">
        <v>42.528283999999999</v>
      </c>
      <c r="AA2" s="14">
        <v>1E-4</v>
      </c>
      <c r="AB2" s="14">
        <v>3.3107923860306911</v>
      </c>
      <c r="AC2" s="14">
        <v>6.1597599245610413</v>
      </c>
      <c r="AD2" s="14">
        <v>1.6426339999999999</v>
      </c>
      <c r="AE2" s="14">
        <v>0.31022465459519422</v>
      </c>
      <c r="AF2" s="15">
        <v>0.54665308919257394</v>
      </c>
    </row>
    <row r="3" spans="1:33" x14ac:dyDescent="0.3">
      <c r="A3" s="5">
        <v>2</v>
      </c>
      <c r="B3" t="s">
        <v>37</v>
      </c>
      <c r="C3">
        <v>2627.882927300001</v>
      </c>
      <c r="D3">
        <v>43.798048788333347</v>
      </c>
      <c r="E3" t="s">
        <v>38</v>
      </c>
      <c r="G3" t="s">
        <v>34</v>
      </c>
      <c r="H3" t="s">
        <v>39</v>
      </c>
      <c r="J3" t="s">
        <v>36</v>
      </c>
      <c r="K3">
        <v>1.9260742925086699E-2</v>
      </c>
      <c r="L3">
        <v>0</v>
      </c>
      <c r="M3">
        <v>1.9260742925086699E-2</v>
      </c>
      <c r="N3" t="s">
        <v>17</v>
      </c>
      <c r="O3">
        <v>236</v>
      </c>
      <c r="P3" s="11">
        <v>8.0279052905500031E-5</v>
      </c>
      <c r="Q3">
        <v>1E-4</v>
      </c>
      <c r="R3">
        <v>2000</v>
      </c>
      <c r="S3" s="23">
        <v>9.5340553177132401E-2</v>
      </c>
      <c r="T3">
        <v>4.850514939296346</v>
      </c>
      <c r="U3">
        <v>1.723227134060048</v>
      </c>
      <c r="V3">
        <v>9.6469999999999993E-3</v>
      </c>
      <c r="W3">
        <v>8.5518540000000005</v>
      </c>
      <c r="X3">
        <v>7.1656500000000003</v>
      </c>
      <c r="Y3">
        <v>44.150669999999998</v>
      </c>
      <c r="Z3">
        <v>42.528283999999999</v>
      </c>
      <c r="AA3">
        <v>1E-4</v>
      </c>
      <c r="AB3">
        <v>2.416260149187003</v>
      </c>
      <c r="AC3">
        <v>9.9913447457622464</v>
      </c>
      <c r="AD3">
        <v>1.6426339999999999</v>
      </c>
      <c r="AE3">
        <v>0.58073847105624532</v>
      </c>
      <c r="AF3" s="6">
        <v>0.30876599033911339</v>
      </c>
      <c r="AG3">
        <v>1</v>
      </c>
    </row>
    <row r="4" spans="1:33" hidden="1" x14ac:dyDescent="0.3">
      <c r="A4" s="5">
        <v>3</v>
      </c>
      <c r="B4" t="s">
        <v>40</v>
      </c>
      <c r="C4">
        <v>2074.364482399978</v>
      </c>
      <c r="D4">
        <v>34.572741373332967</v>
      </c>
      <c r="E4" t="s">
        <v>41</v>
      </c>
      <c r="G4" t="s">
        <v>34</v>
      </c>
      <c r="H4" t="s">
        <v>42</v>
      </c>
      <c r="J4" t="s">
        <v>36</v>
      </c>
      <c r="K4">
        <v>3.0480169477601991E-2</v>
      </c>
      <c r="L4">
        <v>0</v>
      </c>
      <c r="M4">
        <v>3.0480169477601991E-2</v>
      </c>
      <c r="N4" t="s">
        <v>17</v>
      </c>
      <c r="O4">
        <v>198</v>
      </c>
      <c r="P4" s="11">
        <v>9.6730838317541095E-5</v>
      </c>
      <c r="Q4">
        <v>1E-4</v>
      </c>
      <c r="R4">
        <v>2000</v>
      </c>
      <c r="S4">
        <v>0.20492223174306631</v>
      </c>
      <c r="T4">
        <v>0.23553543382017861</v>
      </c>
      <c r="U4">
        <v>8.5432001351057245</v>
      </c>
      <c r="V4">
        <v>9.6469999999999993E-3</v>
      </c>
      <c r="W4">
        <v>8.5518540000000005</v>
      </c>
      <c r="X4">
        <v>7.1656500000000003</v>
      </c>
      <c r="Y4">
        <v>44.150669999999998</v>
      </c>
      <c r="Z4">
        <v>42.528283999999999</v>
      </c>
      <c r="AA4">
        <v>1E-4</v>
      </c>
      <c r="AB4">
        <v>2.968285090383584</v>
      </c>
      <c r="AC4">
        <v>8.643858849268673</v>
      </c>
      <c r="AD4">
        <v>1.6426339999999999</v>
      </c>
      <c r="AE4">
        <v>0.1259136526766475</v>
      </c>
      <c r="AF4" s="6">
        <v>0.59741654275506184</v>
      </c>
      <c r="AG4">
        <v>1</v>
      </c>
    </row>
    <row r="5" spans="1:33" x14ac:dyDescent="0.3">
      <c r="A5" s="5">
        <v>4</v>
      </c>
      <c r="B5" t="s">
        <v>43</v>
      </c>
      <c r="C5">
        <v>7318.5311609999917</v>
      </c>
      <c r="D5">
        <v>121.9755193499999</v>
      </c>
      <c r="E5" t="s">
        <v>44</v>
      </c>
      <c r="G5" t="s">
        <v>34</v>
      </c>
      <c r="H5" t="s">
        <v>45</v>
      </c>
      <c r="J5" t="s">
        <v>36</v>
      </c>
      <c r="K5">
        <v>1.9154109697566511E-2</v>
      </c>
      <c r="L5">
        <v>0</v>
      </c>
      <c r="M5">
        <v>1.9154109697566511E-2</v>
      </c>
      <c r="N5" t="s">
        <v>17</v>
      </c>
      <c r="O5">
        <v>170</v>
      </c>
      <c r="P5" s="11">
        <v>9.9770959924361978E-5</v>
      </c>
      <c r="Q5">
        <v>1E-4</v>
      </c>
      <c r="R5">
        <v>2000</v>
      </c>
      <c r="S5" s="24">
        <v>0.23867230327866931</v>
      </c>
      <c r="T5" s="16">
        <v>1.4789405335040691</v>
      </c>
      <c r="U5" s="16">
        <v>1.137318705859411</v>
      </c>
      <c r="V5" s="16">
        <v>9.6469999999999993E-3</v>
      </c>
      <c r="W5" s="16">
        <v>8.5518540000000005</v>
      </c>
      <c r="X5" s="16">
        <v>7.1656500000000003</v>
      </c>
      <c r="Y5" s="16">
        <v>44.150669999999998</v>
      </c>
      <c r="Z5" s="16">
        <v>42.528283999999999</v>
      </c>
      <c r="AA5" s="16">
        <v>1E-4</v>
      </c>
      <c r="AB5" s="16">
        <v>4.7487233770171322</v>
      </c>
      <c r="AC5" s="16">
        <v>5.5804137605699884</v>
      </c>
      <c r="AD5" s="16">
        <v>1.6426339999999999</v>
      </c>
      <c r="AE5" s="16">
        <v>0.35821627237548298</v>
      </c>
      <c r="AF5" s="17">
        <v>0.60828105216998085</v>
      </c>
      <c r="AG5">
        <v>0</v>
      </c>
    </row>
    <row r="6" spans="1:33" x14ac:dyDescent="0.3">
      <c r="A6" s="5">
        <v>5</v>
      </c>
      <c r="B6" t="s">
        <v>46</v>
      </c>
      <c r="C6">
        <v>7374.550728000002</v>
      </c>
      <c r="D6">
        <v>122.90917880000001</v>
      </c>
      <c r="E6" t="s">
        <v>47</v>
      </c>
      <c r="G6" t="s">
        <v>34</v>
      </c>
      <c r="H6" t="s">
        <v>48</v>
      </c>
      <c r="J6" t="s">
        <v>36</v>
      </c>
      <c r="K6">
        <v>3.4835567092652363E-2</v>
      </c>
      <c r="L6">
        <v>0</v>
      </c>
      <c r="M6">
        <v>3.4835567092652363E-2</v>
      </c>
      <c r="N6" t="s">
        <v>17</v>
      </c>
      <c r="O6">
        <v>820</v>
      </c>
      <c r="P6" s="11">
        <v>8.9495828330964918E-5</v>
      </c>
      <c r="Q6">
        <v>1E-4</v>
      </c>
      <c r="R6">
        <v>2000</v>
      </c>
      <c r="S6" s="25">
        <v>0.2215474581717817</v>
      </c>
      <c r="T6" s="16">
        <v>1.7632632704774971</v>
      </c>
      <c r="U6" s="16">
        <v>3.8822158056424811</v>
      </c>
      <c r="V6" s="16">
        <v>9.6469999999999993E-3</v>
      </c>
      <c r="W6" s="16">
        <v>8.5518540000000005</v>
      </c>
      <c r="X6" s="16">
        <v>7.1656500000000003</v>
      </c>
      <c r="Y6" s="16">
        <v>44.150669999999998</v>
      </c>
      <c r="Z6" s="16">
        <v>42.528283999999999</v>
      </c>
      <c r="AA6" s="16">
        <v>1E-4</v>
      </c>
      <c r="AB6" s="16">
        <v>2.5366740295826569</v>
      </c>
      <c r="AC6" s="16">
        <v>7.0276789570579181</v>
      </c>
      <c r="AD6" s="16">
        <v>1.6426339999999999</v>
      </c>
      <c r="AE6" s="16">
        <v>0.58980414277809312</v>
      </c>
      <c r="AF6" s="17">
        <v>0.29932090289880298</v>
      </c>
      <c r="AG6">
        <v>0</v>
      </c>
    </row>
    <row r="7" spans="1:33" x14ac:dyDescent="0.3">
      <c r="A7" s="5">
        <v>6</v>
      </c>
      <c r="B7" t="s">
        <v>49</v>
      </c>
      <c r="C7">
        <v>5694.3620688000228</v>
      </c>
      <c r="D7">
        <v>94.906034480000386</v>
      </c>
      <c r="E7" t="s">
        <v>50</v>
      </c>
      <c r="G7" t="s">
        <v>34</v>
      </c>
      <c r="H7" t="s">
        <v>51</v>
      </c>
      <c r="J7" t="s">
        <v>36</v>
      </c>
      <c r="K7">
        <v>1.2291011892049669E-2</v>
      </c>
      <c r="L7">
        <v>0</v>
      </c>
      <c r="M7">
        <v>1.2291011892049669E-2</v>
      </c>
      <c r="N7" t="s">
        <v>17</v>
      </c>
      <c r="O7">
        <v>378</v>
      </c>
      <c r="P7" s="11">
        <v>9.7765343569708419E-5</v>
      </c>
      <c r="Q7">
        <v>1E-4</v>
      </c>
      <c r="R7">
        <v>2000</v>
      </c>
      <c r="S7" s="25">
        <v>7.1046409533329261E-2</v>
      </c>
      <c r="T7" s="16">
        <v>3.3738439668184652</v>
      </c>
      <c r="U7" s="16">
        <v>2.3322033875726329</v>
      </c>
      <c r="V7" s="16">
        <v>9.6469999999999993E-3</v>
      </c>
      <c r="W7" s="16">
        <v>8.5518540000000005</v>
      </c>
      <c r="X7" s="16">
        <v>7.1656500000000003</v>
      </c>
      <c r="Y7" s="16">
        <v>44.150669999999998</v>
      </c>
      <c r="Z7" s="16">
        <v>42.528283999999999</v>
      </c>
      <c r="AA7" s="16">
        <v>1E-4</v>
      </c>
      <c r="AB7" s="16">
        <v>2.1760985567100839</v>
      </c>
      <c r="AC7" s="16">
        <v>7.3611499471052522</v>
      </c>
      <c r="AD7" s="16">
        <v>1.6426339999999999</v>
      </c>
      <c r="AE7" s="16">
        <v>0.42272115248163261</v>
      </c>
      <c r="AF7" s="17">
        <v>0.41214687694987062</v>
      </c>
      <c r="AG7">
        <v>0</v>
      </c>
    </row>
    <row r="8" spans="1:33" x14ac:dyDescent="0.3">
      <c r="A8" s="5">
        <v>7</v>
      </c>
      <c r="B8" t="s">
        <v>52</v>
      </c>
      <c r="C8">
        <v>15231.7497136</v>
      </c>
      <c r="D8">
        <v>253.86249522666671</v>
      </c>
      <c r="E8" t="s">
        <v>53</v>
      </c>
      <c r="G8" t="s">
        <v>34</v>
      </c>
      <c r="H8" t="s">
        <v>54</v>
      </c>
      <c r="J8" t="s">
        <v>36</v>
      </c>
      <c r="K8">
        <v>1.057828657334144E-2</v>
      </c>
      <c r="L8">
        <v>0</v>
      </c>
      <c r="M8">
        <v>1.057828657334144E-2</v>
      </c>
      <c r="N8" t="s">
        <v>17</v>
      </c>
      <c r="O8">
        <v>2001</v>
      </c>
      <c r="P8" s="11">
        <v>8.4329416212390856E-4</v>
      </c>
      <c r="Q8">
        <v>1E-4</v>
      </c>
      <c r="R8">
        <v>2000</v>
      </c>
      <c r="S8" s="26">
        <v>0.1297696297226717</v>
      </c>
      <c r="T8">
        <v>1.100316472242042</v>
      </c>
      <c r="U8">
        <v>3.2764644886323269</v>
      </c>
      <c r="V8">
        <v>9.6469999999999993E-3</v>
      </c>
      <c r="W8">
        <v>8.5518540000000005</v>
      </c>
      <c r="X8">
        <v>7.1656500000000003</v>
      </c>
      <c r="Y8">
        <v>44.150669999999998</v>
      </c>
      <c r="Z8">
        <v>42.528283999999999</v>
      </c>
      <c r="AA8">
        <v>1E-4</v>
      </c>
      <c r="AB8">
        <v>2.1972924445174771</v>
      </c>
      <c r="AC8">
        <v>5.6254618072746307</v>
      </c>
      <c r="AD8">
        <v>1.6426339999999999</v>
      </c>
      <c r="AE8">
        <v>0.22361832346956681</v>
      </c>
      <c r="AF8" s="6">
        <v>0.72267916407755917</v>
      </c>
      <c r="AG8">
        <v>1</v>
      </c>
    </row>
    <row r="9" spans="1:33" hidden="1" x14ac:dyDescent="0.3">
      <c r="A9" s="5">
        <v>8</v>
      </c>
      <c r="B9" t="s">
        <v>55</v>
      </c>
      <c r="C9">
        <v>1172.7976606000159</v>
      </c>
      <c r="D9">
        <v>19.54662767666693</v>
      </c>
      <c r="E9" t="s">
        <v>56</v>
      </c>
      <c r="G9" t="s">
        <v>34</v>
      </c>
      <c r="H9" t="s">
        <v>57</v>
      </c>
      <c r="J9" t="s">
        <v>36</v>
      </c>
      <c r="K9">
        <v>4.4329000736589151E-2</v>
      </c>
      <c r="L9">
        <v>0</v>
      </c>
      <c r="M9">
        <v>4.4329000736589151E-2</v>
      </c>
      <c r="N9" t="s">
        <v>17</v>
      </c>
      <c r="O9">
        <v>190</v>
      </c>
      <c r="P9" s="11">
        <v>9.8783236932635694E-5</v>
      </c>
      <c r="Q9">
        <v>1E-4</v>
      </c>
      <c r="R9">
        <v>2000</v>
      </c>
      <c r="S9" s="13">
        <v>0.14297876206247159</v>
      </c>
      <c r="T9">
        <v>0.4518752531907364</v>
      </c>
      <c r="U9">
        <v>2.9046386223428819</v>
      </c>
      <c r="V9">
        <v>9.6469999999999993E-3</v>
      </c>
      <c r="W9">
        <v>8.5518540000000005</v>
      </c>
      <c r="X9">
        <v>7.1656500000000003</v>
      </c>
      <c r="Y9">
        <v>44.150669999999998</v>
      </c>
      <c r="Z9">
        <v>42.528283999999999</v>
      </c>
      <c r="AA9">
        <v>1E-4</v>
      </c>
      <c r="AB9">
        <v>8.0880288968246639</v>
      </c>
      <c r="AC9">
        <v>0.10024870399304101</v>
      </c>
      <c r="AD9">
        <v>1.6426339999999999</v>
      </c>
      <c r="AE9">
        <v>0.58861342323341403</v>
      </c>
      <c r="AF9" s="6">
        <v>0.44198863174540948</v>
      </c>
      <c r="AG9">
        <v>2</v>
      </c>
    </row>
    <row r="10" spans="1:33" x14ac:dyDescent="0.3">
      <c r="A10" s="5">
        <v>9</v>
      </c>
      <c r="B10" t="s">
        <v>58</v>
      </c>
      <c r="C10">
        <v>2026.802363299998</v>
      </c>
      <c r="D10">
        <v>33.780039388333293</v>
      </c>
      <c r="E10" t="s">
        <v>59</v>
      </c>
      <c r="G10" t="s">
        <v>34</v>
      </c>
      <c r="H10" t="s">
        <v>60</v>
      </c>
      <c r="J10" t="s">
        <v>36</v>
      </c>
      <c r="K10">
        <v>2.0507348618881031E-2</v>
      </c>
      <c r="L10">
        <v>0</v>
      </c>
      <c r="M10">
        <v>2.0507348618881031E-2</v>
      </c>
      <c r="N10" t="s">
        <v>17</v>
      </c>
      <c r="O10">
        <v>301</v>
      </c>
      <c r="P10" s="11">
        <v>9.8301866082106659E-5</v>
      </c>
      <c r="Q10">
        <v>1E-4</v>
      </c>
      <c r="R10">
        <v>2000</v>
      </c>
      <c r="S10" s="25">
        <v>0.2312320810462489</v>
      </c>
      <c r="T10" s="16">
        <v>1.718642886072322</v>
      </c>
      <c r="U10" s="16">
        <v>2.997279945587831</v>
      </c>
      <c r="V10" s="16">
        <v>9.6469999999999993E-3</v>
      </c>
      <c r="W10" s="16">
        <v>8.5518540000000005</v>
      </c>
      <c r="X10" s="16">
        <v>7.1656500000000003</v>
      </c>
      <c r="Y10" s="16">
        <v>44.150669999999998</v>
      </c>
      <c r="Z10" s="16">
        <v>42.528283999999999</v>
      </c>
      <c r="AA10" s="16">
        <v>1E-4</v>
      </c>
      <c r="AB10" s="16">
        <v>2.3541994629890439</v>
      </c>
      <c r="AC10" s="16">
        <v>8.2355175536869432</v>
      </c>
      <c r="AD10" s="16">
        <v>1.6426339999999999</v>
      </c>
      <c r="AE10" s="16">
        <v>0.33402337444756869</v>
      </c>
      <c r="AF10" s="17">
        <v>0.52953327715501552</v>
      </c>
      <c r="AG10">
        <v>1</v>
      </c>
    </row>
    <row r="11" spans="1:33" hidden="1" x14ac:dyDescent="0.3">
      <c r="A11" s="5">
        <v>10</v>
      </c>
      <c r="B11" t="s">
        <v>61</v>
      </c>
      <c r="C11">
        <v>1530.2371418999969</v>
      </c>
      <c r="D11">
        <v>25.503952364999961</v>
      </c>
      <c r="E11" t="s">
        <v>62</v>
      </c>
      <c r="G11" t="s">
        <v>34</v>
      </c>
      <c r="H11" t="s">
        <v>63</v>
      </c>
      <c r="J11" t="s">
        <v>36</v>
      </c>
      <c r="K11">
        <v>1.1969113477333331E-2</v>
      </c>
      <c r="L11">
        <v>0</v>
      </c>
      <c r="M11">
        <v>1.1969113477333331E-2</v>
      </c>
      <c r="N11" t="s">
        <v>17</v>
      </c>
      <c r="O11">
        <v>139</v>
      </c>
      <c r="P11" s="11">
        <v>8.1968711594551565E-5</v>
      </c>
      <c r="Q11">
        <v>1E-4</v>
      </c>
      <c r="R11">
        <v>2000</v>
      </c>
      <c r="S11" s="13">
        <v>6.725487547653651E-2</v>
      </c>
      <c r="T11">
        <v>1.0803477171264659</v>
      </c>
      <c r="U11">
        <v>6.1542765257035938</v>
      </c>
      <c r="V11">
        <v>9.6469999999999993E-3</v>
      </c>
      <c r="W11">
        <v>8.5518540000000005</v>
      </c>
      <c r="X11">
        <v>7.1656500000000003</v>
      </c>
      <c r="Y11">
        <v>44.150669999999998</v>
      </c>
      <c r="Z11">
        <v>42.528283999999999</v>
      </c>
      <c r="AA11">
        <v>1E-4</v>
      </c>
      <c r="AB11">
        <v>5.9549315289016196</v>
      </c>
      <c r="AC11">
        <v>6.9661198977461716</v>
      </c>
      <c r="AD11">
        <v>1.6426339999999999</v>
      </c>
      <c r="AE11">
        <v>0.61744467411003801</v>
      </c>
      <c r="AF11" s="6">
        <v>0.31994190888732188</v>
      </c>
      <c r="AG11">
        <v>3</v>
      </c>
    </row>
    <row r="12" spans="1:33" x14ac:dyDescent="0.3">
      <c r="A12" s="5">
        <v>11</v>
      </c>
      <c r="B12" t="s">
        <v>64</v>
      </c>
      <c r="C12">
        <v>5786.3767086000007</v>
      </c>
      <c r="D12">
        <v>96.439611810000017</v>
      </c>
      <c r="E12" t="s">
        <v>65</v>
      </c>
      <c r="G12" t="s">
        <v>34</v>
      </c>
      <c r="H12" t="s">
        <v>66</v>
      </c>
      <c r="J12" t="s">
        <v>36</v>
      </c>
      <c r="K12">
        <v>2.4991082200323301E-2</v>
      </c>
      <c r="L12">
        <v>0</v>
      </c>
      <c r="M12">
        <v>2.4991082200323301E-2</v>
      </c>
      <c r="N12" t="s">
        <v>17</v>
      </c>
      <c r="O12">
        <v>283</v>
      </c>
      <c r="P12" s="11">
        <v>9.8613290712376561E-5</v>
      </c>
      <c r="Q12">
        <v>1E-4</v>
      </c>
      <c r="R12">
        <v>2000</v>
      </c>
      <c r="S12" s="25">
        <v>0.35445682383815608</v>
      </c>
      <c r="T12" s="16">
        <v>2.895646996567776</v>
      </c>
      <c r="U12" s="16">
        <v>2.4417178876658232</v>
      </c>
      <c r="V12" s="16">
        <v>9.6469999999999993E-3</v>
      </c>
      <c r="W12" s="16">
        <v>8.5518540000000005</v>
      </c>
      <c r="X12" s="16">
        <v>7.1656500000000003</v>
      </c>
      <c r="Y12" s="16">
        <v>44.150669999999998</v>
      </c>
      <c r="Z12" s="16">
        <v>42.528283999999999</v>
      </c>
      <c r="AA12" s="16">
        <v>1E-4</v>
      </c>
      <c r="AB12" s="16">
        <v>2.0720119469016951</v>
      </c>
      <c r="AC12" s="16">
        <v>8.140244314273005</v>
      </c>
      <c r="AD12" s="16">
        <v>1.6426339999999999</v>
      </c>
      <c r="AE12" s="16">
        <v>0.43603437708916032</v>
      </c>
      <c r="AF12" s="17">
        <v>0.4738792844859725</v>
      </c>
      <c r="AG12">
        <v>0</v>
      </c>
    </row>
    <row r="13" spans="1:33" x14ac:dyDescent="0.3">
      <c r="A13" s="5">
        <v>12</v>
      </c>
      <c r="B13" t="s">
        <v>67</v>
      </c>
      <c r="C13">
        <v>28266.52760229999</v>
      </c>
      <c r="D13">
        <v>471.10879337166648</v>
      </c>
      <c r="E13" t="s">
        <v>68</v>
      </c>
      <c r="G13" t="s">
        <v>34</v>
      </c>
      <c r="H13" t="s">
        <v>69</v>
      </c>
      <c r="J13" t="s">
        <v>36</v>
      </c>
      <c r="K13">
        <v>2.3834521668663389E-2</v>
      </c>
      <c r="L13">
        <v>0</v>
      </c>
      <c r="M13">
        <v>2.3834521668663389E-2</v>
      </c>
      <c r="N13" t="s">
        <v>17</v>
      </c>
      <c r="O13">
        <v>2001</v>
      </c>
      <c r="P13" s="11">
        <v>3.0236792461020489E-3</v>
      </c>
      <c r="Q13">
        <v>1E-4</v>
      </c>
      <c r="R13">
        <v>2000</v>
      </c>
      <c r="S13" s="25">
        <v>0.1937974998036483</v>
      </c>
      <c r="T13" s="16">
        <v>1.305003992855698</v>
      </c>
      <c r="U13" s="16">
        <v>2.162669253941381</v>
      </c>
      <c r="V13" s="16">
        <v>9.6469999999999993E-3</v>
      </c>
      <c r="W13" s="16">
        <v>8.5518540000000005</v>
      </c>
      <c r="X13" s="16">
        <v>7.1656500000000003</v>
      </c>
      <c r="Y13" s="16">
        <v>44.150669999999998</v>
      </c>
      <c r="Z13" s="16">
        <v>42.528283999999999</v>
      </c>
      <c r="AA13" s="16">
        <v>1E-4</v>
      </c>
      <c r="AB13" s="16">
        <v>3.5333794506754348</v>
      </c>
      <c r="AC13" s="16">
        <v>9.9584996242521857</v>
      </c>
      <c r="AD13" s="16">
        <v>1.6426339999999999</v>
      </c>
      <c r="AE13" s="16">
        <v>0.27490580520813779</v>
      </c>
      <c r="AF13" s="17">
        <v>0.59371405082027096</v>
      </c>
      <c r="AG13">
        <v>0</v>
      </c>
    </row>
    <row r="14" spans="1:33" x14ac:dyDescent="0.3">
      <c r="A14" s="5">
        <v>13</v>
      </c>
      <c r="B14" t="s">
        <v>70</v>
      </c>
      <c r="C14">
        <v>5024.0627505999873</v>
      </c>
      <c r="D14">
        <v>83.734379176666451</v>
      </c>
      <c r="E14" t="s">
        <v>71</v>
      </c>
      <c r="G14" t="s">
        <v>34</v>
      </c>
      <c r="H14" t="s">
        <v>72</v>
      </c>
      <c r="J14" t="s">
        <v>36</v>
      </c>
      <c r="K14">
        <v>4.075483124784126E-2</v>
      </c>
      <c r="L14">
        <v>0</v>
      </c>
      <c r="M14">
        <v>4.075483124784126E-2</v>
      </c>
      <c r="N14" t="s">
        <v>17</v>
      </c>
      <c r="O14">
        <v>163</v>
      </c>
      <c r="P14" s="11">
        <v>9.4957242368113107E-5</v>
      </c>
      <c r="Q14">
        <v>1E-4</v>
      </c>
      <c r="R14">
        <v>2000</v>
      </c>
      <c r="S14" s="25">
        <v>0.47507925889546099</v>
      </c>
      <c r="T14" s="16">
        <v>1.7942830917244461</v>
      </c>
      <c r="U14" s="16">
        <v>1.536080827207515</v>
      </c>
      <c r="V14" s="16">
        <v>9.6469999999999993E-3</v>
      </c>
      <c r="W14" s="16">
        <v>8.5518540000000005</v>
      </c>
      <c r="X14" s="16">
        <v>7.1656500000000003</v>
      </c>
      <c r="Y14" s="16">
        <v>44.150669999999998</v>
      </c>
      <c r="Z14" s="16">
        <v>42.528283999999999</v>
      </c>
      <c r="AA14" s="16">
        <v>1E-4</v>
      </c>
      <c r="AB14" s="16">
        <v>3.0630033486266108</v>
      </c>
      <c r="AC14" s="16">
        <v>9.8713319233272756</v>
      </c>
      <c r="AD14" s="16">
        <v>1.6426339999999999</v>
      </c>
      <c r="AE14" s="16">
        <v>0.45417614586722482</v>
      </c>
      <c r="AF14" s="17">
        <v>0.37020863228583628</v>
      </c>
      <c r="AG14">
        <v>0</v>
      </c>
    </row>
    <row r="15" spans="1:33" x14ac:dyDescent="0.3">
      <c r="A15" s="5">
        <v>14</v>
      </c>
      <c r="B15" t="s">
        <v>73</v>
      </c>
      <c r="C15">
        <v>5644.6686482999939</v>
      </c>
      <c r="D15">
        <v>94.077810804999899</v>
      </c>
      <c r="E15" t="s">
        <v>74</v>
      </c>
      <c r="G15" t="s">
        <v>34</v>
      </c>
      <c r="H15" t="s">
        <v>75</v>
      </c>
      <c r="J15" t="s">
        <v>36</v>
      </c>
      <c r="K15">
        <v>2.3393480287682549E-2</v>
      </c>
      <c r="L15">
        <v>0</v>
      </c>
      <c r="M15">
        <v>2.3393480287682549E-2</v>
      </c>
      <c r="N15" t="s">
        <v>17</v>
      </c>
      <c r="O15">
        <v>593</v>
      </c>
      <c r="P15" s="11">
        <v>9.994242130357086E-5</v>
      </c>
      <c r="Q15">
        <v>1E-4</v>
      </c>
      <c r="R15">
        <v>2000</v>
      </c>
      <c r="S15" s="24">
        <v>0.1400943037433009</v>
      </c>
      <c r="T15" s="16">
        <v>2.5765714714097321</v>
      </c>
      <c r="U15" s="16">
        <v>2.8573243947471481</v>
      </c>
      <c r="V15" s="16">
        <v>9.6469999999999993E-3</v>
      </c>
      <c r="W15" s="16">
        <v>8.5518540000000005</v>
      </c>
      <c r="X15" s="16">
        <v>7.1656500000000003</v>
      </c>
      <c r="Y15" s="16">
        <v>44.150669999999998</v>
      </c>
      <c r="Z15" s="16">
        <v>42.528283999999999</v>
      </c>
      <c r="AA15" s="16">
        <v>1E-4</v>
      </c>
      <c r="AB15" s="16">
        <v>1.945967410891327</v>
      </c>
      <c r="AC15" s="16">
        <v>9.9831868103195394</v>
      </c>
      <c r="AD15" s="16">
        <v>1.6426339999999999</v>
      </c>
      <c r="AE15" s="16">
        <v>0.34218172241272238</v>
      </c>
      <c r="AF15" s="17">
        <v>0.51117062692806203</v>
      </c>
      <c r="AG15">
        <v>0</v>
      </c>
    </row>
    <row r="16" spans="1:33" hidden="1" x14ac:dyDescent="0.3">
      <c r="A16" s="5">
        <v>15</v>
      </c>
      <c r="B16" t="s">
        <v>76</v>
      </c>
      <c r="C16">
        <v>3150.2680907000031</v>
      </c>
      <c r="D16">
        <v>52.504468178333383</v>
      </c>
      <c r="E16" t="s">
        <v>77</v>
      </c>
      <c r="G16" t="s">
        <v>34</v>
      </c>
      <c r="H16" t="s">
        <v>78</v>
      </c>
      <c r="J16" t="s">
        <v>36</v>
      </c>
      <c r="K16">
        <v>4.8792226569489602E-2</v>
      </c>
      <c r="L16">
        <v>0</v>
      </c>
      <c r="M16">
        <v>4.8792226569489602E-2</v>
      </c>
      <c r="N16" t="s">
        <v>17</v>
      </c>
      <c r="O16">
        <v>297</v>
      </c>
      <c r="P16" s="11">
        <v>8.8844481270512529E-5</v>
      </c>
      <c r="Q16">
        <v>1E-4</v>
      </c>
      <c r="R16">
        <v>2000</v>
      </c>
      <c r="S16">
        <v>0.73049446761428727</v>
      </c>
      <c r="T16">
        <v>0.45594540635759689</v>
      </c>
      <c r="U16">
        <v>9.8888527982992258</v>
      </c>
      <c r="V16">
        <v>9.6469999999999993E-3</v>
      </c>
      <c r="W16">
        <v>8.5518540000000005</v>
      </c>
      <c r="X16">
        <v>7.1656500000000003</v>
      </c>
      <c r="Y16">
        <v>44.150669999999998</v>
      </c>
      <c r="Z16">
        <v>42.528283999999999</v>
      </c>
      <c r="AA16">
        <v>1E-4</v>
      </c>
      <c r="AB16">
        <v>2.346502237106856</v>
      </c>
      <c r="AC16">
        <v>1.27459639025463</v>
      </c>
      <c r="AD16">
        <v>1.6426339999999999</v>
      </c>
      <c r="AE16">
        <v>0.24741693023069031</v>
      </c>
      <c r="AF16" s="6">
        <v>0.60016251494780926</v>
      </c>
      <c r="AG16">
        <v>3</v>
      </c>
    </row>
    <row r="17" spans="1:33" x14ac:dyDescent="0.3">
      <c r="A17" s="5">
        <v>16</v>
      </c>
      <c r="B17" t="s">
        <v>79</v>
      </c>
      <c r="C17">
        <v>18658.914202199991</v>
      </c>
      <c r="D17">
        <v>310.98190336999983</v>
      </c>
      <c r="E17" t="s">
        <v>80</v>
      </c>
      <c r="G17" t="s">
        <v>34</v>
      </c>
      <c r="H17" t="s">
        <v>81</v>
      </c>
      <c r="J17" t="s">
        <v>36</v>
      </c>
      <c r="K17">
        <v>1.8639392445070579E-2</v>
      </c>
      <c r="L17">
        <v>0</v>
      </c>
      <c r="M17">
        <v>1.8639392445070579E-2</v>
      </c>
      <c r="N17" t="s">
        <v>17</v>
      </c>
      <c r="O17">
        <v>2001</v>
      </c>
      <c r="P17" s="11">
        <v>2.5010509107454318E-4</v>
      </c>
      <c r="Q17">
        <v>1E-4</v>
      </c>
      <c r="R17">
        <v>2000</v>
      </c>
      <c r="S17" s="23">
        <v>0.1070697432326719</v>
      </c>
      <c r="T17">
        <v>0.84108690838249922</v>
      </c>
      <c r="U17">
        <v>1.3930663481851771</v>
      </c>
      <c r="V17">
        <v>9.6469999999999993E-3</v>
      </c>
      <c r="W17">
        <v>8.5518540000000005</v>
      </c>
      <c r="X17">
        <v>7.1656500000000003</v>
      </c>
      <c r="Y17">
        <v>44.150669999999998</v>
      </c>
      <c r="Z17">
        <v>42.528283999999999</v>
      </c>
      <c r="AA17">
        <v>1E-4</v>
      </c>
      <c r="AB17">
        <v>7.0794181127694831</v>
      </c>
      <c r="AC17">
        <v>5.1024858503608908</v>
      </c>
      <c r="AD17">
        <v>1.6426339999999999</v>
      </c>
      <c r="AE17">
        <v>0.68414137490005245</v>
      </c>
      <c r="AF17" s="6">
        <v>0.22135648461899099</v>
      </c>
      <c r="AG17">
        <v>2</v>
      </c>
    </row>
    <row r="18" spans="1:33" x14ac:dyDescent="0.3">
      <c r="A18" s="5">
        <v>17</v>
      </c>
      <c r="B18" t="s">
        <v>82</v>
      </c>
      <c r="C18">
        <v>21111.6125092</v>
      </c>
      <c r="D18">
        <v>351.86020848666669</v>
      </c>
      <c r="E18" t="s">
        <v>83</v>
      </c>
      <c r="G18" t="s">
        <v>34</v>
      </c>
      <c r="H18" t="s">
        <v>84</v>
      </c>
      <c r="J18" t="s">
        <v>36</v>
      </c>
      <c r="K18">
        <v>1.9031896178424979E-2</v>
      </c>
      <c r="L18">
        <v>0</v>
      </c>
      <c r="M18">
        <v>1.9031896178424979E-2</v>
      </c>
      <c r="N18" t="s">
        <v>17</v>
      </c>
      <c r="O18">
        <v>2001</v>
      </c>
      <c r="P18" s="11">
        <v>1.604056233756677E-4</v>
      </c>
      <c r="Q18">
        <v>1E-4</v>
      </c>
      <c r="R18">
        <v>2000</v>
      </c>
      <c r="S18" s="23">
        <v>0.13943642659037339</v>
      </c>
      <c r="T18">
        <v>1.4375904770707839</v>
      </c>
      <c r="U18">
        <v>1.17514855524946</v>
      </c>
      <c r="V18">
        <v>9.6469999999999993E-3</v>
      </c>
      <c r="W18">
        <v>8.5518540000000005</v>
      </c>
      <c r="X18">
        <v>7.1656500000000003</v>
      </c>
      <c r="Y18">
        <v>44.150669999999998</v>
      </c>
      <c r="Z18">
        <v>42.528283999999999</v>
      </c>
      <c r="AA18">
        <v>1E-4</v>
      </c>
      <c r="AB18">
        <v>6.527551914797427</v>
      </c>
      <c r="AC18">
        <v>6.2341027278068388</v>
      </c>
      <c r="AD18">
        <v>1.6426339999999999</v>
      </c>
      <c r="AE18">
        <v>0.32014943742462582</v>
      </c>
      <c r="AF18" s="6">
        <v>0.54753100362087015</v>
      </c>
      <c r="AG18">
        <v>1</v>
      </c>
    </row>
    <row r="19" spans="1:33" x14ac:dyDescent="0.3">
      <c r="A19" s="5">
        <v>18</v>
      </c>
      <c r="B19" t="s">
        <v>85</v>
      </c>
      <c r="C19">
        <v>20588.614749</v>
      </c>
      <c r="D19">
        <v>343.14357914999999</v>
      </c>
      <c r="E19" t="s">
        <v>86</v>
      </c>
      <c r="G19" t="s">
        <v>34</v>
      </c>
      <c r="H19" t="s">
        <v>87</v>
      </c>
      <c r="J19" t="s">
        <v>36</v>
      </c>
      <c r="K19">
        <v>2.4723539734177399E-2</v>
      </c>
      <c r="L19">
        <v>0</v>
      </c>
      <c r="M19">
        <v>2.4723539734177399E-2</v>
      </c>
      <c r="N19" t="s">
        <v>17</v>
      </c>
      <c r="O19">
        <v>901</v>
      </c>
      <c r="P19" s="11">
        <v>9.5859297039156189E-5</v>
      </c>
      <c r="Q19">
        <v>1E-4</v>
      </c>
      <c r="R19">
        <v>2000</v>
      </c>
      <c r="S19" s="24">
        <v>0.1957220287925758</v>
      </c>
      <c r="T19" s="16">
        <v>1.8413149759623919</v>
      </c>
      <c r="U19" s="16">
        <v>1.142151867830226</v>
      </c>
      <c r="V19" s="16">
        <v>9.6469999999999993E-3</v>
      </c>
      <c r="W19" s="16">
        <v>8.5518540000000005</v>
      </c>
      <c r="X19" s="16">
        <v>7.1656500000000003</v>
      </c>
      <c r="Y19" s="16">
        <v>44.150669999999998</v>
      </c>
      <c r="Z19" s="16">
        <v>42.528283999999999</v>
      </c>
      <c r="AA19" s="16">
        <v>1E-4</v>
      </c>
      <c r="AB19" s="16">
        <v>4.357026494323847</v>
      </c>
      <c r="AC19" s="16">
        <v>9.5224248843655364</v>
      </c>
      <c r="AD19" s="16">
        <v>1.6426339999999999</v>
      </c>
      <c r="AE19" s="16">
        <v>0.50051089460210196</v>
      </c>
      <c r="AF19" s="17">
        <v>0.33005485774102938</v>
      </c>
      <c r="AG19">
        <v>0</v>
      </c>
    </row>
    <row r="20" spans="1:33" x14ac:dyDescent="0.3">
      <c r="A20" s="5">
        <v>19</v>
      </c>
      <c r="B20" t="s">
        <v>88</v>
      </c>
      <c r="C20">
        <v>4922.2885048000026</v>
      </c>
      <c r="D20">
        <v>82.03814174666671</v>
      </c>
      <c r="E20" t="s">
        <v>89</v>
      </c>
      <c r="G20" t="s">
        <v>34</v>
      </c>
      <c r="H20" t="s">
        <v>90</v>
      </c>
      <c r="J20" t="s">
        <v>36</v>
      </c>
      <c r="K20">
        <v>2.1089386883793221E-2</v>
      </c>
      <c r="L20">
        <v>0</v>
      </c>
      <c r="M20">
        <v>2.1089386883793221E-2</v>
      </c>
      <c r="N20" t="s">
        <v>17</v>
      </c>
      <c r="O20">
        <v>602</v>
      </c>
      <c r="P20" s="11">
        <v>9.8179584203664892E-5</v>
      </c>
      <c r="Q20">
        <v>1E-4</v>
      </c>
      <c r="R20">
        <v>2000</v>
      </c>
      <c r="S20" s="24">
        <v>0.2443548171277711</v>
      </c>
      <c r="T20" s="16">
        <v>1.688151118707405</v>
      </c>
      <c r="U20" s="16">
        <v>1.1020683670286131</v>
      </c>
      <c r="V20" s="16">
        <v>9.6469999999999993E-3</v>
      </c>
      <c r="W20" s="16">
        <v>8.5518540000000005</v>
      </c>
      <c r="X20" s="16">
        <v>7.1656500000000003</v>
      </c>
      <c r="Y20" s="16">
        <v>44.150669999999998</v>
      </c>
      <c r="Z20" s="16">
        <v>42.528283999999999</v>
      </c>
      <c r="AA20" s="16">
        <v>1E-4</v>
      </c>
      <c r="AB20" s="16">
        <v>5.0732425293949914</v>
      </c>
      <c r="AC20" s="16">
        <v>9.4576715142226693</v>
      </c>
      <c r="AD20" s="16">
        <v>1.6426339999999999</v>
      </c>
      <c r="AE20" s="16">
        <v>0.5665117530365259</v>
      </c>
      <c r="AF20" s="17">
        <v>0.26939164592091119</v>
      </c>
      <c r="AG20">
        <v>0</v>
      </c>
    </row>
    <row r="21" spans="1:33" hidden="1" x14ac:dyDescent="0.3">
      <c r="A21" s="5">
        <v>20</v>
      </c>
      <c r="B21" t="s">
        <v>91</v>
      </c>
      <c r="C21">
        <v>1461.625356399978</v>
      </c>
      <c r="D21">
        <v>24.360422606666301</v>
      </c>
      <c r="E21" t="s">
        <v>92</v>
      </c>
      <c r="G21" t="s">
        <v>34</v>
      </c>
      <c r="H21" t="s">
        <v>93</v>
      </c>
      <c r="J21" t="s">
        <v>36</v>
      </c>
      <c r="K21">
        <v>4.6013303754210019E-2</v>
      </c>
      <c r="L21">
        <v>0</v>
      </c>
      <c r="M21">
        <v>4.6013303754210019E-2</v>
      </c>
      <c r="N21" t="s">
        <v>17</v>
      </c>
      <c r="O21">
        <v>238</v>
      </c>
      <c r="P21" s="11">
        <v>8.9850374100776699E-5</v>
      </c>
      <c r="Q21">
        <v>1E-4</v>
      </c>
      <c r="R21">
        <v>2000</v>
      </c>
      <c r="S21">
        <v>0.57384487092889358</v>
      </c>
      <c r="T21">
        <v>0.85781285332391377</v>
      </c>
      <c r="U21">
        <v>9.6762141303577565</v>
      </c>
      <c r="V21">
        <v>9.6469999999999993E-3</v>
      </c>
      <c r="W21">
        <v>8.5518540000000005</v>
      </c>
      <c r="X21">
        <v>7.1656500000000003</v>
      </c>
      <c r="Y21">
        <v>44.150669999999998</v>
      </c>
      <c r="Z21">
        <v>42.528283999999999</v>
      </c>
      <c r="AA21">
        <v>1E-4</v>
      </c>
      <c r="AB21">
        <v>2.023255349818958</v>
      </c>
      <c r="AC21">
        <v>9.705414724740308</v>
      </c>
      <c r="AD21">
        <v>1.6426339999999999</v>
      </c>
      <c r="AE21">
        <v>0.38800431601736318</v>
      </c>
      <c r="AF21" s="6">
        <v>0.53291091905389765</v>
      </c>
      <c r="AG21">
        <v>1</v>
      </c>
    </row>
    <row r="22" spans="1:33" x14ac:dyDescent="0.3">
      <c r="A22" s="5">
        <v>21</v>
      </c>
      <c r="B22" t="s">
        <v>94</v>
      </c>
      <c r="C22">
        <v>13623.75451269999</v>
      </c>
      <c r="D22">
        <v>227.06257521166651</v>
      </c>
      <c r="E22" t="s">
        <v>95</v>
      </c>
      <c r="G22" t="s">
        <v>34</v>
      </c>
      <c r="H22" t="s">
        <v>96</v>
      </c>
      <c r="J22" t="s">
        <v>36</v>
      </c>
      <c r="K22">
        <v>1.74094920806762E-2</v>
      </c>
      <c r="L22">
        <v>0</v>
      </c>
      <c r="M22">
        <v>1.74094920806762E-2</v>
      </c>
      <c r="N22" t="s">
        <v>17</v>
      </c>
      <c r="O22">
        <v>1048</v>
      </c>
      <c r="P22" s="11">
        <v>8.9820340367870069E-5</v>
      </c>
      <c r="Q22">
        <v>1E-4</v>
      </c>
      <c r="R22">
        <v>2000</v>
      </c>
      <c r="S22" s="24">
        <v>0.18432378096980079</v>
      </c>
      <c r="T22" s="16">
        <v>2.4149638557808002</v>
      </c>
      <c r="U22" s="16">
        <v>1.3649814811210901</v>
      </c>
      <c r="V22" s="16">
        <v>9.6469999999999993E-3</v>
      </c>
      <c r="W22" s="16">
        <v>8.5518540000000005</v>
      </c>
      <c r="X22" s="16">
        <v>7.1656500000000003</v>
      </c>
      <c r="Y22" s="16">
        <v>44.150669999999998</v>
      </c>
      <c r="Z22" s="16">
        <v>42.528283999999999</v>
      </c>
      <c r="AA22" s="16">
        <v>1E-4</v>
      </c>
      <c r="AB22" s="16">
        <v>3.4242520685076201</v>
      </c>
      <c r="AC22" s="16">
        <v>9.9997745736004902</v>
      </c>
      <c r="AD22" s="16">
        <v>1.6426339999999999</v>
      </c>
      <c r="AE22" s="16">
        <v>0.45171710819292482</v>
      </c>
      <c r="AF22" s="17">
        <v>0.46110374288754669</v>
      </c>
      <c r="AG22">
        <v>0</v>
      </c>
    </row>
    <row r="23" spans="1:33" hidden="1" x14ac:dyDescent="0.3">
      <c r="A23" s="5">
        <v>22</v>
      </c>
      <c r="B23" t="s">
        <v>97</v>
      </c>
      <c r="C23">
        <v>7449.552884899982</v>
      </c>
      <c r="D23">
        <v>124.159214748333</v>
      </c>
      <c r="E23" t="s">
        <v>98</v>
      </c>
      <c r="G23" t="s">
        <v>34</v>
      </c>
      <c r="H23" t="s">
        <v>99</v>
      </c>
      <c r="J23" t="s">
        <v>36</v>
      </c>
      <c r="K23">
        <v>3.0807317000398619E-2</v>
      </c>
      <c r="L23">
        <v>0</v>
      </c>
      <c r="M23">
        <v>3.0807317000398619E-2</v>
      </c>
      <c r="N23" t="s">
        <v>17</v>
      </c>
      <c r="O23">
        <v>933</v>
      </c>
      <c r="P23" s="11">
        <v>5.7159296964075603E-5</v>
      </c>
      <c r="Q23">
        <v>1E-4</v>
      </c>
      <c r="R23">
        <v>2000</v>
      </c>
      <c r="S23" s="23">
        <v>0.1359084087448795</v>
      </c>
      <c r="T23">
        <v>3.3038070819419989</v>
      </c>
      <c r="U23">
        <v>6.9908380786620734</v>
      </c>
      <c r="V23">
        <v>9.6469999999999993E-3</v>
      </c>
      <c r="W23">
        <v>8.5518540000000005</v>
      </c>
      <c r="X23">
        <v>7.1656500000000003</v>
      </c>
      <c r="Y23">
        <v>44.150669999999998</v>
      </c>
      <c r="Z23">
        <v>42.528283999999999</v>
      </c>
      <c r="AA23">
        <v>1E-4</v>
      </c>
      <c r="AB23">
        <v>0.65955054452455097</v>
      </c>
      <c r="AC23">
        <v>6.6176297923569738</v>
      </c>
      <c r="AD23">
        <v>1.6426339999999999</v>
      </c>
      <c r="AE23">
        <v>0.26943243745875872</v>
      </c>
      <c r="AF23" s="6">
        <v>0.63907592800598911</v>
      </c>
      <c r="AG23">
        <v>2</v>
      </c>
    </row>
    <row r="24" spans="1:33" hidden="1" x14ac:dyDescent="0.3">
      <c r="A24" s="5">
        <v>23</v>
      </c>
      <c r="B24" t="s">
        <v>100</v>
      </c>
      <c r="C24">
        <v>5814.1657645999803</v>
      </c>
      <c r="D24">
        <v>96.902762743333</v>
      </c>
      <c r="E24" t="s">
        <v>101</v>
      </c>
      <c r="G24" t="s">
        <v>34</v>
      </c>
      <c r="H24" t="s">
        <v>102</v>
      </c>
      <c r="J24" t="s">
        <v>36</v>
      </c>
      <c r="K24">
        <v>2.5342726527727118E-2</v>
      </c>
      <c r="L24">
        <v>0</v>
      </c>
      <c r="M24">
        <v>2.5342726527727118E-2</v>
      </c>
      <c r="N24" t="s">
        <v>17</v>
      </c>
      <c r="O24">
        <v>232</v>
      </c>
      <c r="P24" s="11">
        <v>6.0758813264849172E-5</v>
      </c>
      <c r="Q24">
        <v>1E-4</v>
      </c>
      <c r="R24">
        <v>2000</v>
      </c>
      <c r="S24">
        <v>0.65230297039469942</v>
      </c>
      <c r="T24">
        <v>2.0770307526074339</v>
      </c>
      <c r="U24">
        <v>0.78075656968564511</v>
      </c>
      <c r="V24">
        <v>9.6469999999999993E-3</v>
      </c>
      <c r="W24">
        <v>8.5518540000000005</v>
      </c>
      <c r="X24">
        <v>7.1656500000000003</v>
      </c>
      <c r="Y24">
        <v>44.150669999999998</v>
      </c>
      <c r="Z24">
        <v>42.528283999999999</v>
      </c>
      <c r="AA24">
        <v>1E-4</v>
      </c>
      <c r="AB24">
        <v>3.9263394493182999</v>
      </c>
      <c r="AC24">
        <v>7.0427777304200028</v>
      </c>
      <c r="AD24">
        <v>1.6426339999999999</v>
      </c>
      <c r="AE24">
        <v>0.53593493485641408</v>
      </c>
      <c r="AF24" s="6">
        <v>0.21139776264460561</v>
      </c>
      <c r="AG24">
        <v>1</v>
      </c>
    </row>
    <row r="25" spans="1:33" x14ac:dyDescent="0.3">
      <c r="A25" s="5">
        <v>24</v>
      </c>
      <c r="B25" t="s">
        <v>103</v>
      </c>
      <c r="C25">
        <v>4185.7595682000101</v>
      </c>
      <c r="D25">
        <v>69.762659470000173</v>
      </c>
      <c r="E25" t="s">
        <v>104</v>
      </c>
      <c r="G25" t="s">
        <v>34</v>
      </c>
      <c r="H25" t="s">
        <v>105</v>
      </c>
      <c r="J25" t="s">
        <v>36</v>
      </c>
      <c r="K25">
        <v>1.7061836719004322E-2</v>
      </c>
      <c r="L25">
        <v>0</v>
      </c>
      <c r="M25">
        <v>1.7061836719004322E-2</v>
      </c>
      <c r="N25" t="s">
        <v>17</v>
      </c>
      <c r="O25">
        <v>240</v>
      </c>
      <c r="P25" s="11">
        <v>9.7299965244742958E-5</v>
      </c>
      <c r="Q25">
        <v>1E-4</v>
      </c>
      <c r="R25">
        <v>2000</v>
      </c>
      <c r="S25" s="23">
        <v>0.132546262650129</v>
      </c>
      <c r="T25">
        <v>3.893671184911172</v>
      </c>
      <c r="U25">
        <v>0.67255490702205023</v>
      </c>
      <c r="V25">
        <v>9.6469999999999993E-3</v>
      </c>
      <c r="W25">
        <v>8.5518540000000005</v>
      </c>
      <c r="X25">
        <v>7.1656500000000003</v>
      </c>
      <c r="Y25">
        <v>44.150669999999998</v>
      </c>
      <c r="Z25">
        <v>42.528283999999999</v>
      </c>
      <c r="AA25">
        <v>1E-4</v>
      </c>
      <c r="AB25">
        <v>3.921038778767866</v>
      </c>
      <c r="AC25">
        <v>9.991795607270566</v>
      </c>
      <c r="AD25">
        <v>1.6426339999999999</v>
      </c>
      <c r="AE25">
        <v>0.57030410431709933</v>
      </c>
      <c r="AF25" s="6">
        <v>0.27539095119876622</v>
      </c>
      <c r="AG25">
        <v>1</v>
      </c>
    </row>
    <row r="26" spans="1:33" x14ac:dyDescent="0.3">
      <c r="A26" s="5">
        <v>25</v>
      </c>
      <c r="B26" t="s">
        <v>106</v>
      </c>
      <c r="C26">
        <v>4901.0364973999967</v>
      </c>
      <c r="D26">
        <v>81.683941623333283</v>
      </c>
      <c r="E26" t="s">
        <v>107</v>
      </c>
      <c r="G26" t="s">
        <v>34</v>
      </c>
      <c r="H26" t="s">
        <v>108</v>
      </c>
      <c r="J26" t="s">
        <v>36</v>
      </c>
      <c r="K26">
        <v>3.2865191206284922E-2</v>
      </c>
      <c r="L26">
        <v>0</v>
      </c>
      <c r="M26">
        <v>3.2865191206284922E-2</v>
      </c>
      <c r="N26" t="s">
        <v>17</v>
      </c>
      <c r="O26">
        <v>832</v>
      </c>
      <c r="P26" s="11">
        <v>9.7801619461440078E-5</v>
      </c>
      <c r="Q26">
        <v>1E-4</v>
      </c>
      <c r="R26">
        <v>2000</v>
      </c>
      <c r="S26" s="24">
        <v>0.19413816212667731</v>
      </c>
      <c r="T26" s="16">
        <v>3.844084630584347</v>
      </c>
      <c r="U26" s="16">
        <v>1.2368361308460261</v>
      </c>
      <c r="V26" s="16">
        <v>9.6469999999999993E-3</v>
      </c>
      <c r="W26" s="16">
        <v>8.5518540000000005</v>
      </c>
      <c r="X26" s="16">
        <v>7.1656500000000003</v>
      </c>
      <c r="Y26" s="16">
        <v>44.150669999999998</v>
      </c>
      <c r="Z26" s="16">
        <v>42.528283999999999</v>
      </c>
      <c r="AA26" s="16">
        <v>1E-4</v>
      </c>
      <c r="AB26" s="16">
        <v>2.4274124306484648</v>
      </c>
      <c r="AC26" s="16">
        <v>9.9601620773877109</v>
      </c>
      <c r="AD26" s="16">
        <v>1.6426339999999999</v>
      </c>
      <c r="AE26" s="16">
        <v>0.59968154212108837</v>
      </c>
      <c r="AF26" s="17">
        <v>0.19259834076794369</v>
      </c>
      <c r="AG26">
        <v>0</v>
      </c>
    </row>
    <row r="27" spans="1:33" x14ac:dyDescent="0.3">
      <c r="A27" s="5">
        <v>26</v>
      </c>
      <c r="B27" t="s">
        <v>109</v>
      </c>
      <c r="C27">
        <v>2074.2730203999959</v>
      </c>
      <c r="D27">
        <v>34.571217006666608</v>
      </c>
      <c r="E27" t="s">
        <v>110</v>
      </c>
      <c r="G27" t="s">
        <v>34</v>
      </c>
      <c r="H27" t="s">
        <v>111</v>
      </c>
      <c r="J27" t="s">
        <v>36</v>
      </c>
      <c r="K27">
        <v>2.158008175818216E-2</v>
      </c>
      <c r="L27">
        <v>0</v>
      </c>
      <c r="M27">
        <v>2.158008175818216E-2</v>
      </c>
      <c r="N27" t="s">
        <v>17</v>
      </c>
      <c r="O27">
        <v>277</v>
      </c>
      <c r="P27" s="11">
        <v>9.9942092145659375E-5</v>
      </c>
      <c r="Q27">
        <v>1E-4</v>
      </c>
      <c r="R27">
        <v>2000</v>
      </c>
      <c r="S27" s="23">
        <v>0.37858929172535749</v>
      </c>
      <c r="T27">
        <v>2.614446601797082</v>
      </c>
      <c r="U27">
        <v>7.184449109992201</v>
      </c>
      <c r="V27">
        <v>9.6469999999999993E-3</v>
      </c>
      <c r="W27">
        <v>8.5518540000000005</v>
      </c>
      <c r="X27">
        <v>7.1656500000000003</v>
      </c>
      <c r="Y27">
        <v>44.150669999999998</v>
      </c>
      <c r="Z27">
        <v>42.528283999999999</v>
      </c>
      <c r="AA27">
        <v>1E-4</v>
      </c>
      <c r="AB27">
        <v>1.212010681004307</v>
      </c>
      <c r="AC27">
        <v>9.9930494297369474</v>
      </c>
      <c r="AD27">
        <v>1.6426339999999999</v>
      </c>
      <c r="AE27">
        <v>0.34845443192353331</v>
      </c>
      <c r="AF27" s="6">
        <v>0.53600703040912212</v>
      </c>
      <c r="AG27">
        <v>1</v>
      </c>
    </row>
    <row r="28" spans="1:33" x14ac:dyDescent="0.3">
      <c r="A28" s="5">
        <v>27</v>
      </c>
      <c r="B28" t="s">
        <v>112</v>
      </c>
      <c r="C28">
        <v>4781.5120207</v>
      </c>
      <c r="D28">
        <v>79.691867011666673</v>
      </c>
      <c r="E28" t="s">
        <v>113</v>
      </c>
      <c r="G28" t="s">
        <v>34</v>
      </c>
      <c r="H28" t="s">
        <v>114</v>
      </c>
      <c r="J28" t="s">
        <v>36</v>
      </c>
      <c r="K28">
        <v>3.5409677587260928E-2</v>
      </c>
      <c r="L28">
        <v>0</v>
      </c>
      <c r="M28">
        <v>3.5409677587260928E-2</v>
      </c>
      <c r="N28" t="s">
        <v>17</v>
      </c>
      <c r="O28">
        <v>695</v>
      </c>
      <c r="P28" s="11">
        <v>8.8803930078873696E-5</v>
      </c>
      <c r="Q28">
        <v>1E-4</v>
      </c>
      <c r="R28">
        <v>2000</v>
      </c>
      <c r="S28" s="23">
        <v>0.17552491149223229</v>
      </c>
      <c r="T28">
        <v>4.1577551963834054</v>
      </c>
      <c r="U28">
        <v>1.4753880067750491</v>
      </c>
      <c r="V28">
        <v>9.6469999999999993E-3</v>
      </c>
      <c r="W28">
        <v>8.5518540000000005</v>
      </c>
      <c r="X28">
        <v>7.1656500000000003</v>
      </c>
      <c r="Y28">
        <v>44.150669999999998</v>
      </c>
      <c r="Z28">
        <v>42.528283999999999</v>
      </c>
      <c r="AA28">
        <v>1E-4</v>
      </c>
      <c r="AB28">
        <v>2.0675212452253708</v>
      </c>
      <c r="AC28">
        <v>9.9962269957496606</v>
      </c>
      <c r="AD28">
        <v>1.6426339999999999</v>
      </c>
      <c r="AE28">
        <v>0.56432866694182982</v>
      </c>
      <c r="AF28" s="6">
        <v>0.2082087045653517</v>
      </c>
      <c r="AG28">
        <v>1</v>
      </c>
    </row>
    <row r="29" spans="1:33" x14ac:dyDescent="0.3">
      <c r="A29" s="5">
        <v>28</v>
      </c>
      <c r="B29" t="s">
        <v>115</v>
      </c>
      <c r="C29">
        <v>2133.3174923000038</v>
      </c>
      <c r="D29">
        <v>35.555291538333407</v>
      </c>
      <c r="E29" t="s">
        <v>116</v>
      </c>
      <c r="G29" t="s">
        <v>34</v>
      </c>
      <c r="H29" t="s">
        <v>117</v>
      </c>
      <c r="J29" t="s">
        <v>36</v>
      </c>
      <c r="K29">
        <v>1.10161903996707E-2</v>
      </c>
      <c r="L29">
        <v>0</v>
      </c>
      <c r="M29">
        <v>1.10161903996707E-2</v>
      </c>
      <c r="N29" t="s">
        <v>17</v>
      </c>
      <c r="O29">
        <v>255</v>
      </c>
      <c r="P29" s="11">
        <v>9.990303220302308E-5</v>
      </c>
      <c r="Q29">
        <v>1E-4</v>
      </c>
      <c r="R29">
        <v>2000</v>
      </c>
      <c r="S29" s="24">
        <v>0.1386956396634994</v>
      </c>
      <c r="T29" s="16">
        <v>0.35096545121603412</v>
      </c>
      <c r="U29" s="16">
        <v>5.6300792481507358</v>
      </c>
      <c r="V29" s="16">
        <v>9.6469999999999993E-3</v>
      </c>
      <c r="W29" s="16">
        <v>8.5518540000000005</v>
      </c>
      <c r="X29" s="16">
        <v>7.1656500000000003</v>
      </c>
      <c r="Y29" s="16">
        <v>44.150669999999998</v>
      </c>
      <c r="Z29" s="16">
        <v>42.528283999999999</v>
      </c>
      <c r="AA29" s="16">
        <v>1E-4</v>
      </c>
      <c r="AB29" s="16">
        <v>2.48489320225287</v>
      </c>
      <c r="AC29" s="16">
        <v>4.4853468547857913</v>
      </c>
      <c r="AD29" s="16">
        <v>1.6426339999999999</v>
      </c>
      <c r="AE29" s="16">
        <v>0.13702884973579349</v>
      </c>
      <c r="AF29" s="17">
        <v>0.61565639978424436</v>
      </c>
      <c r="AG29">
        <v>0</v>
      </c>
    </row>
    <row r="30" spans="1:33" x14ac:dyDescent="0.3">
      <c r="A30" s="5">
        <v>29</v>
      </c>
      <c r="B30" t="s">
        <v>118</v>
      </c>
      <c r="C30">
        <v>1720.9336680999841</v>
      </c>
      <c r="D30">
        <v>28.6822278016664</v>
      </c>
      <c r="E30" t="s">
        <v>119</v>
      </c>
      <c r="G30" t="s">
        <v>34</v>
      </c>
      <c r="H30" t="s">
        <v>120</v>
      </c>
      <c r="J30" t="s">
        <v>36</v>
      </c>
      <c r="K30">
        <v>1.528760483283453E-2</v>
      </c>
      <c r="L30">
        <v>0</v>
      </c>
      <c r="M30">
        <v>1.528760483283453E-2</v>
      </c>
      <c r="N30" t="s">
        <v>17</v>
      </c>
      <c r="O30">
        <v>334</v>
      </c>
      <c r="P30" s="11">
        <v>9.3982948527025596E-5</v>
      </c>
      <c r="Q30">
        <v>1E-4</v>
      </c>
      <c r="R30">
        <v>2000</v>
      </c>
      <c r="S30" s="23">
        <v>5.2075001580897208E-2</v>
      </c>
      <c r="T30">
        <v>1.8137100794334391</v>
      </c>
      <c r="U30">
        <v>1.5666984959853949</v>
      </c>
      <c r="V30">
        <v>9.6469999999999993E-3</v>
      </c>
      <c r="W30">
        <v>8.5518540000000005</v>
      </c>
      <c r="X30">
        <v>7.1656500000000003</v>
      </c>
      <c r="Y30">
        <v>44.150669999999998</v>
      </c>
      <c r="Z30">
        <v>42.528283999999999</v>
      </c>
      <c r="AA30">
        <v>1E-4</v>
      </c>
      <c r="AB30">
        <v>5.8649617967851384</v>
      </c>
      <c r="AC30">
        <v>4.2056147599870002</v>
      </c>
      <c r="AD30">
        <v>1.6426339999999999</v>
      </c>
      <c r="AE30">
        <v>0.1991690382268973</v>
      </c>
      <c r="AF30" s="6">
        <v>0.79546710150877675</v>
      </c>
      <c r="AG30">
        <v>1</v>
      </c>
    </row>
    <row r="31" spans="1:33" hidden="1" x14ac:dyDescent="0.3">
      <c r="A31" s="5">
        <v>30</v>
      </c>
      <c r="B31" t="s">
        <v>121</v>
      </c>
      <c r="C31">
        <v>9562.8541788000148</v>
      </c>
      <c r="D31">
        <v>159.38090298000029</v>
      </c>
      <c r="E31" t="s">
        <v>122</v>
      </c>
      <c r="G31" t="s">
        <v>34</v>
      </c>
      <c r="H31" t="s">
        <v>123</v>
      </c>
      <c r="J31" t="s">
        <v>36</v>
      </c>
      <c r="K31">
        <v>3.1160231464880579E-2</v>
      </c>
      <c r="L31">
        <v>0</v>
      </c>
      <c r="M31">
        <v>3.1160231464880579E-2</v>
      </c>
      <c r="N31" t="s">
        <v>17</v>
      </c>
      <c r="O31">
        <v>1156</v>
      </c>
      <c r="P31" s="11">
        <v>9.9623439468476128E-5</v>
      </c>
      <c r="Q31">
        <v>1E-4</v>
      </c>
      <c r="R31">
        <v>2000</v>
      </c>
      <c r="S31">
        <v>0.4018388425254531</v>
      </c>
      <c r="T31">
        <v>0.61404232777015577</v>
      </c>
      <c r="U31">
        <v>2.4462735119352401</v>
      </c>
      <c r="V31">
        <v>9.6469999999999993E-3</v>
      </c>
      <c r="W31">
        <v>8.5518540000000005</v>
      </c>
      <c r="X31">
        <v>7.1656500000000003</v>
      </c>
      <c r="Y31">
        <v>44.150669999999998</v>
      </c>
      <c r="Z31">
        <v>42.528283999999999</v>
      </c>
      <c r="AA31">
        <v>1E-4</v>
      </c>
      <c r="AB31">
        <v>3.3543712389456619</v>
      </c>
      <c r="AC31">
        <v>3.2130244179909879</v>
      </c>
      <c r="AD31">
        <v>1.6426339999999999</v>
      </c>
      <c r="AE31">
        <v>0.1648831061895614</v>
      </c>
      <c r="AF31" s="6">
        <v>0.8961940821529828</v>
      </c>
      <c r="AG31">
        <v>2</v>
      </c>
    </row>
    <row r="32" spans="1:33" x14ac:dyDescent="0.3">
      <c r="A32" s="5">
        <v>31</v>
      </c>
      <c r="B32" t="s">
        <v>124</v>
      </c>
      <c r="C32">
        <v>1135.8948174999971</v>
      </c>
      <c r="D32">
        <v>18.931580291666609</v>
      </c>
      <c r="E32" t="s">
        <v>125</v>
      </c>
      <c r="G32" t="s">
        <v>34</v>
      </c>
      <c r="H32" t="s">
        <v>126</v>
      </c>
      <c r="J32" t="s">
        <v>36</v>
      </c>
      <c r="K32">
        <v>1.2418892553136759E-2</v>
      </c>
      <c r="L32">
        <v>0</v>
      </c>
      <c r="M32">
        <v>1.2418892553136759E-2</v>
      </c>
      <c r="N32" t="s">
        <v>17</v>
      </c>
      <c r="O32">
        <v>173</v>
      </c>
      <c r="P32" s="11">
        <v>9.9952482821797579E-5</v>
      </c>
      <c r="Q32">
        <v>1E-4</v>
      </c>
      <c r="R32">
        <v>2000</v>
      </c>
      <c r="S32" s="23">
        <v>9.5131472790338165E-2</v>
      </c>
      <c r="T32">
        <v>1.3514976724639101</v>
      </c>
      <c r="U32">
        <v>1.378767963387493</v>
      </c>
      <c r="V32">
        <v>9.6469999999999993E-3</v>
      </c>
      <c r="W32">
        <v>8.5518540000000005</v>
      </c>
      <c r="X32">
        <v>7.1656500000000003</v>
      </c>
      <c r="Y32">
        <v>44.150669999999998</v>
      </c>
      <c r="Z32">
        <v>42.528283999999999</v>
      </c>
      <c r="AA32">
        <v>1E-4</v>
      </c>
      <c r="AB32">
        <v>5.7046777604247936</v>
      </c>
      <c r="AC32">
        <v>6.9959496868252078</v>
      </c>
      <c r="AD32">
        <v>1.6426339999999999</v>
      </c>
      <c r="AE32">
        <v>0.27282498101157071</v>
      </c>
      <c r="AF32" s="6">
        <v>0.70647905065370864</v>
      </c>
      <c r="AG32">
        <v>1</v>
      </c>
    </row>
    <row r="33" spans="1:33" x14ac:dyDescent="0.3">
      <c r="A33" s="5">
        <v>32</v>
      </c>
      <c r="B33" t="s">
        <v>127</v>
      </c>
      <c r="C33">
        <v>9774.8308117999986</v>
      </c>
      <c r="D33">
        <v>162.9138468633333</v>
      </c>
      <c r="E33" t="s">
        <v>128</v>
      </c>
      <c r="G33" t="s">
        <v>34</v>
      </c>
      <c r="H33" t="s">
        <v>129</v>
      </c>
      <c r="J33" t="s">
        <v>36</v>
      </c>
      <c r="K33">
        <v>3.5474141892733478E-2</v>
      </c>
      <c r="L33">
        <v>0</v>
      </c>
      <c r="M33">
        <v>3.5474141892733478E-2</v>
      </c>
      <c r="N33" t="s">
        <v>17</v>
      </c>
      <c r="O33">
        <v>576</v>
      </c>
      <c r="P33" s="11">
        <v>9.7171459345381795E-5</v>
      </c>
      <c r="Q33">
        <v>1E-4</v>
      </c>
      <c r="R33">
        <v>2000</v>
      </c>
      <c r="S33" s="24">
        <v>0.32234151004415629</v>
      </c>
      <c r="T33" s="16">
        <v>1.9991316186647099</v>
      </c>
      <c r="U33" s="16">
        <v>1.4055667221445689</v>
      </c>
      <c r="V33" s="16">
        <v>9.6469999999999993E-3</v>
      </c>
      <c r="W33" s="16">
        <v>8.5518540000000005</v>
      </c>
      <c r="X33" s="16">
        <v>7.1656500000000003</v>
      </c>
      <c r="Y33" s="16">
        <v>44.150669999999998</v>
      </c>
      <c r="Z33" s="16">
        <v>42.528283999999999</v>
      </c>
      <c r="AA33" s="16">
        <v>1E-4</v>
      </c>
      <c r="AB33" s="16">
        <v>3.566065080144825</v>
      </c>
      <c r="AC33" s="16">
        <v>6.1644202880710797</v>
      </c>
      <c r="AD33" s="16">
        <v>1.6426339999999999</v>
      </c>
      <c r="AE33" s="16">
        <v>0.49660288496814692</v>
      </c>
      <c r="AF33" s="17">
        <v>0.3550808755615506</v>
      </c>
      <c r="AG33">
        <v>0</v>
      </c>
    </row>
    <row r="34" spans="1:33" hidden="1" x14ac:dyDescent="0.3">
      <c r="A34" s="5">
        <v>33</v>
      </c>
      <c r="B34" t="s">
        <v>130</v>
      </c>
      <c r="C34">
        <v>4253.1494631999813</v>
      </c>
      <c r="D34">
        <v>70.885824386666357</v>
      </c>
      <c r="E34" t="s">
        <v>131</v>
      </c>
      <c r="G34" t="s">
        <v>34</v>
      </c>
      <c r="H34" t="s">
        <v>132</v>
      </c>
      <c r="J34" t="s">
        <v>36</v>
      </c>
      <c r="K34">
        <v>4.4191874799525091E-2</v>
      </c>
      <c r="L34">
        <v>0</v>
      </c>
      <c r="M34">
        <v>4.4191874799525091E-2</v>
      </c>
      <c r="N34" t="s">
        <v>17</v>
      </c>
      <c r="O34">
        <v>602</v>
      </c>
      <c r="P34" s="11">
        <v>7.0307574478676885E-5</v>
      </c>
      <c r="Q34">
        <v>1E-4</v>
      </c>
      <c r="R34">
        <v>2000</v>
      </c>
      <c r="S34">
        <v>0.65962327440448321</v>
      </c>
      <c r="T34">
        <v>4.4482599897689132</v>
      </c>
      <c r="U34">
        <v>5.0098081134271073</v>
      </c>
      <c r="V34">
        <v>9.6469999999999993E-3</v>
      </c>
      <c r="W34">
        <v>8.5518540000000005</v>
      </c>
      <c r="X34">
        <v>7.1656500000000003</v>
      </c>
      <c r="Y34">
        <v>44.150669999999998</v>
      </c>
      <c r="Z34">
        <v>42.528283999999999</v>
      </c>
      <c r="AA34">
        <v>1E-4</v>
      </c>
      <c r="AB34">
        <v>0.85232557149720689</v>
      </c>
      <c r="AC34">
        <v>9.9968986282814321</v>
      </c>
      <c r="AD34">
        <v>1.6426339999999999</v>
      </c>
      <c r="AE34">
        <v>0.41213678145615201</v>
      </c>
      <c r="AF34" s="6">
        <v>0.62659620795105597</v>
      </c>
      <c r="AG34">
        <v>2</v>
      </c>
    </row>
    <row r="35" spans="1:33" hidden="1" x14ac:dyDescent="0.3">
      <c r="A35" s="5">
        <v>34</v>
      </c>
      <c r="B35" t="s">
        <v>133</v>
      </c>
      <c r="C35">
        <v>2399.5497187000001</v>
      </c>
      <c r="D35">
        <v>39.992495311666673</v>
      </c>
      <c r="E35" t="s">
        <v>134</v>
      </c>
      <c r="G35" t="s">
        <v>34</v>
      </c>
      <c r="H35" t="s">
        <v>135</v>
      </c>
      <c r="J35" t="s">
        <v>36</v>
      </c>
      <c r="K35">
        <v>2.718230423091713E-2</v>
      </c>
      <c r="L35">
        <v>0</v>
      </c>
      <c r="M35">
        <v>2.718230423091713E-2</v>
      </c>
      <c r="N35" t="s">
        <v>17</v>
      </c>
      <c r="O35">
        <v>429</v>
      </c>
      <c r="P35" s="11">
        <v>9.9275834797104382E-5</v>
      </c>
      <c r="Q35">
        <v>1E-4</v>
      </c>
      <c r="R35">
        <v>2000</v>
      </c>
      <c r="S35">
        <v>5.9172438699637071E-2</v>
      </c>
      <c r="T35">
        <v>1.1187936440531281</v>
      </c>
      <c r="U35">
        <v>8.1363479882043865</v>
      </c>
      <c r="V35">
        <v>9.6469999999999993E-3</v>
      </c>
      <c r="W35">
        <v>8.5518540000000005</v>
      </c>
      <c r="X35">
        <v>7.1656500000000003</v>
      </c>
      <c r="Y35">
        <v>44.150669999999998</v>
      </c>
      <c r="Z35">
        <v>42.528283999999999</v>
      </c>
      <c r="AA35">
        <v>1E-4</v>
      </c>
      <c r="AB35">
        <v>7.3468442786090424</v>
      </c>
      <c r="AC35">
        <v>1.537417305912113</v>
      </c>
      <c r="AD35">
        <v>1.6426339999999999</v>
      </c>
      <c r="AE35">
        <v>0.72999562173552102</v>
      </c>
      <c r="AF35" s="6">
        <v>0.25443496210767719</v>
      </c>
      <c r="AG35">
        <v>4</v>
      </c>
    </row>
    <row r="36" spans="1:33" x14ac:dyDescent="0.3">
      <c r="A36" s="5">
        <v>35</v>
      </c>
      <c r="B36" t="s">
        <v>136</v>
      </c>
      <c r="C36">
        <v>1066.8020373000179</v>
      </c>
      <c r="D36">
        <v>17.780033955000299</v>
      </c>
      <c r="E36" t="s">
        <v>137</v>
      </c>
      <c r="G36" t="s">
        <v>34</v>
      </c>
      <c r="H36" t="s">
        <v>138</v>
      </c>
      <c r="J36" t="s">
        <v>36</v>
      </c>
      <c r="K36">
        <v>2.0386779345943549E-2</v>
      </c>
      <c r="L36">
        <v>0</v>
      </c>
      <c r="M36">
        <v>2.0386779345943549E-2</v>
      </c>
      <c r="N36" t="s">
        <v>17</v>
      </c>
      <c r="O36">
        <v>238</v>
      </c>
      <c r="P36" s="11">
        <v>9.7799410588132412E-5</v>
      </c>
      <c r="Q36">
        <v>1E-4</v>
      </c>
      <c r="R36">
        <v>2000</v>
      </c>
      <c r="S36" s="24">
        <v>0.1146204907562238</v>
      </c>
      <c r="T36" s="16">
        <v>1.2822339503207389</v>
      </c>
      <c r="U36" s="16">
        <v>3.3997732462060068</v>
      </c>
      <c r="V36" s="16">
        <v>9.6469999999999993E-3</v>
      </c>
      <c r="W36" s="16">
        <v>8.5518540000000005</v>
      </c>
      <c r="X36" s="16">
        <v>7.1656500000000003</v>
      </c>
      <c r="Y36" s="16">
        <v>44.150669999999998</v>
      </c>
      <c r="Z36" s="16">
        <v>42.528283999999999</v>
      </c>
      <c r="AA36" s="16">
        <v>1E-4</v>
      </c>
      <c r="AB36" s="16">
        <v>2.1198737333854409</v>
      </c>
      <c r="AC36" s="16">
        <v>5.6678882673044573</v>
      </c>
      <c r="AD36" s="16">
        <v>1.6426339999999999</v>
      </c>
      <c r="AE36" s="16">
        <v>0.28948593086548219</v>
      </c>
      <c r="AF36" s="17">
        <v>0.50893350559284523</v>
      </c>
      <c r="AG36">
        <v>0</v>
      </c>
    </row>
    <row r="37" spans="1:33" hidden="1" x14ac:dyDescent="0.3">
      <c r="A37" s="5">
        <v>36</v>
      </c>
      <c r="B37" t="s">
        <v>139</v>
      </c>
      <c r="C37">
        <v>2294.2875112000038</v>
      </c>
      <c r="D37">
        <v>38.238125186666728</v>
      </c>
      <c r="E37" t="s">
        <v>140</v>
      </c>
      <c r="G37" t="s">
        <v>34</v>
      </c>
      <c r="H37" t="s">
        <v>141</v>
      </c>
      <c r="J37" t="s">
        <v>36</v>
      </c>
      <c r="K37">
        <v>4.2882129783374037E-2</v>
      </c>
      <c r="L37">
        <v>0</v>
      </c>
      <c r="M37">
        <v>4.2882129783374037E-2</v>
      </c>
      <c r="N37" t="s">
        <v>17</v>
      </c>
      <c r="O37">
        <v>334</v>
      </c>
      <c r="P37" s="11">
        <v>9.8295988836569261E-5</v>
      </c>
      <c r="Q37">
        <v>1E-4</v>
      </c>
      <c r="R37">
        <v>2000</v>
      </c>
      <c r="S37">
        <v>0.67356462769414749</v>
      </c>
      <c r="T37">
        <v>0.57388886362052272</v>
      </c>
      <c r="U37">
        <v>3.6170171670026692</v>
      </c>
      <c r="V37">
        <v>9.6469999999999993E-3</v>
      </c>
      <c r="W37">
        <v>8.5518540000000005</v>
      </c>
      <c r="X37">
        <v>7.1656500000000003</v>
      </c>
      <c r="Y37">
        <v>44.150669999999998</v>
      </c>
      <c r="Z37">
        <v>42.528283999999999</v>
      </c>
      <c r="AA37">
        <v>1E-4</v>
      </c>
      <c r="AB37">
        <v>2.336016883177165</v>
      </c>
      <c r="AC37">
        <v>3.7032441470755901</v>
      </c>
      <c r="AD37">
        <v>1.6426339999999999</v>
      </c>
      <c r="AE37">
        <v>0.13360113217007261</v>
      </c>
      <c r="AF37" s="6">
        <v>0.96574481316584826</v>
      </c>
      <c r="AG37">
        <v>3</v>
      </c>
    </row>
    <row r="38" spans="1:33" x14ac:dyDescent="0.3">
      <c r="A38" s="5">
        <v>37</v>
      </c>
      <c r="B38" t="s">
        <v>142</v>
      </c>
      <c r="C38">
        <v>2741.5197531999729</v>
      </c>
      <c r="D38">
        <v>45.691995886666213</v>
      </c>
      <c r="E38" t="s">
        <v>143</v>
      </c>
      <c r="G38" t="s">
        <v>34</v>
      </c>
      <c r="H38" t="s">
        <v>144</v>
      </c>
      <c r="J38" t="s">
        <v>36</v>
      </c>
      <c r="K38">
        <v>3.6462153739501069E-2</v>
      </c>
      <c r="L38">
        <v>0</v>
      </c>
      <c r="M38">
        <v>3.6462153739501069E-2</v>
      </c>
      <c r="N38" t="s">
        <v>17</v>
      </c>
      <c r="O38">
        <v>473</v>
      </c>
      <c r="P38" s="11">
        <v>8.4768421213510278E-5</v>
      </c>
      <c r="Q38">
        <v>1E-4</v>
      </c>
      <c r="R38">
        <v>2000</v>
      </c>
      <c r="S38" s="23">
        <v>0.1004392902415865</v>
      </c>
      <c r="T38">
        <v>4.3800332930190624</v>
      </c>
      <c r="U38">
        <v>0.63567516180043038</v>
      </c>
      <c r="V38">
        <v>9.6469999999999993E-3</v>
      </c>
      <c r="W38">
        <v>8.5518540000000005</v>
      </c>
      <c r="X38">
        <v>7.1656500000000003</v>
      </c>
      <c r="Y38">
        <v>44.150669999999998</v>
      </c>
      <c r="Z38">
        <v>42.528283999999999</v>
      </c>
      <c r="AA38">
        <v>1E-4</v>
      </c>
      <c r="AB38">
        <v>2.9512050224277568</v>
      </c>
      <c r="AC38">
        <v>9.9091926377554085</v>
      </c>
      <c r="AD38">
        <v>1.6426339999999999</v>
      </c>
      <c r="AE38">
        <v>0.60218660480016539</v>
      </c>
      <c r="AF38" s="6">
        <v>0.14604862905263499</v>
      </c>
      <c r="AG38">
        <v>1</v>
      </c>
    </row>
    <row r="39" spans="1:33" x14ac:dyDescent="0.3">
      <c r="A39" s="5">
        <v>38</v>
      </c>
      <c r="B39" t="s">
        <v>145</v>
      </c>
      <c r="C39">
        <v>7975.0046935999999</v>
      </c>
      <c r="D39">
        <v>132.91674489333329</v>
      </c>
      <c r="E39" t="s">
        <v>146</v>
      </c>
      <c r="G39" t="s">
        <v>34</v>
      </c>
      <c r="H39" t="s">
        <v>147</v>
      </c>
      <c r="J39" t="s">
        <v>36</v>
      </c>
      <c r="K39">
        <v>3.260815693577121E-2</v>
      </c>
      <c r="L39">
        <v>0</v>
      </c>
      <c r="M39">
        <v>3.260815693577121E-2</v>
      </c>
      <c r="N39" t="s">
        <v>17</v>
      </c>
      <c r="O39">
        <v>384</v>
      </c>
      <c r="P39" s="11">
        <v>8.300816004010434E-5</v>
      </c>
      <c r="Q39">
        <v>1E-4</v>
      </c>
      <c r="R39">
        <v>2000</v>
      </c>
      <c r="S39" s="24">
        <v>0.17452147863439391</v>
      </c>
      <c r="T39" s="16">
        <v>2.6757654567366602</v>
      </c>
      <c r="U39" s="16">
        <v>0.81752363490333246</v>
      </c>
      <c r="V39" s="16">
        <v>9.6469999999999993E-3</v>
      </c>
      <c r="W39" s="16">
        <v>8.5518540000000005</v>
      </c>
      <c r="X39" s="16">
        <v>7.1656500000000003</v>
      </c>
      <c r="Y39" s="16">
        <v>44.150669999999998</v>
      </c>
      <c r="Z39" s="16">
        <v>42.528283999999999</v>
      </c>
      <c r="AA39" s="16">
        <v>1E-4</v>
      </c>
      <c r="AB39" s="16">
        <v>4.6126561510747308</v>
      </c>
      <c r="AC39" s="16">
        <v>9.9983768878087265</v>
      </c>
      <c r="AD39" s="16">
        <v>1.6426339999999999</v>
      </c>
      <c r="AE39" s="16">
        <v>0.59436989934675821</v>
      </c>
      <c r="AF39" s="17">
        <v>0.25578825498710922</v>
      </c>
      <c r="AG39">
        <v>0</v>
      </c>
    </row>
    <row r="40" spans="1:33" x14ac:dyDescent="0.3">
      <c r="A40" s="5">
        <v>39</v>
      </c>
      <c r="B40" t="s">
        <v>148</v>
      </c>
      <c r="C40">
        <v>2399.7903314</v>
      </c>
      <c r="D40">
        <v>39.996505523333333</v>
      </c>
      <c r="E40" t="s">
        <v>149</v>
      </c>
      <c r="G40" t="s">
        <v>34</v>
      </c>
      <c r="H40" t="s">
        <v>150</v>
      </c>
      <c r="J40" t="s">
        <v>36</v>
      </c>
      <c r="K40">
        <v>3.9624340522111133E-2</v>
      </c>
      <c r="L40">
        <v>0</v>
      </c>
      <c r="M40">
        <v>3.9624340522111133E-2</v>
      </c>
      <c r="N40" t="s">
        <v>17</v>
      </c>
      <c r="O40">
        <v>329</v>
      </c>
      <c r="P40" s="11">
        <v>6.4767194554348203E-5</v>
      </c>
      <c r="Q40">
        <v>1E-4</v>
      </c>
      <c r="R40">
        <v>2000</v>
      </c>
      <c r="S40" s="24">
        <v>0.10965967707491669</v>
      </c>
      <c r="T40" s="16">
        <v>2.955778978407098</v>
      </c>
      <c r="U40" s="16">
        <v>2.1872378522803202</v>
      </c>
      <c r="V40" s="16">
        <v>9.6469999999999993E-3</v>
      </c>
      <c r="W40" s="16">
        <v>8.5518540000000005</v>
      </c>
      <c r="X40" s="16">
        <v>7.1656500000000003</v>
      </c>
      <c r="Y40" s="16">
        <v>44.150669999999998</v>
      </c>
      <c r="Z40" s="16">
        <v>42.528283999999999</v>
      </c>
      <c r="AA40" s="16">
        <v>1E-4</v>
      </c>
      <c r="AB40" s="16">
        <v>2.655314943580394</v>
      </c>
      <c r="AC40" s="16">
        <v>9.000361131175044</v>
      </c>
      <c r="AD40" s="16">
        <v>1.6426339999999999</v>
      </c>
      <c r="AE40" s="16">
        <v>0.39369906643429131</v>
      </c>
      <c r="AF40" s="17">
        <v>0.47154905671617331</v>
      </c>
      <c r="AG40">
        <v>0</v>
      </c>
    </row>
    <row r="41" spans="1:33" hidden="1" x14ac:dyDescent="0.3">
      <c r="A41" s="5">
        <v>40</v>
      </c>
      <c r="B41" t="s">
        <v>151</v>
      </c>
      <c r="C41">
        <v>2150.890547700023</v>
      </c>
      <c r="D41">
        <v>35.84817579500038</v>
      </c>
      <c r="E41" t="s">
        <v>152</v>
      </c>
      <c r="G41" t="s">
        <v>34</v>
      </c>
      <c r="H41" t="s">
        <v>153</v>
      </c>
      <c r="J41" t="s">
        <v>36</v>
      </c>
      <c r="K41">
        <v>4.3342612504510339E-2</v>
      </c>
      <c r="L41">
        <v>0</v>
      </c>
      <c r="M41">
        <v>4.3342612504510339E-2</v>
      </c>
      <c r="N41" t="s">
        <v>17</v>
      </c>
      <c r="O41">
        <v>200</v>
      </c>
      <c r="P41" s="11">
        <v>9.8636369727282558E-5</v>
      </c>
      <c r="Q41">
        <v>1E-4</v>
      </c>
      <c r="R41">
        <v>2000</v>
      </c>
      <c r="S41">
        <v>0.74623867474013073</v>
      </c>
      <c r="T41">
        <v>0.38323233714267452</v>
      </c>
      <c r="U41">
        <v>5.189603952608044</v>
      </c>
      <c r="V41">
        <v>9.6469999999999993E-3</v>
      </c>
      <c r="W41">
        <v>8.5518540000000005</v>
      </c>
      <c r="X41">
        <v>7.1656500000000003</v>
      </c>
      <c r="Y41">
        <v>44.150669999999998</v>
      </c>
      <c r="Z41">
        <v>42.528283999999999</v>
      </c>
      <c r="AA41">
        <v>1E-4</v>
      </c>
      <c r="AB41">
        <v>4.1150732908538794</v>
      </c>
      <c r="AC41">
        <v>2.7688933293668101</v>
      </c>
      <c r="AD41">
        <v>1.6426339999999999</v>
      </c>
      <c r="AE41">
        <v>0.32734243950322528</v>
      </c>
      <c r="AF41" s="6">
        <v>0.53762638576624711</v>
      </c>
      <c r="AG41">
        <v>2</v>
      </c>
    </row>
    <row r="42" spans="1:33" x14ac:dyDescent="0.3">
      <c r="A42" s="5">
        <v>41</v>
      </c>
      <c r="B42" t="s">
        <v>154</v>
      </c>
      <c r="C42">
        <v>801.18145249999361</v>
      </c>
      <c r="D42">
        <v>13.353024208333229</v>
      </c>
      <c r="E42" t="s">
        <v>155</v>
      </c>
      <c r="G42" t="s">
        <v>34</v>
      </c>
      <c r="H42" t="s">
        <v>156</v>
      </c>
      <c r="J42" t="s">
        <v>36</v>
      </c>
      <c r="K42">
        <v>2.8191474311919811E-2</v>
      </c>
      <c r="L42">
        <v>0</v>
      </c>
      <c r="M42">
        <v>2.8191474311919811E-2</v>
      </c>
      <c r="N42" t="s">
        <v>17</v>
      </c>
      <c r="O42">
        <v>121</v>
      </c>
      <c r="P42" s="11">
        <v>9.4974927254155758E-5</v>
      </c>
      <c r="Q42">
        <v>1E-4</v>
      </c>
      <c r="R42">
        <v>2000</v>
      </c>
      <c r="S42" s="23">
        <v>0.1100526452209012</v>
      </c>
      <c r="T42">
        <v>4.4252058770277394</v>
      </c>
      <c r="U42">
        <v>0.28387301061526288</v>
      </c>
      <c r="V42">
        <v>9.6469999999999993E-3</v>
      </c>
      <c r="W42">
        <v>8.5518540000000005</v>
      </c>
      <c r="X42">
        <v>7.1656500000000003</v>
      </c>
      <c r="Y42">
        <v>44.150669999999998</v>
      </c>
      <c r="Z42">
        <v>42.528283999999999</v>
      </c>
      <c r="AA42">
        <v>1E-4</v>
      </c>
      <c r="AB42">
        <v>3.181449095176371</v>
      </c>
      <c r="AC42">
        <v>6.3954667337460576</v>
      </c>
      <c r="AD42">
        <v>1.6426339999999999</v>
      </c>
      <c r="AE42">
        <v>0.5828094220948038</v>
      </c>
      <c r="AF42" s="6">
        <v>0.1000003012946015</v>
      </c>
      <c r="AG42">
        <v>1</v>
      </c>
    </row>
    <row r="43" spans="1:33" x14ac:dyDescent="0.3">
      <c r="A43" s="5">
        <v>42</v>
      </c>
      <c r="B43" t="s">
        <v>157</v>
      </c>
      <c r="C43">
        <v>5815.0278800000087</v>
      </c>
      <c r="D43">
        <v>96.917131333333472</v>
      </c>
      <c r="E43" t="s">
        <v>158</v>
      </c>
      <c r="G43" t="s">
        <v>34</v>
      </c>
      <c r="H43" t="s">
        <v>159</v>
      </c>
      <c r="J43" t="s">
        <v>36</v>
      </c>
      <c r="K43">
        <v>1.9750574773232939E-2</v>
      </c>
      <c r="L43">
        <v>0</v>
      </c>
      <c r="M43">
        <v>1.9750574773232939E-2</v>
      </c>
      <c r="N43" t="s">
        <v>17</v>
      </c>
      <c r="O43">
        <v>598</v>
      </c>
      <c r="P43" s="11">
        <v>9.9638696878770399E-5</v>
      </c>
      <c r="Q43">
        <v>1E-4</v>
      </c>
      <c r="R43">
        <v>2000</v>
      </c>
      <c r="S43" s="23">
        <v>0.12605952622185199</v>
      </c>
      <c r="T43">
        <v>0.80898060182916187</v>
      </c>
      <c r="U43">
        <v>1.6505552513407891</v>
      </c>
      <c r="V43">
        <v>9.6469999999999993E-3</v>
      </c>
      <c r="W43">
        <v>8.5518540000000005</v>
      </c>
      <c r="X43">
        <v>7.1656500000000003</v>
      </c>
      <c r="Y43">
        <v>44.150669999999998</v>
      </c>
      <c r="Z43">
        <v>42.528283999999999</v>
      </c>
      <c r="AA43">
        <v>1E-4</v>
      </c>
      <c r="AB43">
        <v>6.3464584858163198</v>
      </c>
      <c r="AC43">
        <v>7.2077376194969194</v>
      </c>
      <c r="AD43">
        <v>1.6426339999999999</v>
      </c>
      <c r="AE43">
        <v>0.60668647705468071</v>
      </c>
      <c r="AF43" s="6">
        <v>0.25304596166561011</v>
      </c>
      <c r="AG43">
        <v>2</v>
      </c>
    </row>
    <row r="44" spans="1:33" x14ac:dyDescent="0.3">
      <c r="A44" s="5">
        <v>43</v>
      </c>
      <c r="B44" t="s">
        <v>160</v>
      </c>
      <c r="C44">
        <v>8238.3212055999902</v>
      </c>
      <c r="D44">
        <v>137.3053534266665</v>
      </c>
      <c r="E44" t="s">
        <v>161</v>
      </c>
      <c r="G44" t="s">
        <v>34</v>
      </c>
      <c r="H44" t="s">
        <v>162</v>
      </c>
      <c r="J44" t="s">
        <v>36</v>
      </c>
      <c r="K44">
        <v>1.7189471988636629E-2</v>
      </c>
      <c r="L44">
        <v>0</v>
      </c>
      <c r="M44">
        <v>1.7189471988636629E-2</v>
      </c>
      <c r="N44" t="s">
        <v>17</v>
      </c>
      <c r="O44">
        <v>841</v>
      </c>
      <c r="P44" s="11">
        <v>9.3389779026669382E-5</v>
      </c>
      <c r="Q44">
        <v>1E-4</v>
      </c>
      <c r="R44">
        <v>2000</v>
      </c>
      <c r="S44" s="24">
        <v>7.8883809403219776E-2</v>
      </c>
      <c r="T44" s="16">
        <v>1.989834202392571</v>
      </c>
      <c r="U44" s="16">
        <v>3.1129349638889261</v>
      </c>
      <c r="V44" s="16">
        <v>9.6469999999999993E-3</v>
      </c>
      <c r="W44" s="16">
        <v>8.5518540000000005</v>
      </c>
      <c r="X44" s="16">
        <v>7.1656500000000003</v>
      </c>
      <c r="Y44" s="16">
        <v>44.150669999999998</v>
      </c>
      <c r="Z44" s="16">
        <v>42.528283999999999</v>
      </c>
      <c r="AA44" s="16">
        <v>1E-4</v>
      </c>
      <c r="AB44" s="16">
        <v>2.461554532498798</v>
      </c>
      <c r="AC44" s="16">
        <v>5.9148049494740906</v>
      </c>
      <c r="AD44" s="16">
        <v>1.6426339999999999</v>
      </c>
      <c r="AE44" s="16">
        <v>0.31198441176541619</v>
      </c>
      <c r="AF44" s="17">
        <v>0.52920428717387114</v>
      </c>
      <c r="AG44">
        <v>0</v>
      </c>
    </row>
    <row r="45" spans="1:33" hidden="1" x14ac:dyDescent="0.3">
      <c r="A45" s="5">
        <v>44</v>
      </c>
      <c r="B45" t="s">
        <v>163</v>
      </c>
      <c r="C45">
        <v>1713.080664100009</v>
      </c>
      <c r="D45">
        <v>28.551344401666821</v>
      </c>
      <c r="E45" t="s">
        <v>164</v>
      </c>
      <c r="G45" t="s">
        <v>34</v>
      </c>
      <c r="H45" t="s">
        <v>165</v>
      </c>
      <c r="J45" t="s">
        <v>36</v>
      </c>
      <c r="K45">
        <v>2.5491717737612211E-2</v>
      </c>
      <c r="L45">
        <v>0</v>
      </c>
      <c r="M45">
        <v>2.5491717737612211E-2</v>
      </c>
      <c r="N45" t="s">
        <v>17</v>
      </c>
      <c r="O45">
        <v>277</v>
      </c>
      <c r="P45" s="11">
        <v>8.3926602150845891E-5</v>
      </c>
      <c r="Q45">
        <v>1E-4</v>
      </c>
      <c r="R45">
        <v>2000</v>
      </c>
      <c r="S45" s="23">
        <v>0.59027284533395008</v>
      </c>
      <c r="T45">
        <v>0.72967253887345185</v>
      </c>
      <c r="U45">
        <v>5.2004075887518528</v>
      </c>
      <c r="V45">
        <v>9.6469999999999993E-3</v>
      </c>
      <c r="W45">
        <v>8.5518540000000005</v>
      </c>
      <c r="X45">
        <v>7.1656500000000003</v>
      </c>
      <c r="Y45">
        <v>44.150669999999998</v>
      </c>
      <c r="Z45">
        <v>42.528283999999999</v>
      </c>
      <c r="AA45">
        <v>1E-4</v>
      </c>
      <c r="AB45">
        <v>1.992707408782082</v>
      </c>
      <c r="AC45">
        <v>3.7815374174516858</v>
      </c>
      <c r="AD45">
        <v>1.6426339999999999</v>
      </c>
      <c r="AE45">
        <v>0.2097603282626237</v>
      </c>
      <c r="AF45" s="6">
        <v>0.64192898817429889</v>
      </c>
      <c r="AG45">
        <v>2</v>
      </c>
    </row>
    <row r="46" spans="1:33" hidden="1" x14ac:dyDescent="0.3">
      <c r="A46" s="5">
        <v>45</v>
      </c>
      <c r="B46" t="s">
        <v>166</v>
      </c>
      <c r="C46">
        <v>2684.0802187000231</v>
      </c>
      <c r="D46">
        <v>44.734670311667053</v>
      </c>
      <c r="E46" t="s">
        <v>167</v>
      </c>
      <c r="G46" t="s">
        <v>34</v>
      </c>
      <c r="H46" t="s">
        <v>168</v>
      </c>
      <c r="J46" t="s">
        <v>36</v>
      </c>
      <c r="K46">
        <v>4.2273376204148103E-2</v>
      </c>
      <c r="L46">
        <v>0</v>
      </c>
      <c r="M46">
        <v>4.2273376204148103E-2</v>
      </c>
      <c r="N46" t="s">
        <v>17</v>
      </c>
      <c r="O46">
        <v>521</v>
      </c>
      <c r="P46" s="11">
        <v>9.9063731022885248E-5</v>
      </c>
      <c r="Q46">
        <v>1E-4</v>
      </c>
      <c r="R46">
        <v>2000</v>
      </c>
      <c r="S46" s="23">
        <v>0.57618409879936505</v>
      </c>
      <c r="T46">
        <v>1.7666765324772551</v>
      </c>
      <c r="U46">
        <v>1.797508525699276</v>
      </c>
      <c r="V46">
        <v>9.6469999999999993E-3</v>
      </c>
      <c r="W46">
        <v>8.5518540000000005</v>
      </c>
      <c r="X46">
        <v>7.1656500000000003</v>
      </c>
      <c r="Y46">
        <v>44.150669999999998</v>
      </c>
      <c r="Z46">
        <v>42.528283999999999</v>
      </c>
      <c r="AA46">
        <v>1E-4</v>
      </c>
      <c r="AB46">
        <v>2.5905178027153131</v>
      </c>
      <c r="AC46">
        <v>1.6255871023536539</v>
      </c>
      <c r="AD46">
        <v>1.6426339999999999</v>
      </c>
      <c r="AE46">
        <v>0.37283516593569932</v>
      </c>
      <c r="AF46" s="6">
        <v>0.54050542640947186</v>
      </c>
      <c r="AG46">
        <v>2</v>
      </c>
    </row>
    <row r="47" spans="1:33" x14ac:dyDescent="0.3">
      <c r="A47" s="5">
        <v>46</v>
      </c>
      <c r="B47" t="s">
        <v>169</v>
      </c>
      <c r="C47">
        <v>7619.5466100000194</v>
      </c>
      <c r="D47">
        <v>126.99244350000031</v>
      </c>
      <c r="E47" t="s">
        <v>170</v>
      </c>
      <c r="G47" t="s">
        <v>34</v>
      </c>
      <c r="H47" t="s">
        <v>171</v>
      </c>
      <c r="J47" t="s">
        <v>36</v>
      </c>
      <c r="K47">
        <v>6.5581507067984292E-3</v>
      </c>
      <c r="L47">
        <v>0</v>
      </c>
      <c r="M47">
        <v>6.5581507067984292E-3</v>
      </c>
      <c r="N47" t="s">
        <v>17</v>
      </c>
      <c r="O47">
        <v>792</v>
      </c>
      <c r="P47" s="11">
        <v>9.6617142006042938E-5</v>
      </c>
      <c r="Q47">
        <v>1E-4</v>
      </c>
      <c r="R47">
        <v>2000</v>
      </c>
      <c r="S47" s="24">
        <v>0.1041206127356531</v>
      </c>
      <c r="T47" s="16">
        <v>0.69987284158389507</v>
      </c>
      <c r="U47" s="16">
        <v>5.2848496376444292</v>
      </c>
      <c r="V47" s="16">
        <v>9.6469999999999993E-3</v>
      </c>
      <c r="W47" s="16">
        <v>8.5518540000000005</v>
      </c>
      <c r="X47" s="16">
        <v>7.1656500000000003</v>
      </c>
      <c r="Y47" s="16">
        <v>44.150669999999998</v>
      </c>
      <c r="Z47" s="16">
        <v>42.528283999999999</v>
      </c>
      <c r="AA47" s="16">
        <v>1E-4</v>
      </c>
      <c r="AB47" s="16">
        <v>4.5556791886315926</v>
      </c>
      <c r="AC47" s="16">
        <v>9.5958568691340425</v>
      </c>
      <c r="AD47" s="16">
        <v>1.6426339999999999</v>
      </c>
      <c r="AE47" s="16">
        <v>0.48521752171947308</v>
      </c>
      <c r="AF47" s="17">
        <v>0.42199546060608167</v>
      </c>
      <c r="AG47">
        <v>0</v>
      </c>
    </row>
    <row r="48" spans="1:33" x14ac:dyDescent="0.3">
      <c r="A48" s="5">
        <v>47</v>
      </c>
      <c r="B48" t="s">
        <v>172</v>
      </c>
      <c r="C48">
        <v>11826.519732199989</v>
      </c>
      <c r="D48">
        <v>197.1086622033331</v>
      </c>
      <c r="E48" t="s">
        <v>173</v>
      </c>
      <c r="G48" t="s">
        <v>34</v>
      </c>
      <c r="H48" t="s">
        <v>174</v>
      </c>
      <c r="J48" t="s">
        <v>36</v>
      </c>
      <c r="K48">
        <v>1.4965088059449979E-2</v>
      </c>
      <c r="L48">
        <v>0</v>
      </c>
      <c r="M48">
        <v>1.4965088059449979E-2</v>
      </c>
      <c r="N48" t="s">
        <v>17</v>
      </c>
      <c r="O48">
        <v>1095</v>
      </c>
      <c r="P48" s="11">
        <v>5.2661424167271222E-5</v>
      </c>
      <c r="Q48">
        <v>1E-4</v>
      </c>
      <c r="R48">
        <v>2000</v>
      </c>
      <c r="S48" s="23">
        <v>0.1532570313800844</v>
      </c>
      <c r="T48">
        <v>4.2858153856020049</v>
      </c>
      <c r="U48">
        <v>2.536698845023122</v>
      </c>
      <c r="V48">
        <v>9.6469999999999993E-3</v>
      </c>
      <c r="W48">
        <v>8.5518540000000005</v>
      </c>
      <c r="X48">
        <v>7.1656500000000003</v>
      </c>
      <c r="Y48">
        <v>44.150669999999998</v>
      </c>
      <c r="Z48">
        <v>42.528283999999999</v>
      </c>
      <c r="AA48">
        <v>1E-4</v>
      </c>
      <c r="AB48">
        <v>1.7310537172207709</v>
      </c>
      <c r="AC48">
        <v>5.6974743605757574</v>
      </c>
      <c r="AD48">
        <v>1.6426339999999999</v>
      </c>
      <c r="AE48">
        <v>0.65340654941529219</v>
      </c>
      <c r="AF48" s="6">
        <v>0.22357163673787189</v>
      </c>
      <c r="AG48">
        <v>2</v>
      </c>
    </row>
    <row r="49" spans="1:33" x14ac:dyDescent="0.3">
      <c r="A49" s="5">
        <v>48</v>
      </c>
      <c r="B49" t="s">
        <v>175</v>
      </c>
      <c r="C49">
        <v>20699.013515099999</v>
      </c>
      <c r="D49">
        <v>344.98355858500003</v>
      </c>
      <c r="E49" t="s">
        <v>176</v>
      </c>
      <c r="G49" t="s">
        <v>34</v>
      </c>
      <c r="H49" t="s">
        <v>177</v>
      </c>
      <c r="J49" t="s">
        <v>36</v>
      </c>
      <c r="K49">
        <v>3.1852124648471078E-2</v>
      </c>
      <c r="L49">
        <v>0</v>
      </c>
      <c r="M49">
        <v>3.1852124648471078E-2</v>
      </c>
      <c r="N49" t="s">
        <v>17</v>
      </c>
      <c r="O49">
        <v>2001</v>
      </c>
      <c r="P49" s="11">
        <v>5.7801786159527798E-4</v>
      </c>
      <c r="Q49">
        <v>1E-4</v>
      </c>
      <c r="R49">
        <v>2000</v>
      </c>
      <c r="S49" s="23">
        <v>0.25132863463943572</v>
      </c>
      <c r="T49">
        <v>1.865459686429324</v>
      </c>
      <c r="U49">
        <v>2.1127642458299349</v>
      </c>
      <c r="V49">
        <v>9.6469999999999993E-3</v>
      </c>
      <c r="W49">
        <v>8.5518540000000005</v>
      </c>
      <c r="X49">
        <v>7.1656500000000003</v>
      </c>
      <c r="Y49">
        <v>44.150669999999998</v>
      </c>
      <c r="Z49">
        <v>42.528283999999999</v>
      </c>
      <c r="AA49">
        <v>1E-4</v>
      </c>
      <c r="AB49">
        <v>3.8341718214547158</v>
      </c>
      <c r="AC49">
        <v>9.9996869851837449</v>
      </c>
      <c r="AD49">
        <v>1.6426339999999999</v>
      </c>
      <c r="AE49">
        <v>0.67902187981733841</v>
      </c>
      <c r="AF49" s="6">
        <v>0.22568589986582061</v>
      </c>
      <c r="AG49">
        <v>1</v>
      </c>
    </row>
    <row r="50" spans="1:33" hidden="1" x14ac:dyDescent="0.3">
      <c r="A50" s="5">
        <v>49</v>
      </c>
      <c r="B50" t="s">
        <v>178</v>
      </c>
      <c r="C50">
        <v>4765.2219034000009</v>
      </c>
      <c r="D50">
        <v>79.420365056666682</v>
      </c>
      <c r="E50" t="s">
        <v>179</v>
      </c>
      <c r="G50" t="s">
        <v>34</v>
      </c>
      <c r="H50" t="s">
        <v>180</v>
      </c>
      <c r="J50" t="s">
        <v>36</v>
      </c>
      <c r="K50">
        <v>5.2961521648141233E-2</v>
      </c>
      <c r="L50">
        <v>0</v>
      </c>
      <c r="M50">
        <v>5.2961521648141233E-2</v>
      </c>
      <c r="N50" t="s">
        <v>17</v>
      </c>
      <c r="O50">
        <v>80</v>
      </c>
      <c r="P50" s="11">
        <v>9.4732513920650326E-5</v>
      </c>
      <c r="Q50">
        <v>1E-4</v>
      </c>
      <c r="R50">
        <v>2000</v>
      </c>
      <c r="S50">
        <v>0.1404611143406049</v>
      </c>
      <c r="T50">
        <v>3.6442763566270329</v>
      </c>
      <c r="U50">
        <v>1.0005176361906339E-2</v>
      </c>
      <c r="V50">
        <v>9.6469999999999993E-3</v>
      </c>
      <c r="W50">
        <v>8.5518540000000005</v>
      </c>
      <c r="X50">
        <v>7.1656500000000003</v>
      </c>
      <c r="Y50">
        <v>44.150669999999998</v>
      </c>
      <c r="Z50">
        <v>42.528283999999999</v>
      </c>
      <c r="AA50">
        <v>1E-4</v>
      </c>
      <c r="AB50">
        <v>9.9988425803023429</v>
      </c>
      <c r="AC50">
        <v>8.3897582583256849</v>
      </c>
      <c r="AD50">
        <v>1.6426339999999999</v>
      </c>
      <c r="AE50">
        <v>0.72077261606258325</v>
      </c>
      <c r="AF50" s="6">
        <v>0.1000001033488027</v>
      </c>
      <c r="AG50">
        <v>2</v>
      </c>
    </row>
    <row r="51" spans="1:33" x14ac:dyDescent="0.3">
      <c r="A51" s="7">
        <v>50</v>
      </c>
      <c r="B51" s="8" t="s">
        <v>181</v>
      </c>
      <c r="C51" s="8">
        <v>23030.39911909998</v>
      </c>
      <c r="D51" s="8">
        <v>383.83998531833299</v>
      </c>
      <c r="E51" s="8" t="s">
        <v>182</v>
      </c>
      <c r="F51" s="8"/>
      <c r="G51" s="8" t="s">
        <v>34</v>
      </c>
      <c r="H51" s="8" t="s">
        <v>183</v>
      </c>
      <c r="I51" s="8"/>
      <c r="J51" s="8" t="s">
        <v>36</v>
      </c>
      <c r="K51" s="8">
        <v>2.795408067721538E-2</v>
      </c>
      <c r="L51" s="8">
        <v>0</v>
      </c>
      <c r="M51" s="8">
        <v>2.795408067721538E-2</v>
      </c>
      <c r="N51" s="8" t="s">
        <v>17</v>
      </c>
      <c r="O51" s="8">
        <v>1080</v>
      </c>
      <c r="P51" s="12">
        <v>2.8808391582529199E-5</v>
      </c>
      <c r="Q51" s="8">
        <v>1E-4</v>
      </c>
      <c r="R51" s="8">
        <v>2000</v>
      </c>
      <c r="S51" s="27">
        <v>0.18926287318219631</v>
      </c>
      <c r="T51" s="19">
        <v>2.1183458303736882</v>
      </c>
      <c r="U51" s="19">
        <v>0.7208950141080489</v>
      </c>
      <c r="V51" s="19">
        <v>9.6469999999999993E-3</v>
      </c>
      <c r="W51" s="19">
        <v>8.5518540000000005</v>
      </c>
      <c r="X51" s="19">
        <v>7.1656500000000003</v>
      </c>
      <c r="Y51" s="19">
        <v>44.150669999999998</v>
      </c>
      <c r="Z51" s="19">
        <v>42.528283999999999</v>
      </c>
      <c r="AA51" s="19">
        <v>1E-4</v>
      </c>
      <c r="AB51" s="19">
        <v>4.8733462729098376</v>
      </c>
      <c r="AC51" s="19">
        <v>9.9971870927159774</v>
      </c>
      <c r="AD51" s="19">
        <v>1.6426339999999999</v>
      </c>
      <c r="AE51" s="19">
        <v>0.54004090963627938</v>
      </c>
      <c r="AF51" s="20">
        <v>0.2783457776910146</v>
      </c>
      <c r="AG51">
        <v>0</v>
      </c>
    </row>
    <row r="53" spans="1:33" x14ac:dyDescent="0.3">
      <c r="S53">
        <f>AVERAGE(S2:S51)</f>
        <v>0.25738966483908388</v>
      </c>
      <c r="T53">
        <f t="shared" ref="T53:AF53" si="0">AVERAGE(T2:T51)</f>
        <v>2.0372200214497731</v>
      </c>
      <c r="U53">
        <f t="shared" si="0"/>
        <v>3.041773907244171</v>
      </c>
      <c r="AB53">
        <f t="shared" si="0"/>
        <v>3.6388165954822811</v>
      </c>
      <c r="AC53">
        <f t="shared" si="0"/>
        <v>7.0958930969653684</v>
      </c>
      <c r="AE53">
        <f t="shared" si="0"/>
        <v>0.43242131484063928</v>
      </c>
      <c r="AF53">
        <f t="shared" si="0"/>
        <v>0.44421546170083981</v>
      </c>
    </row>
    <row r="54" spans="1:33" x14ac:dyDescent="0.3">
      <c r="S54">
        <f>STDEVA(S2:S51)</f>
        <v>0.20065849855659187</v>
      </c>
      <c r="T54">
        <f t="shared" ref="T54:AF54" si="1">STDEVA(T2:T51)</f>
        <v>1.2892875694282213</v>
      </c>
      <c r="U54">
        <f t="shared" si="1"/>
        <v>2.4960476819747823</v>
      </c>
      <c r="AB54">
        <f t="shared" si="1"/>
        <v>1.9437923710138838</v>
      </c>
      <c r="AC54">
        <f t="shared" si="1"/>
        <v>2.7954726459813446</v>
      </c>
      <c r="AE54">
        <f t="shared" si="1"/>
        <v>0.16826592298232318</v>
      </c>
      <c r="AF54">
        <f t="shared" si="1"/>
        <v>0.20131704862738331</v>
      </c>
    </row>
  </sheetData>
  <autoFilter ref="A1:AG51" xr:uid="{0F016613-F55F-4B3B-BA65-706A25AB561D}">
    <filterColumn colId="0">
      <filters>
        <filter val="1"/>
        <filter val="11"/>
        <filter val="12"/>
        <filter val="13"/>
        <filter val="14"/>
        <filter val="16"/>
        <filter val="17"/>
        <filter val="18"/>
        <filter val="19"/>
        <filter val="2"/>
        <filter val="21"/>
        <filter val="24"/>
        <filter val="25"/>
        <filter val="26"/>
        <filter val="27"/>
        <filter val="28"/>
        <filter val="29"/>
        <filter val="31"/>
        <filter val="32"/>
        <filter val="35"/>
        <filter val="37"/>
        <filter val="38"/>
        <filter val="39"/>
        <filter val="4"/>
        <filter val="41"/>
        <filter val="42"/>
        <filter val="43"/>
        <filter val="46"/>
        <filter val="47"/>
        <filter val="48"/>
        <filter val="5"/>
        <filter val="50"/>
        <filter val="6"/>
        <filter val="7"/>
        <filter val="9"/>
      </filters>
    </filterColumn>
  </autoFilter>
  <conditionalFormatting sqref="P2:P51">
    <cfRule type="cellIs" dxfId="34" priority="8" operator="greaterThan">
      <formula>0.0001</formula>
    </cfRule>
  </conditionalFormatting>
  <conditionalFormatting sqref="S2:S51">
    <cfRule type="top10" dxfId="33" priority="7" percent="1" rank="15"/>
  </conditionalFormatting>
  <conditionalFormatting sqref="T2:T51">
    <cfRule type="top10" dxfId="32" priority="6" percent="1" rank="15"/>
  </conditionalFormatting>
  <conditionalFormatting sqref="U2:U51">
    <cfRule type="top10" dxfId="31" priority="5" percent="1" rank="15"/>
  </conditionalFormatting>
  <conditionalFormatting sqref="AB2:AB51">
    <cfRule type="top10" dxfId="30" priority="4" percent="1" rank="15"/>
  </conditionalFormatting>
  <conditionalFormatting sqref="AC2:AC51">
    <cfRule type="top10" dxfId="29" priority="1" percent="1" bottom="1" rank="15"/>
  </conditionalFormatting>
  <conditionalFormatting sqref="AE2:AE51">
    <cfRule type="top10" dxfId="28" priority="3" percent="1" rank="15"/>
  </conditionalFormatting>
  <conditionalFormatting sqref="AF2:AF51">
    <cfRule type="top10" dxfId="27" priority="2" percent="1" rank="15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7F96-AC29-4757-AA59-69C061CA028A}">
  <dimension ref="A1:AF45"/>
  <sheetViews>
    <sheetView topLeftCell="A22" zoomScale="79" zoomScaleNormal="80" workbookViewId="0">
      <selection activeCell="AA43" sqref="AA43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6640625" bestFit="1" customWidth="1"/>
    <col min="5" max="5" width="11.77734375" bestFit="1" customWidth="1"/>
    <col min="7" max="7" width="12.88671875" bestFit="1" customWidth="1"/>
    <col min="8" max="10" width="0" hidden="1" customWidth="1"/>
    <col min="11" max="11" width="12" bestFit="1" customWidth="1"/>
    <col min="12" max="12" width="15.109375" bestFit="1" customWidth="1"/>
    <col min="13" max="13" width="12" bestFit="1" customWidth="1"/>
    <col min="14" max="14" width="11.33203125" bestFit="1" customWidth="1"/>
    <col min="15" max="15" width="12.77734375" bestFit="1" customWidth="1"/>
    <col min="16" max="16" width="12" bestFit="1" customWidth="1"/>
    <col min="17" max="17" width="14.33203125" bestFit="1" customWidth="1"/>
    <col min="18" max="18" width="10.77734375" bestFit="1" customWidth="1"/>
    <col min="19" max="21" width="12" bestFit="1" customWidth="1"/>
    <col min="22" max="22" width="9" bestFit="1" customWidth="1"/>
    <col min="28" max="29" width="12" bestFit="1" customWidth="1"/>
    <col min="30" max="30" width="9" bestFit="1" customWidth="1"/>
    <col min="31" max="32" width="12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>
        <v>1</v>
      </c>
      <c r="B2" s="3" t="s">
        <v>32</v>
      </c>
      <c r="C2" s="3">
        <v>3213.295919199998</v>
      </c>
      <c r="D2" s="3">
        <v>53.554931986666631</v>
      </c>
      <c r="E2" s="3" t="s">
        <v>33</v>
      </c>
      <c r="F2" s="3"/>
      <c r="G2" s="3" t="s">
        <v>34</v>
      </c>
      <c r="H2" s="3" t="s">
        <v>35</v>
      </c>
      <c r="I2" s="3"/>
      <c r="J2" s="3" t="s">
        <v>36</v>
      </c>
      <c r="K2" s="3">
        <v>2.4703174421693019E-2</v>
      </c>
      <c r="L2" s="3">
        <v>0</v>
      </c>
      <c r="M2" s="3">
        <v>2.4703174421693019E-2</v>
      </c>
      <c r="N2" s="3" t="s">
        <v>17</v>
      </c>
      <c r="O2" s="3">
        <v>212</v>
      </c>
      <c r="P2" s="10">
        <v>9.7654493694516878E-5</v>
      </c>
      <c r="Q2" s="3">
        <v>1E-4</v>
      </c>
      <c r="R2" s="3">
        <v>2000</v>
      </c>
      <c r="S2" s="3">
        <v>0.49122929896424561</v>
      </c>
      <c r="T2" s="3">
        <v>1.5270804877388759</v>
      </c>
      <c r="U2" s="3">
        <v>1.9259065797858199</v>
      </c>
      <c r="V2" s="3">
        <v>9.6469999999999993E-3</v>
      </c>
      <c r="W2" s="3">
        <v>8.5518540000000005</v>
      </c>
      <c r="X2" s="3">
        <v>7.1656500000000003</v>
      </c>
      <c r="Y2" s="3">
        <v>44.150669999999998</v>
      </c>
      <c r="Z2" s="3">
        <v>42.528283999999999</v>
      </c>
      <c r="AA2" s="3">
        <v>1E-4</v>
      </c>
      <c r="AB2" s="3">
        <v>3.3107923860306911</v>
      </c>
      <c r="AC2" s="3">
        <v>6.1597599245610413</v>
      </c>
      <c r="AD2" s="3">
        <v>1.6426339999999999</v>
      </c>
      <c r="AE2" s="3">
        <v>0.31022465459519422</v>
      </c>
      <c r="AF2" s="4">
        <v>0.54665308919257394</v>
      </c>
    </row>
    <row r="3" spans="1:32" x14ac:dyDescent="0.3">
      <c r="A3" s="5">
        <v>2</v>
      </c>
      <c r="B3" t="s">
        <v>37</v>
      </c>
      <c r="C3">
        <v>2627.882927300001</v>
      </c>
      <c r="D3">
        <v>43.798048788333347</v>
      </c>
      <c r="E3" t="s">
        <v>38</v>
      </c>
      <c r="G3" t="s">
        <v>34</v>
      </c>
      <c r="H3" t="s">
        <v>39</v>
      </c>
      <c r="J3" t="s">
        <v>36</v>
      </c>
      <c r="K3">
        <v>1.9260742925086699E-2</v>
      </c>
      <c r="L3">
        <v>0</v>
      </c>
      <c r="M3">
        <v>1.9260742925086699E-2</v>
      </c>
      <c r="N3" t="s">
        <v>17</v>
      </c>
      <c r="O3">
        <v>236</v>
      </c>
      <c r="P3" s="11">
        <v>8.0279052905500031E-5</v>
      </c>
      <c r="Q3">
        <v>1E-4</v>
      </c>
      <c r="R3">
        <v>2000</v>
      </c>
      <c r="S3">
        <v>9.5340553177132401E-2</v>
      </c>
      <c r="T3">
        <v>4.850514939296346</v>
      </c>
      <c r="U3">
        <v>1.723227134060048</v>
      </c>
      <c r="V3">
        <v>9.6469999999999993E-3</v>
      </c>
      <c r="W3">
        <v>8.5518540000000005</v>
      </c>
      <c r="X3">
        <v>7.1656500000000003</v>
      </c>
      <c r="Y3">
        <v>44.150669999999998</v>
      </c>
      <c r="Z3">
        <v>42.528283999999999</v>
      </c>
      <c r="AA3">
        <v>1E-4</v>
      </c>
      <c r="AB3">
        <v>2.416260149187003</v>
      </c>
      <c r="AC3">
        <v>9.9913447457622464</v>
      </c>
      <c r="AD3">
        <v>1.6426339999999999</v>
      </c>
      <c r="AE3">
        <v>0.58073847105624532</v>
      </c>
      <c r="AF3" s="6">
        <v>0.30876599033911339</v>
      </c>
    </row>
    <row r="4" spans="1:32" x14ac:dyDescent="0.3">
      <c r="A4" s="5">
        <v>4</v>
      </c>
      <c r="B4" t="s">
        <v>43</v>
      </c>
      <c r="C4">
        <v>7318.5311609999917</v>
      </c>
      <c r="D4">
        <v>121.9755193499999</v>
      </c>
      <c r="E4" t="s">
        <v>44</v>
      </c>
      <c r="G4" t="s">
        <v>34</v>
      </c>
      <c r="H4" t="s">
        <v>45</v>
      </c>
      <c r="J4" t="s">
        <v>36</v>
      </c>
      <c r="K4">
        <v>1.9154109697566511E-2</v>
      </c>
      <c r="L4">
        <v>0</v>
      </c>
      <c r="M4">
        <v>1.9154109697566511E-2</v>
      </c>
      <c r="N4" t="s">
        <v>17</v>
      </c>
      <c r="O4">
        <v>170</v>
      </c>
      <c r="P4" s="11">
        <v>9.9770959924361978E-5</v>
      </c>
      <c r="Q4">
        <v>1E-4</v>
      </c>
      <c r="R4">
        <v>2000</v>
      </c>
      <c r="S4">
        <v>0.23867230327866931</v>
      </c>
      <c r="T4">
        <v>1.4789405335040691</v>
      </c>
      <c r="U4">
        <v>1.137318705859411</v>
      </c>
      <c r="V4">
        <v>9.6469999999999993E-3</v>
      </c>
      <c r="W4">
        <v>8.5518540000000005</v>
      </c>
      <c r="X4">
        <v>7.1656500000000003</v>
      </c>
      <c r="Y4">
        <v>44.150669999999998</v>
      </c>
      <c r="Z4">
        <v>42.528283999999999</v>
      </c>
      <c r="AA4">
        <v>1E-4</v>
      </c>
      <c r="AB4">
        <v>4.7487233770171322</v>
      </c>
      <c r="AC4">
        <v>5.5804137605699884</v>
      </c>
      <c r="AD4">
        <v>1.6426339999999999</v>
      </c>
      <c r="AE4">
        <v>0.35821627237548298</v>
      </c>
      <c r="AF4" s="6">
        <v>0.60828105216998085</v>
      </c>
    </row>
    <row r="5" spans="1:32" x14ac:dyDescent="0.3">
      <c r="A5" s="5">
        <v>5</v>
      </c>
      <c r="B5" t="s">
        <v>46</v>
      </c>
      <c r="C5">
        <v>7374.550728000002</v>
      </c>
      <c r="D5">
        <v>122.90917880000001</v>
      </c>
      <c r="E5" t="s">
        <v>47</v>
      </c>
      <c r="G5" t="s">
        <v>34</v>
      </c>
      <c r="H5" t="s">
        <v>48</v>
      </c>
      <c r="J5" t="s">
        <v>36</v>
      </c>
      <c r="K5">
        <v>3.4835567092652363E-2</v>
      </c>
      <c r="L5">
        <v>0</v>
      </c>
      <c r="M5">
        <v>3.4835567092652363E-2</v>
      </c>
      <c r="N5" t="s">
        <v>17</v>
      </c>
      <c r="O5">
        <v>820</v>
      </c>
      <c r="P5" s="11">
        <v>8.9495828330964918E-5</v>
      </c>
      <c r="Q5">
        <v>1E-4</v>
      </c>
      <c r="R5">
        <v>2000</v>
      </c>
      <c r="S5" s="13">
        <v>0.2215474581717817</v>
      </c>
      <c r="T5">
        <v>1.7632632704774971</v>
      </c>
      <c r="U5">
        <v>3.8822158056424811</v>
      </c>
      <c r="V5">
        <v>9.6469999999999993E-3</v>
      </c>
      <c r="W5">
        <v>8.5518540000000005</v>
      </c>
      <c r="X5">
        <v>7.1656500000000003</v>
      </c>
      <c r="Y5">
        <v>44.150669999999998</v>
      </c>
      <c r="Z5">
        <v>42.528283999999999</v>
      </c>
      <c r="AA5">
        <v>1E-4</v>
      </c>
      <c r="AB5">
        <v>2.5366740295826569</v>
      </c>
      <c r="AC5">
        <v>7.0276789570579181</v>
      </c>
      <c r="AD5">
        <v>1.6426339999999999</v>
      </c>
      <c r="AE5">
        <v>0.58980414277809312</v>
      </c>
      <c r="AF5" s="6">
        <v>0.29932090289880298</v>
      </c>
    </row>
    <row r="6" spans="1:32" x14ac:dyDescent="0.3">
      <c r="A6" s="5">
        <v>6</v>
      </c>
      <c r="B6" t="s">
        <v>49</v>
      </c>
      <c r="C6">
        <v>5694.3620688000228</v>
      </c>
      <c r="D6">
        <v>94.906034480000386</v>
      </c>
      <c r="E6" t="s">
        <v>50</v>
      </c>
      <c r="G6" t="s">
        <v>34</v>
      </c>
      <c r="H6" t="s">
        <v>51</v>
      </c>
      <c r="J6" t="s">
        <v>36</v>
      </c>
      <c r="K6">
        <v>1.2291011892049669E-2</v>
      </c>
      <c r="L6">
        <v>0</v>
      </c>
      <c r="M6">
        <v>1.2291011892049669E-2</v>
      </c>
      <c r="N6" t="s">
        <v>17</v>
      </c>
      <c r="O6">
        <v>378</v>
      </c>
      <c r="P6" s="11">
        <v>9.7765343569708419E-5</v>
      </c>
      <c r="Q6">
        <v>1E-4</v>
      </c>
      <c r="R6">
        <v>2000</v>
      </c>
      <c r="S6" s="13">
        <v>7.1046409533329261E-2</v>
      </c>
      <c r="T6">
        <v>3.3738439668184652</v>
      </c>
      <c r="U6">
        <v>2.3322033875726329</v>
      </c>
      <c r="V6">
        <v>9.6469999999999993E-3</v>
      </c>
      <c r="W6">
        <v>8.5518540000000005</v>
      </c>
      <c r="X6">
        <v>7.1656500000000003</v>
      </c>
      <c r="Y6">
        <v>44.150669999999998</v>
      </c>
      <c r="Z6">
        <v>42.528283999999999</v>
      </c>
      <c r="AA6">
        <v>1E-4</v>
      </c>
      <c r="AB6">
        <v>2.1760985567100839</v>
      </c>
      <c r="AC6">
        <v>7.3611499471052522</v>
      </c>
      <c r="AD6">
        <v>1.6426339999999999</v>
      </c>
      <c r="AE6">
        <v>0.42272115248163261</v>
      </c>
      <c r="AF6" s="6">
        <v>0.41214687694987062</v>
      </c>
    </row>
    <row r="7" spans="1:32" x14ac:dyDescent="0.3">
      <c r="A7" s="5">
        <v>7</v>
      </c>
      <c r="B7" t="s">
        <v>52</v>
      </c>
      <c r="C7">
        <v>15231.7497136</v>
      </c>
      <c r="D7">
        <v>253.86249522666671</v>
      </c>
      <c r="E7" t="s">
        <v>53</v>
      </c>
      <c r="G7" t="s">
        <v>34</v>
      </c>
      <c r="H7" t="s">
        <v>54</v>
      </c>
      <c r="J7" t="s">
        <v>36</v>
      </c>
      <c r="K7">
        <v>1.057828657334144E-2</v>
      </c>
      <c r="L7">
        <v>0</v>
      </c>
      <c r="M7">
        <v>1.057828657334144E-2</v>
      </c>
      <c r="N7" t="s">
        <v>17</v>
      </c>
      <c r="O7">
        <v>2001</v>
      </c>
      <c r="P7" s="11">
        <v>8.4329416212390856E-4</v>
      </c>
      <c r="Q7">
        <v>1E-4</v>
      </c>
      <c r="R7">
        <v>2000</v>
      </c>
      <c r="S7" s="13">
        <v>0.1297696297226717</v>
      </c>
      <c r="T7">
        <v>1.100316472242042</v>
      </c>
      <c r="U7">
        <v>3.2764644886323269</v>
      </c>
      <c r="V7">
        <v>9.6469999999999993E-3</v>
      </c>
      <c r="W7">
        <v>8.5518540000000005</v>
      </c>
      <c r="X7">
        <v>7.1656500000000003</v>
      </c>
      <c r="Y7">
        <v>44.150669999999998</v>
      </c>
      <c r="Z7">
        <v>42.528283999999999</v>
      </c>
      <c r="AA7">
        <v>1E-4</v>
      </c>
      <c r="AB7">
        <v>2.1972924445174771</v>
      </c>
      <c r="AC7">
        <v>5.6254618072746307</v>
      </c>
      <c r="AD7">
        <v>1.6426339999999999</v>
      </c>
      <c r="AE7">
        <v>0.22361832346956681</v>
      </c>
      <c r="AF7" s="6">
        <v>0.72267916407755917</v>
      </c>
    </row>
    <row r="8" spans="1:32" x14ac:dyDescent="0.3">
      <c r="A8" s="5">
        <v>9</v>
      </c>
      <c r="B8" t="s">
        <v>58</v>
      </c>
      <c r="C8">
        <v>2026.802363299998</v>
      </c>
      <c r="D8">
        <v>33.780039388333293</v>
      </c>
      <c r="E8" t="s">
        <v>59</v>
      </c>
      <c r="G8" t="s">
        <v>34</v>
      </c>
      <c r="H8" t="s">
        <v>60</v>
      </c>
      <c r="J8" t="s">
        <v>36</v>
      </c>
      <c r="K8">
        <v>2.0507348618881031E-2</v>
      </c>
      <c r="L8">
        <v>0</v>
      </c>
      <c r="M8">
        <v>2.0507348618881031E-2</v>
      </c>
      <c r="N8" t="s">
        <v>17</v>
      </c>
      <c r="O8">
        <v>301</v>
      </c>
      <c r="P8" s="11">
        <v>9.8301866082106659E-5</v>
      </c>
      <c r="Q8">
        <v>1E-4</v>
      </c>
      <c r="R8">
        <v>2000</v>
      </c>
      <c r="S8" s="13">
        <v>0.2312320810462489</v>
      </c>
      <c r="T8">
        <v>1.718642886072322</v>
      </c>
      <c r="U8">
        <v>2.997279945587831</v>
      </c>
      <c r="V8">
        <v>9.6469999999999993E-3</v>
      </c>
      <c r="W8">
        <v>8.5518540000000005</v>
      </c>
      <c r="X8">
        <v>7.1656500000000003</v>
      </c>
      <c r="Y8">
        <v>44.150669999999998</v>
      </c>
      <c r="Z8">
        <v>42.528283999999999</v>
      </c>
      <c r="AA8">
        <v>1E-4</v>
      </c>
      <c r="AB8">
        <v>2.3541994629890439</v>
      </c>
      <c r="AC8">
        <v>8.2355175536869432</v>
      </c>
      <c r="AD8">
        <v>1.6426339999999999</v>
      </c>
      <c r="AE8">
        <v>0.33402337444756869</v>
      </c>
      <c r="AF8" s="6">
        <v>0.52953327715501552</v>
      </c>
    </row>
    <row r="9" spans="1:32" x14ac:dyDescent="0.3">
      <c r="A9" s="5">
        <v>11</v>
      </c>
      <c r="B9" t="s">
        <v>64</v>
      </c>
      <c r="C9">
        <v>5786.3767086000007</v>
      </c>
      <c r="D9">
        <v>96.439611810000017</v>
      </c>
      <c r="E9" t="s">
        <v>65</v>
      </c>
      <c r="G9" t="s">
        <v>34</v>
      </c>
      <c r="H9" t="s">
        <v>66</v>
      </c>
      <c r="J9" t="s">
        <v>36</v>
      </c>
      <c r="K9">
        <v>2.4991082200323301E-2</v>
      </c>
      <c r="L9">
        <v>0</v>
      </c>
      <c r="M9">
        <v>2.4991082200323301E-2</v>
      </c>
      <c r="N9" t="s">
        <v>17</v>
      </c>
      <c r="O9">
        <v>283</v>
      </c>
      <c r="P9" s="11">
        <v>9.8613290712376561E-5</v>
      </c>
      <c r="Q9">
        <v>1E-4</v>
      </c>
      <c r="R9">
        <v>2000</v>
      </c>
      <c r="S9" s="13">
        <v>0.35445682383815608</v>
      </c>
      <c r="T9">
        <v>2.895646996567776</v>
      </c>
      <c r="U9">
        <v>2.4417178876658232</v>
      </c>
      <c r="V9">
        <v>9.6469999999999993E-3</v>
      </c>
      <c r="W9">
        <v>8.5518540000000005</v>
      </c>
      <c r="X9">
        <v>7.1656500000000003</v>
      </c>
      <c r="Y9">
        <v>44.150669999999998</v>
      </c>
      <c r="Z9">
        <v>42.528283999999999</v>
      </c>
      <c r="AA9">
        <v>1E-4</v>
      </c>
      <c r="AB9">
        <v>2.0720119469016951</v>
      </c>
      <c r="AC9">
        <v>8.140244314273005</v>
      </c>
      <c r="AD9">
        <v>1.6426339999999999</v>
      </c>
      <c r="AE9">
        <v>0.43603437708916032</v>
      </c>
      <c r="AF9" s="6">
        <v>0.4738792844859725</v>
      </c>
    </row>
    <row r="10" spans="1:32" x14ac:dyDescent="0.3">
      <c r="A10" s="5">
        <v>12</v>
      </c>
      <c r="B10" t="s">
        <v>67</v>
      </c>
      <c r="C10">
        <v>28266.52760229999</v>
      </c>
      <c r="D10">
        <v>471.10879337166648</v>
      </c>
      <c r="E10" t="s">
        <v>68</v>
      </c>
      <c r="G10" t="s">
        <v>34</v>
      </c>
      <c r="H10" t="s">
        <v>69</v>
      </c>
      <c r="J10" t="s">
        <v>36</v>
      </c>
      <c r="K10">
        <v>2.3834521668663389E-2</v>
      </c>
      <c r="L10">
        <v>0</v>
      </c>
      <c r="M10">
        <v>2.3834521668663389E-2</v>
      </c>
      <c r="N10" t="s">
        <v>17</v>
      </c>
      <c r="O10">
        <v>2001</v>
      </c>
      <c r="P10" s="11">
        <v>3.0236792461020489E-3</v>
      </c>
      <c r="Q10">
        <v>1E-4</v>
      </c>
      <c r="R10">
        <v>2000</v>
      </c>
      <c r="S10" s="13">
        <v>0.1937974998036483</v>
      </c>
      <c r="T10">
        <v>1.305003992855698</v>
      </c>
      <c r="U10">
        <v>2.162669253941381</v>
      </c>
      <c r="V10">
        <v>9.6469999999999993E-3</v>
      </c>
      <c r="W10">
        <v>8.5518540000000005</v>
      </c>
      <c r="X10">
        <v>7.1656500000000003</v>
      </c>
      <c r="Y10">
        <v>44.150669999999998</v>
      </c>
      <c r="Z10">
        <v>42.528283999999999</v>
      </c>
      <c r="AA10">
        <v>1E-4</v>
      </c>
      <c r="AB10">
        <v>3.5333794506754348</v>
      </c>
      <c r="AC10">
        <v>9.9584996242521857</v>
      </c>
      <c r="AD10">
        <v>1.6426339999999999</v>
      </c>
      <c r="AE10">
        <v>0.27490580520813779</v>
      </c>
      <c r="AF10" s="6">
        <v>0.59371405082027096</v>
      </c>
    </row>
    <row r="11" spans="1:32" x14ac:dyDescent="0.3">
      <c r="A11" s="5">
        <v>13</v>
      </c>
      <c r="B11" t="s">
        <v>70</v>
      </c>
      <c r="C11">
        <v>5024.0627505999873</v>
      </c>
      <c r="D11">
        <v>83.734379176666451</v>
      </c>
      <c r="E11" t="s">
        <v>71</v>
      </c>
      <c r="G11" t="s">
        <v>34</v>
      </c>
      <c r="H11" t="s">
        <v>72</v>
      </c>
      <c r="J11" t="s">
        <v>36</v>
      </c>
      <c r="K11">
        <v>4.075483124784126E-2</v>
      </c>
      <c r="L11">
        <v>0</v>
      </c>
      <c r="M11">
        <v>4.075483124784126E-2</v>
      </c>
      <c r="N11" t="s">
        <v>17</v>
      </c>
      <c r="O11">
        <v>163</v>
      </c>
      <c r="P11" s="11">
        <v>9.4957242368113107E-5</v>
      </c>
      <c r="Q11">
        <v>1E-4</v>
      </c>
      <c r="R11">
        <v>2000</v>
      </c>
      <c r="S11" s="13">
        <v>0.47507925889546099</v>
      </c>
      <c r="T11">
        <v>1.7942830917244461</v>
      </c>
      <c r="U11">
        <v>1.536080827207515</v>
      </c>
      <c r="V11">
        <v>9.6469999999999993E-3</v>
      </c>
      <c r="W11">
        <v>8.5518540000000005</v>
      </c>
      <c r="X11">
        <v>7.1656500000000003</v>
      </c>
      <c r="Y11">
        <v>44.150669999999998</v>
      </c>
      <c r="Z11">
        <v>42.528283999999999</v>
      </c>
      <c r="AA11">
        <v>1E-4</v>
      </c>
      <c r="AB11">
        <v>3.0630033486266108</v>
      </c>
      <c r="AC11">
        <v>9.8713319233272756</v>
      </c>
      <c r="AD11">
        <v>1.6426339999999999</v>
      </c>
      <c r="AE11">
        <v>0.45417614586722482</v>
      </c>
      <c r="AF11" s="6">
        <v>0.37020863228583628</v>
      </c>
    </row>
    <row r="12" spans="1:32" x14ac:dyDescent="0.3">
      <c r="A12" s="5">
        <v>14</v>
      </c>
      <c r="B12" t="s">
        <v>73</v>
      </c>
      <c r="C12">
        <v>5644.6686482999939</v>
      </c>
      <c r="D12">
        <v>94.077810804999899</v>
      </c>
      <c r="E12" t="s">
        <v>74</v>
      </c>
      <c r="G12" t="s">
        <v>34</v>
      </c>
      <c r="H12" t="s">
        <v>75</v>
      </c>
      <c r="J12" t="s">
        <v>36</v>
      </c>
      <c r="K12">
        <v>2.3393480287682549E-2</v>
      </c>
      <c r="L12">
        <v>0</v>
      </c>
      <c r="M12">
        <v>2.3393480287682549E-2</v>
      </c>
      <c r="N12" t="s">
        <v>17</v>
      </c>
      <c r="O12">
        <v>593</v>
      </c>
      <c r="P12" s="11">
        <v>9.994242130357086E-5</v>
      </c>
      <c r="Q12">
        <v>1E-4</v>
      </c>
      <c r="R12">
        <v>2000</v>
      </c>
      <c r="S12">
        <v>0.1400943037433009</v>
      </c>
      <c r="T12">
        <v>2.5765714714097321</v>
      </c>
      <c r="U12">
        <v>2.8573243947471481</v>
      </c>
      <c r="V12">
        <v>9.6469999999999993E-3</v>
      </c>
      <c r="W12">
        <v>8.5518540000000005</v>
      </c>
      <c r="X12">
        <v>7.1656500000000003</v>
      </c>
      <c r="Y12">
        <v>44.150669999999998</v>
      </c>
      <c r="Z12">
        <v>42.528283999999999</v>
      </c>
      <c r="AA12">
        <v>1E-4</v>
      </c>
      <c r="AB12">
        <v>1.945967410891327</v>
      </c>
      <c r="AC12">
        <v>9.9831868103195394</v>
      </c>
      <c r="AD12">
        <v>1.6426339999999999</v>
      </c>
      <c r="AE12">
        <v>0.34218172241272238</v>
      </c>
      <c r="AF12" s="6">
        <v>0.51117062692806203</v>
      </c>
    </row>
    <row r="13" spans="1:32" x14ac:dyDescent="0.3">
      <c r="A13" s="5">
        <v>16</v>
      </c>
      <c r="B13" t="s">
        <v>79</v>
      </c>
      <c r="C13">
        <v>18658.914202199991</v>
      </c>
      <c r="D13">
        <v>310.98190336999983</v>
      </c>
      <c r="E13" t="s">
        <v>80</v>
      </c>
      <c r="G13" t="s">
        <v>34</v>
      </c>
      <c r="H13" t="s">
        <v>81</v>
      </c>
      <c r="J13" t="s">
        <v>36</v>
      </c>
      <c r="K13">
        <v>1.8639392445070579E-2</v>
      </c>
      <c r="L13">
        <v>0</v>
      </c>
      <c r="M13">
        <v>1.8639392445070579E-2</v>
      </c>
      <c r="N13" t="s">
        <v>17</v>
      </c>
      <c r="O13">
        <v>2001</v>
      </c>
      <c r="P13" s="11">
        <v>2.5010509107454318E-4</v>
      </c>
      <c r="Q13">
        <v>1E-4</v>
      </c>
      <c r="R13">
        <v>2000</v>
      </c>
      <c r="S13">
        <v>0.1070697432326719</v>
      </c>
      <c r="T13">
        <v>0.84108690838249922</v>
      </c>
      <c r="U13">
        <v>1.3930663481851771</v>
      </c>
      <c r="V13">
        <v>9.6469999999999993E-3</v>
      </c>
      <c r="W13">
        <v>8.5518540000000005</v>
      </c>
      <c r="X13">
        <v>7.1656500000000003</v>
      </c>
      <c r="Y13">
        <v>44.150669999999998</v>
      </c>
      <c r="Z13">
        <v>42.528283999999999</v>
      </c>
      <c r="AA13">
        <v>1E-4</v>
      </c>
      <c r="AB13">
        <v>7.0794181127694831</v>
      </c>
      <c r="AC13">
        <v>5.1024858503608908</v>
      </c>
      <c r="AD13">
        <v>1.6426339999999999</v>
      </c>
      <c r="AE13">
        <v>0.68414137490005245</v>
      </c>
      <c r="AF13" s="6">
        <v>0.22135648461899099</v>
      </c>
    </row>
    <row r="14" spans="1:32" x14ac:dyDescent="0.3">
      <c r="A14" s="5">
        <v>17</v>
      </c>
      <c r="B14" t="s">
        <v>82</v>
      </c>
      <c r="C14">
        <v>21111.6125092</v>
      </c>
      <c r="D14">
        <v>351.86020848666669</v>
      </c>
      <c r="E14" t="s">
        <v>83</v>
      </c>
      <c r="G14" t="s">
        <v>34</v>
      </c>
      <c r="H14" t="s">
        <v>84</v>
      </c>
      <c r="J14" t="s">
        <v>36</v>
      </c>
      <c r="K14">
        <v>1.9031896178424979E-2</v>
      </c>
      <c r="L14">
        <v>0</v>
      </c>
      <c r="M14">
        <v>1.9031896178424979E-2</v>
      </c>
      <c r="N14" t="s">
        <v>17</v>
      </c>
      <c r="O14">
        <v>2001</v>
      </c>
      <c r="P14" s="11">
        <v>1.604056233756677E-4</v>
      </c>
      <c r="Q14">
        <v>1E-4</v>
      </c>
      <c r="R14">
        <v>2000</v>
      </c>
      <c r="S14">
        <v>0.13943642659037339</v>
      </c>
      <c r="T14">
        <v>1.4375904770707839</v>
      </c>
      <c r="U14">
        <v>1.17514855524946</v>
      </c>
      <c r="V14">
        <v>9.6469999999999993E-3</v>
      </c>
      <c r="W14">
        <v>8.5518540000000005</v>
      </c>
      <c r="X14">
        <v>7.1656500000000003</v>
      </c>
      <c r="Y14">
        <v>44.150669999999998</v>
      </c>
      <c r="Z14">
        <v>42.528283999999999</v>
      </c>
      <c r="AA14">
        <v>1E-4</v>
      </c>
      <c r="AB14">
        <v>6.527551914797427</v>
      </c>
      <c r="AC14">
        <v>6.2341027278068388</v>
      </c>
      <c r="AD14">
        <v>1.6426339999999999</v>
      </c>
      <c r="AE14">
        <v>0.32014943742462582</v>
      </c>
      <c r="AF14" s="6">
        <v>0.54753100362087015</v>
      </c>
    </row>
    <row r="15" spans="1:32" x14ac:dyDescent="0.3">
      <c r="A15" s="5">
        <v>18</v>
      </c>
      <c r="B15" t="s">
        <v>85</v>
      </c>
      <c r="C15">
        <v>20588.614749</v>
      </c>
      <c r="D15">
        <v>343.14357914999999</v>
      </c>
      <c r="E15" t="s">
        <v>86</v>
      </c>
      <c r="G15" t="s">
        <v>34</v>
      </c>
      <c r="H15" t="s">
        <v>87</v>
      </c>
      <c r="J15" t="s">
        <v>36</v>
      </c>
      <c r="K15">
        <v>2.4723539734177399E-2</v>
      </c>
      <c r="L15">
        <v>0</v>
      </c>
      <c r="M15">
        <v>2.4723539734177399E-2</v>
      </c>
      <c r="N15" t="s">
        <v>17</v>
      </c>
      <c r="O15">
        <v>901</v>
      </c>
      <c r="P15" s="11">
        <v>9.5859297039156189E-5</v>
      </c>
      <c r="Q15">
        <v>1E-4</v>
      </c>
      <c r="R15">
        <v>2000</v>
      </c>
      <c r="S15">
        <v>0.1957220287925758</v>
      </c>
      <c r="T15">
        <v>1.8413149759623919</v>
      </c>
      <c r="U15">
        <v>1.142151867830226</v>
      </c>
      <c r="V15">
        <v>9.6469999999999993E-3</v>
      </c>
      <c r="W15">
        <v>8.5518540000000005</v>
      </c>
      <c r="X15">
        <v>7.1656500000000003</v>
      </c>
      <c r="Y15">
        <v>44.150669999999998</v>
      </c>
      <c r="Z15">
        <v>42.528283999999999</v>
      </c>
      <c r="AA15">
        <v>1E-4</v>
      </c>
      <c r="AB15">
        <v>4.357026494323847</v>
      </c>
      <c r="AC15">
        <v>9.5224248843655364</v>
      </c>
      <c r="AD15">
        <v>1.6426339999999999</v>
      </c>
      <c r="AE15">
        <v>0.50051089460210196</v>
      </c>
      <c r="AF15" s="6">
        <v>0.33005485774102938</v>
      </c>
    </row>
    <row r="16" spans="1:32" x14ac:dyDescent="0.3">
      <c r="A16" s="5">
        <v>19</v>
      </c>
      <c r="B16" t="s">
        <v>88</v>
      </c>
      <c r="C16">
        <v>4922.2885048000026</v>
      </c>
      <c r="D16">
        <v>82.03814174666671</v>
      </c>
      <c r="E16" t="s">
        <v>89</v>
      </c>
      <c r="G16" t="s">
        <v>34</v>
      </c>
      <c r="H16" t="s">
        <v>90</v>
      </c>
      <c r="J16" t="s">
        <v>36</v>
      </c>
      <c r="K16">
        <v>2.1089386883793221E-2</v>
      </c>
      <c r="L16">
        <v>0</v>
      </c>
      <c r="M16">
        <v>2.1089386883793221E-2</v>
      </c>
      <c r="N16" t="s">
        <v>17</v>
      </c>
      <c r="O16">
        <v>602</v>
      </c>
      <c r="P16" s="11">
        <v>9.8179584203664892E-5</v>
      </c>
      <c r="Q16">
        <v>1E-4</v>
      </c>
      <c r="R16">
        <v>2000</v>
      </c>
      <c r="S16">
        <v>0.2443548171277711</v>
      </c>
      <c r="T16">
        <v>1.688151118707405</v>
      </c>
      <c r="U16">
        <v>1.1020683670286131</v>
      </c>
      <c r="V16">
        <v>9.6469999999999993E-3</v>
      </c>
      <c r="W16">
        <v>8.5518540000000005</v>
      </c>
      <c r="X16">
        <v>7.1656500000000003</v>
      </c>
      <c r="Y16">
        <v>44.150669999999998</v>
      </c>
      <c r="Z16">
        <v>42.528283999999999</v>
      </c>
      <c r="AA16">
        <v>1E-4</v>
      </c>
      <c r="AB16">
        <v>5.0732425293949914</v>
      </c>
      <c r="AC16">
        <v>9.4576715142226693</v>
      </c>
      <c r="AD16">
        <v>1.6426339999999999</v>
      </c>
      <c r="AE16">
        <v>0.5665117530365259</v>
      </c>
      <c r="AF16" s="6">
        <v>0.26939164592091119</v>
      </c>
    </row>
    <row r="17" spans="1:32" x14ac:dyDescent="0.3">
      <c r="A17" s="5">
        <v>21</v>
      </c>
      <c r="B17" t="s">
        <v>94</v>
      </c>
      <c r="C17">
        <v>13623.75451269999</v>
      </c>
      <c r="D17">
        <v>227.06257521166651</v>
      </c>
      <c r="E17" t="s">
        <v>95</v>
      </c>
      <c r="G17" t="s">
        <v>34</v>
      </c>
      <c r="H17" t="s">
        <v>96</v>
      </c>
      <c r="J17" t="s">
        <v>36</v>
      </c>
      <c r="K17">
        <v>1.74094920806762E-2</v>
      </c>
      <c r="L17">
        <v>0</v>
      </c>
      <c r="M17">
        <v>1.74094920806762E-2</v>
      </c>
      <c r="N17" t="s">
        <v>17</v>
      </c>
      <c r="O17">
        <v>1048</v>
      </c>
      <c r="P17" s="11">
        <v>8.9820340367870069E-5</v>
      </c>
      <c r="Q17">
        <v>1E-4</v>
      </c>
      <c r="R17">
        <v>2000</v>
      </c>
      <c r="S17">
        <v>0.18432378096980079</v>
      </c>
      <c r="T17">
        <v>2.4149638557808002</v>
      </c>
      <c r="U17">
        <v>1.3649814811210901</v>
      </c>
      <c r="V17">
        <v>9.6469999999999993E-3</v>
      </c>
      <c r="W17">
        <v>8.5518540000000005</v>
      </c>
      <c r="X17">
        <v>7.1656500000000003</v>
      </c>
      <c r="Y17">
        <v>44.150669999999998</v>
      </c>
      <c r="Z17">
        <v>42.528283999999999</v>
      </c>
      <c r="AA17">
        <v>1E-4</v>
      </c>
      <c r="AB17">
        <v>3.4242520685076201</v>
      </c>
      <c r="AC17">
        <v>9.9997745736004902</v>
      </c>
      <c r="AD17">
        <v>1.6426339999999999</v>
      </c>
      <c r="AE17">
        <v>0.45171710819292482</v>
      </c>
      <c r="AF17" s="6">
        <v>0.46110374288754669</v>
      </c>
    </row>
    <row r="18" spans="1:32" x14ac:dyDescent="0.3">
      <c r="A18" s="5">
        <v>22</v>
      </c>
      <c r="B18" t="s">
        <v>97</v>
      </c>
      <c r="C18">
        <v>7449.552884899982</v>
      </c>
      <c r="D18">
        <v>124.159214748333</v>
      </c>
      <c r="E18" t="s">
        <v>98</v>
      </c>
      <c r="G18" t="s">
        <v>34</v>
      </c>
      <c r="H18" t="s">
        <v>99</v>
      </c>
      <c r="J18" t="s">
        <v>36</v>
      </c>
      <c r="K18">
        <v>3.0807317000398619E-2</v>
      </c>
      <c r="L18">
        <v>0</v>
      </c>
      <c r="M18">
        <v>3.0807317000398619E-2</v>
      </c>
      <c r="N18" t="s">
        <v>17</v>
      </c>
      <c r="O18">
        <v>933</v>
      </c>
      <c r="P18" s="11">
        <v>5.7159296964075603E-5</v>
      </c>
      <c r="Q18">
        <v>1E-4</v>
      </c>
      <c r="R18">
        <v>2000</v>
      </c>
      <c r="S18">
        <v>0.1359084087448795</v>
      </c>
      <c r="T18">
        <v>3.3038070819419989</v>
      </c>
      <c r="U18">
        <v>6.9908380786620734</v>
      </c>
      <c r="V18">
        <v>9.6469999999999993E-3</v>
      </c>
      <c r="W18">
        <v>8.5518540000000005</v>
      </c>
      <c r="X18">
        <v>7.1656500000000003</v>
      </c>
      <c r="Y18">
        <v>44.150669999999998</v>
      </c>
      <c r="Z18">
        <v>42.528283999999999</v>
      </c>
      <c r="AA18">
        <v>1E-4</v>
      </c>
      <c r="AB18">
        <v>0.65955054452455097</v>
      </c>
      <c r="AC18">
        <v>6.6176297923569738</v>
      </c>
      <c r="AD18">
        <v>1.6426339999999999</v>
      </c>
      <c r="AE18">
        <v>0.26943243745875872</v>
      </c>
      <c r="AF18" s="6">
        <v>0.63907592800598911</v>
      </c>
    </row>
    <row r="19" spans="1:32" x14ac:dyDescent="0.3">
      <c r="A19" s="5">
        <v>23</v>
      </c>
      <c r="B19" t="s">
        <v>100</v>
      </c>
      <c r="C19">
        <v>5814.1657645999803</v>
      </c>
      <c r="D19">
        <v>96.902762743333</v>
      </c>
      <c r="E19" t="s">
        <v>101</v>
      </c>
      <c r="G19" t="s">
        <v>34</v>
      </c>
      <c r="H19" t="s">
        <v>102</v>
      </c>
      <c r="J19" t="s">
        <v>36</v>
      </c>
      <c r="K19">
        <v>2.5342726527727118E-2</v>
      </c>
      <c r="L19">
        <v>0</v>
      </c>
      <c r="M19">
        <v>2.5342726527727118E-2</v>
      </c>
      <c r="N19" t="s">
        <v>17</v>
      </c>
      <c r="O19">
        <v>232</v>
      </c>
      <c r="P19" s="11">
        <v>6.0758813264849172E-5</v>
      </c>
      <c r="Q19">
        <v>1E-4</v>
      </c>
      <c r="R19">
        <v>2000</v>
      </c>
      <c r="S19">
        <v>0.65230297039469942</v>
      </c>
      <c r="T19">
        <v>2.0770307526074339</v>
      </c>
      <c r="U19">
        <v>0.78075656968564511</v>
      </c>
      <c r="V19">
        <v>9.6469999999999993E-3</v>
      </c>
      <c r="W19">
        <v>8.5518540000000005</v>
      </c>
      <c r="X19">
        <v>7.1656500000000003</v>
      </c>
      <c r="Y19">
        <v>44.150669999999998</v>
      </c>
      <c r="Z19">
        <v>42.528283999999999</v>
      </c>
      <c r="AA19">
        <v>1E-4</v>
      </c>
      <c r="AB19">
        <v>3.9263394493182999</v>
      </c>
      <c r="AC19">
        <v>7.0427777304200028</v>
      </c>
      <c r="AD19">
        <v>1.6426339999999999</v>
      </c>
      <c r="AE19">
        <v>0.53593493485641408</v>
      </c>
      <c r="AF19" s="6">
        <v>0.21139776264460561</v>
      </c>
    </row>
    <row r="20" spans="1:32" x14ac:dyDescent="0.3">
      <c r="A20" s="5">
        <v>24</v>
      </c>
      <c r="B20" t="s">
        <v>103</v>
      </c>
      <c r="C20">
        <v>4185.7595682000101</v>
      </c>
      <c r="D20">
        <v>69.762659470000173</v>
      </c>
      <c r="E20" t="s">
        <v>104</v>
      </c>
      <c r="G20" t="s">
        <v>34</v>
      </c>
      <c r="H20" t="s">
        <v>105</v>
      </c>
      <c r="J20" t="s">
        <v>36</v>
      </c>
      <c r="K20">
        <v>1.7061836719004322E-2</v>
      </c>
      <c r="L20">
        <v>0</v>
      </c>
      <c r="M20">
        <v>1.7061836719004322E-2</v>
      </c>
      <c r="N20" t="s">
        <v>17</v>
      </c>
      <c r="O20">
        <v>240</v>
      </c>
      <c r="P20" s="11">
        <v>9.7299965244742958E-5</v>
      </c>
      <c r="Q20">
        <v>1E-4</v>
      </c>
      <c r="R20">
        <v>2000</v>
      </c>
      <c r="S20">
        <v>0.132546262650129</v>
      </c>
      <c r="T20">
        <v>3.893671184911172</v>
      </c>
      <c r="U20">
        <v>0.67255490702205023</v>
      </c>
      <c r="V20">
        <v>9.6469999999999993E-3</v>
      </c>
      <c r="W20">
        <v>8.5518540000000005</v>
      </c>
      <c r="X20">
        <v>7.1656500000000003</v>
      </c>
      <c r="Y20">
        <v>44.150669999999998</v>
      </c>
      <c r="Z20">
        <v>42.528283999999999</v>
      </c>
      <c r="AA20">
        <v>1E-4</v>
      </c>
      <c r="AB20">
        <v>3.921038778767866</v>
      </c>
      <c r="AC20">
        <v>9.991795607270566</v>
      </c>
      <c r="AD20">
        <v>1.6426339999999999</v>
      </c>
      <c r="AE20">
        <v>0.57030410431709933</v>
      </c>
      <c r="AF20" s="6">
        <v>0.27539095119876622</v>
      </c>
    </row>
    <row r="21" spans="1:32" x14ac:dyDescent="0.3">
      <c r="A21" s="5">
        <v>25</v>
      </c>
      <c r="B21" t="s">
        <v>106</v>
      </c>
      <c r="C21">
        <v>4901.0364973999967</v>
      </c>
      <c r="D21">
        <v>81.683941623333283</v>
      </c>
      <c r="E21" t="s">
        <v>107</v>
      </c>
      <c r="G21" t="s">
        <v>34</v>
      </c>
      <c r="H21" t="s">
        <v>108</v>
      </c>
      <c r="J21" t="s">
        <v>36</v>
      </c>
      <c r="K21">
        <v>3.2865191206284922E-2</v>
      </c>
      <c r="L21">
        <v>0</v>
      </c>
      <c r="M21">
        <v>3.2865191206284922E-2</v>
      </c>
      <c r="N21" t="s">
        <v>17</v>
      </c>
      <c r="O21">
        <v>832</v>
      </c>
      <c r="P21" s="11">
        <v>9.7801619461440078E-5</v>
      </c>
      <c r="Q21">
        <v>1E-4</v>
      </c>
      <c r="R21">
        <v>2000</v>
      </c>
      <c r="S21">
        <v>0.19413816212667731</v>
      </c>
      <c r="T21">
        <v>3.844084630584347</v>
      </c>
      <c r="U21">
        <v>1.2368361308460261</v>
      </c>
      <c r="V21">
        <v>9.6469999999999993E-3</v>
      </c>
      <c r="W21">
        <v>8.5518540000000005</v>
      </c>
      <c r="X21">
        <v>7.1656500000000003</v>
      </c>
      <c r="Y21">
        <v>44.150669999999998</v>
      </c>
      <c r="Z21">
        <v>42.528283999999999</v>
      </c>
      <c r="AA21">
        <v>1E-4</v>
      </c>
      <c r="AB21">
        <v>2.4274124306484648</v>
      </c>
      <c r="AC21">
        <v>9.9601620773877109</v>
      </c>
      <c r="AD21">
        <v>1.6426339999999999</v>
      </c>
      <c r="AE21">
        <v>0.59968154212108837</v>
      </c>
      <c r="AF21" s="6">
        <v>0.19259834076794369</v>
      </c>
    </row>
    <row r="22" spans="1:32" x14ac:dyDescent="0.3">
      <c r="A22" s="5">
        <v>26</v>
      </c>
      <c r="B22" t="s">
        <v>109</v>
      </c>
      <c r="C22">
        <v>2074.2730203999959</v>
      </c>
      <c r="D22">
        <v>34.571217006666608</v>
      </c>
      <c r="E22" t="s">
        <v>110</v>
      </c>
      <c r="G22" t="s">
        <v>34</v>
      </c>
      <c r="H22" t="s">
        <v>111</v>
      </c>
      <c r="J22" t="s">
        <v>36</v>
      </c>
      <c r="K22">
        <v>2.158008175818216E-2</v>
      </c>
      <c r="L22">
        <v>0</v>
      </c>
      <c r="M22">
        <v>2.158008175818216E-2</v>
      </c>
      <c r="N22" t="s">
        <v>17</v>
      </c>
      <c r="O22">
        <v>277</v>
      </c>
      <c r="P22" s="11">
        <v>9.9942092145659375E-5</v>
      </c>
      <c r="Q22">
        <v>1E-4</v>
      </c>
      <c r="R22">
        <v>2000</v>
      </c>
      <c r="S22">
        <v>0.37858929172535749</v>
      </c>
      <c r="T22">
        <v>2.614446601797082</v>
      </c>
      <c r="U22">
        <v>7.184449109992201</v>
      </c>
      <c r="V22">
        <v>9.6469999999999993E-3</v>
      </c>
      <c r="W22">
        <v>8.5518540000000005</v>
      </c>
      <c r="X22">
        <v>7.1656500000000003</v>
      </c>
      <c r="Y22">
        <v>44.150669999999998</v>
      </c>
      <c r="Z22">
        <v>42.528283999999999</v>
      </c>
      <c r="AA22">
        <v>1E-4</v>
      </c>
      <c r="AB22">
        <v>1.212010681004307</v>
      </c>
      <c r="AC22">
        <v>9.9930494297369474</v>
      </c>
      <c r="AD22">
        <v>1.6426339999999999</v>
      </c>
      <c r="AE22">
        <v>0.34845443192353331</v>
      </c>
      <c r="AF22" s="6">
        <v>0.53600703040912212</v>
      </c>
    </row>
    <row r="23" spans="1:32" x14ac:dyDescent="0.3">
      <c r="A23" s="5">
        <v>27</v>
      </c>
      <c r="B23" t="s">
        <v>112</v>
      </c>
      <c r="C23">
        <v>4781.5120207</v>
      </c>
      <c r="D23">
        <v>79.691867011666673</v>
      </c>
      <c r="E23" t="s">
        <v>113</v>
      </c>
      <c r="G23" t="s">
        <v>34</v>
      </c>
      <c r="H23" t="s">
        <v>114</v>
      </c>
      <c r="J23" t="s">
        <v>36</v>
      </c>
      <c r="K23">
        <v>3.5409677587260928E-2</v>
      </c>
      <c r="L23">
        <v>0</v>
      </c>
      <c r="M23">
        <v>3.5409677587260928E-2</v>
      </c>
      <c r="N23" t="s">
        <v>17</v>
      </c>
      <c r="O23">
        <v>695</v>
      </c>
      <c r="P23" s="11">
        <v>8.8803930078873696E-5</v>
      </c>
      <c r="Q23">
        <v>1E-4</v>
      </c>
      <c r="R23">
        <v>2000</v>
      </c>
      <c r="S23">
        <v>0.17552491149223229</v>
      </c>
      <c r="T23">
        <v>4.1577551963834054</v>
      </c>
      <c r="U23">
        <v>1.4753880067750491</v>
      </c>
      <c r="V23">
        <v>9.6469999999999993E-3</v>
      </c>
      <c r="W23">
        <v>8.5518540000000005</v>
      </c>
      <c r="X23">
        <v>7.1656500000000003</v>
      </c>
      <c r="Y23">
        <v>44.150669999999998</v>
      </c>
      <c r="Z23">
        <v>42.528283999999999</v>
      </c>
      <c r="AA23">
        <v>1E-4</v>
      </c>
      <c r="AB23">
        <v>2.0675212452253708</v>
      </c>
      <c r="AC23">
        <v>9.9962269957496606</v>
      </c>
      <c r="AD23">
        <v>1.6426339999999999</v>
      </c>
      <c r="AE23">
        <v>0.56432866694182982</v>
      </c>
      <c r="AF23" s="6">
        <v>0.2082087045653517</v>
      </c>
    </row>
    <row r="24" spans="1:32" x14ac:dyDescent="0.3">
      <c r="A24" s="5">
        <v>28</v>
      </c>
      <c r="B24" t="s">
        <v>115</v>
      </c>
      <c r="C24">
        <v>2133.3174923000038</v>
      </c>
      <c r="D24">
        <v>35.555291538333407</v>
      </c>
      <c r="E24" t="s">
        <v>116</v>
      </c>
      <c r="G24" t="s">
        <v>34</v>
      </c>
      <c r="H24" t="s">
        <v>117</v>
      </c>
      <c r="J24" t="s">
        <v>36</v>
      </c>
      <c r="K24">
        <v>1.10161903996707E-2</v>
      </c>
      <c r="L24">
        <v>0</v>
      </c>
      <c r="M24">
        <v>1.10161903996707E-2</v>
      </c>
      <c r="N24" t="s">
        <v>17</v>
      </c>
      <c r="O24">
        <v>255</v>
      </c>
      <c r="P24" s="11">
        <v>9.990303220302308E-5</v>
      </c>
      <c r="Q24">
        <v>1E-4</v>
      </c>
      <c r="R24">
        <v>2000</v>
      </c>
      <c r="S24">
        <v>0.1386956396634994</v>
      </c>
      <c r="T24">
        <v>0.35096545121603412</v>
      </c>
      <c r="U24">
        <v>5.6300792481507358</v>
      </c>
      <c r="V24">
        <v>9.6469999999999993E-3</v>
      </c>
      <c r="W24">
        <v>8.5518540000000005</v>
      </c>
      <c r="X24">
        <v>7.1656500000000003</v>
      </c>
      <c r="Y24">
        <v>44.150669999999998</v>
      </c>
      <c r="Z24">
        <v>42.528283999999999</v>
      </c>
      <c r="AA24">
        <v>1E-4</v>
      </c>
      <c r="AB24">
        <v>2.48489320225287</v>
      </c>
      <c r="AC24">
        <v>4.4853468547857913</v>
      </c>
      <c r="AD24">
        <v>1.6426339999999999</v>
      </c>
      <c r="AE24">
        <v>0.13702884973579349</v>
      </c>
      <c r="AF24" s="6">
        <v>0.61565639978424436</v>
      </c>
    </row>
    <row r="25" spans="1:32" x14ac:dyDescent="0.3">
      <c r="A25" s="5">
        <v>29</v>
      </c>
      <c r="B25" t="s">
        <v>118</v>
      </c>
      <c r="C25">
        <v>1720.9336680999841</v>
      </c>
      <c r="D25">
        <v>28.6822278016664</v>
      </c>
      <c r="E25" t="s">
        <v>119</v>
      </c>
      <c r="G25" t="s">
        <v>34</v>
      </c>
      <c r="H25" t="s">
        <v>120</v>
      </c>
      <c r="J25" t="s">
        <v>36</v>
      </c>
      <c r="K25">
        <v>1.528760483283453E-2</v>
      </c>
      <c r="L25">
        <v>0</v>
      </c>
      <c r="M25">
        <v>1.528760483283453E-2</v>
      </c>
      <c r="N25" t="s">
        <v>17</v>
      </c>
      <c r="O25">
        <v>334</v>
      </c>
      <c r="P25" s="11">
        <v>9.3982948527025596E-5</v>
      </c>
      <c r="Q25">
        <v>1E-4</v>
      </c>
      <c r="R25">
        <v>2000</v>
      </c>
      <c r="S25">
        <v>5.2075001580897208E-2</v>
      </c>
      <c r="T25">
        <v>1.8137100794334391</v>
      </c>
      <c r="U25">
        <v>1.5666984959853949</v>
      </c>
      <c r="V25">
        <v>9.6469999999999993E-3</v>
      </c>
      <c r="W25">
        <v>8.5518540000000005</v>
      </c>
      <c r="X25">
        <v>7.1656500000000003</v>
      </c>
      <c r="Y25">
        <v>44.150669999999998</v>
      </c>
      <c r="Z25">
        <v>42.528283999999999</v>
      </c>
      <c r="AA25">
        <v>1E-4</v>
      </c>
      <c r="AB25">
        <v>5.8649617967851384</v>
      </c>
      <c r="AC25">
        <v>4.2056147599870002</v>
      </c>
      <c r="AD25">
        <v>1.6426339999999999</v>
      </c>
      <c r="AE25">
        <v>0.1991690382268973</v>
      </c>
      <c r="AF25" s="6">
        <v>0.79546710150877675</v>
      </c>
    </row>
    <row r="26" spans="1:32" x14ac:dyDescent="0.3">
      <c r="A26" s="5">
        <v>31</v>
      </c>
      <c r="B26" t="s">
        <v>124</v>
      </c>
      <c r="C26">
        <v>1135.8948174999971</v>
      </c>
      <c r="D26">
        <v>18.931580291666609</v>
      </c>
      <c r="E26" t="s">
        <v>125</v>
      </c>
      <c r="G26" t="s">
        <v>34</v>
      </c>
      <c r="H26" t="s">
        <v>126</v>
      </c>
      <c r="J26" t="s">
        <v>36</v>
      </c>
      <c r="K26">
        <v>1.2418892553136759E-2</v>
      </c>
      <c r="L26">
        <v>0</v>
      </c>
      <c r="M26">
        <v>1.2418892553136759E-2</v>
      </c>
      <c r="N26" t="s">
        <v>17</v>
      </c>
      <c r="O26">
        <v>173</v>
      </c>
      <c r="P26" s="11">
        <v>9.9952482821797579E-5</v>
      </c>
      <c r="Q26">
        <v>1E-4</v>
      </c>
      <c r="R26">
        <v>2000</v>
      </c>
      <c r="S26">
        <v>9.5131472790338165E-2</v>
      </c>
      <c r="T26">
        <v>1.3514976724639101</v>
      </c>
      <c r="U26">
        <v>1.378767963387493</v>
      </c>
      <c r="V26">
        <v>9.6469999999999993E-3</v>
      </c>
      <c r="W26">
        <v>8.5518540000000005</v>
      </c>
      <c r="X26">
        <v>7.1656500000000003</v>
      </c>
      <c r="Y26">
        <v>44.150669999999998</v>
      </c>
      <c r="Z26">
        <v>42.528283999999999</v>
      </c>
      <c r="AA26">
        <v>1E-4</v>
      </c>
      <c r="AB26">
        <v>5.7046777604247936</v>
      </c>
      <c r="AC26">
        <v>6.9959496868252078</v>
      </c>
      <c r="AD26">
        <v>1.6426339999999999</v>
      </c>
      <c r="AE26">
        <v>0.27282498101157071</v>
      </c>
      <c r="AF26" s="6">
        <v>0.70647905065370864</v>
      </c>
    </row>
    <row r="27" spans="1:32" x14ac:dyDescent="0.3">
      <c r="A27" s="5">
        <v>32</v>
      </c>
      <c r="B27" t="s">
        <v>127</v>
      </c>
      <c r="C27">
        <v>9774.8308117999986</v>
      </c>
      <c r="D27">
        <v>162.9138468633333</v>
      </c>
      <c r="E27" t="s">
        <v>128</v>
      </c>
      <c r="G27" t="s">
        <v>34</v>
      </c>
      <c r="H27" t="s">
        <v>129</v>
      </c>
      <c r="J27" t="s">
        <v>36</v>
      </c>
      <c r="K27">
        <v>3.5474141892733478E-2</v>
      </c>
      <c r="L27">
        <v>0</v>
      </c>
      <c r="M27">
        <v>3.5474141892733478E-2</v>
      </c>
      <c r="N27" t="s">
        <v>17</v>
      </c>
      <c r="O27">
        <v>576</v>
      </c>
      <c r="P27" s="11">
        <v>9.7171459345381795E-5</v>
      </c>
      <c r="Q27">
        <v>1E-4</v>
      </c>
      <c r="R27">
        <v>2000</v>
      </c>
      <c r="S27">
        <v>0.32234151004415629</v>
      </c>
      <c r="T27">
        <v>1.9991316186647099</v>
      </c>
      <c r="U27">
        <v>1.4055667221445689</v>
      </c>
      <c r="V27">
        <v>9.6469999999999993E-3</v>
      </c>
      <c r="W27">
        <v>8.5518540000000005</v>
      </c>
      <c r="X27">
        <v>7.1656500000000003</v>
      </c>
      <c r="Y27">
        <v>44.150669999999998</v>
      </c>
      <c r="Z27">
        <v>42.528283999999999</v>
      </c>
      <c r="AA27">
        <v>1E-4</v>
      </c>
      <c r="AB27">
        <v>3.566065080144825</v>
      </c>
      <c r="AC27">
        <v>6.1644202880710797</v>
      </c>
      <c r="AD27">
        <v>1.6426339999999999</v>
      </c>
      <c r="AE27">
        <v>0.49660288496814692</v>
      </c>
      <c r="AF27" s="6">
        <v>0.3550808755615506</v>
      </c>
    </row>
    <row r="28" spans="1:32" x14ac:dyDescent="0.3">
      <c r="A28" s="5">
        <v>33</v>
      </c>
      <c r="B28" t="s">
        <v>130</v>
      </c>
      <c r="C28">
        <v>4253.1494631999813</v>
      </c>
      <c r="D28">
        <v>70.885824386666357</v>
      </c>
      <c r="E28" t="s">
        <v>131</v>
      </c>
      <c r="G28" t="s">
        <v>34</v>
      </c>
      <c r="H28" t="s">
        <v>132</v>
      </c>
      <c r="J28" t="s">
        <v>36</v>
      </c>
      <c r="K28">
        <v>4.4191874799525091E-2</v>
      </c>
      <c r="L28">
        <v>0</v>
      </c>
      <c r="M28">
        <v>4.4191874799525091E-2</v>
      </c>
      <c r="N28" t="s">
        <v>17</v>
      </c>
      <c r="O28">
        <v>602</v>
      </c>
      <c r="P28" s="11">
        <v>7.0307574478676885E-5</v>
      </c>
      <c r="Q28">
        <v>1E-4</v>
      </c>
      <c r="R28">
        <v>2000</v>
      </c>
      <c r="S28">
        <v>0.65962327440448321</v>
      </c>
      <c r="T28">
        <v>4.4482599897689132</v>
      </c>
      <c r="U28">
        <v>5.0098081134271073</v>
      </c>
      <c r="V28">
        <v>9.6469999999999993E-3</v>
      </c>
      <c r="W28">
        <v>8.5518540000000005</v>
      </c>
      <c r="X28">
        <v>7.1656500000000003</v>
      </c>
      <c r="Y28">
        <v>44.150669999999998</v>
      </c>
      <c r="Z28">
        <v>42.528283999999999</v>
      </c>
      <c r="AA28">
        <v>1E-4</v>
      </c>
      <c r="AB28">
        <v>0.85232557149720689</v>
      </c>
      <c r="AC28">
        <v>9.9968986282814321</v>
      </c>
      <c r="AD28">
        <v>1.6426339999999999</v>
      </c>
      <c r="AE28">
        <v>0.41213678145615201</v>
      </c>
      <c r="AF28" s="6">
        <v>0.62659620795105597</v>
      </c>
    </row>
    <row r="29" spans="1:32" x14ac:dyDescent="0.3">
      <c r="A29" s="5">
        <v>35</v>
      </c>
      <c r="B29" t="s">
        <v>136</v>
      </c>
      <c r="C29">
        <v>1066.8020373000179</v>
      </c>
      <c r="D29">
        <v>17.780033955000299</v>
      </c>
      <c r="E29" t="s">
        <v>137</v>
      </c>
      <c r="G29" t="s">
        <v>34</v>
      </c>
      <c r="H29" t="s">
        <v>138</v>
      </c>
      <c r="J29" t="s">
        <v>36</v>
      </c>
      <c r="K29">
        <v>2.0386779345943549E-2</v>
      </c>
      <c r="L29">
        <v>0</v>
      </c>
      <c r="M29">
        <v>2.0386779345943549E-2</v>
      </c>
      <c r="N29" t="s">
        <v>17</v>
      </c>
      <c r="O29">
        <v>238</v>
      </c>
      <c r="P29" s="11">
        <v>9.7799410588132412E-5</v>
      </c>
      <c r="Q29">
        <v>1E-4</v>
      </c>
      <c r="R29">
        <v>2000</v>
      </c>
      <c r="S29">
        <v>0.1146204907562238</v>
      </c>
      <c r="T29">
        <v>1.2822339503207389</v>
      </c>
      <c r="U29">
        <v>3.3997732462060068</v>
      </c>
      <c r="V29">
        <v>9.6469999999999993E-3</v>
      </c>
      <c r="W29">
        <v>8.5518540000000005</v>
      </c>
      <c r="X29">
        <v>7.1656500000000003</v>
      </c>
      <c r="Y29">
        <v>44.150669999999998</v>
      </c>
      <c r="Z29">
        <v>42.528283999999999</v>
      </c>
      <c r="AA29">
        <v>1E-4</v>
      </c>
      <c r="AB29">
        <v>2.1198737333854409</v>
      </c>
      <c r="AC29">
        <v>5.6678882673044573</v>
      </c>
      <c r="AD29">
        <v>1.6426339999999999</v>
      </c>
      <c r="AE29">
        <v>0.28948593086548219</v>
      </c>
      <c r="AF29" s="6">
        <v>0.50893350559284523</v>
      </c>
    </row>
    <row r="30" spans="1:32" x14ac:dyDescent="0.3">
      <c r="A30" s="5">
        <v>37</v>
      </c>
      <c r="B30" t="s">
        <v>142</v>
      </c>
      <c r="C30">
        <v>2741.5197531999729</v>
      </c>
      <c r="D30">
        <v>45.691995886666213</v>
      </c>
      <c r="E30" t="s">
        <v>143</v>
      </c>
      <c r="G30" t="s">
        <v>34</v>
      </c>
      <c r="H30" t="s">
        <v>144</v>
      </c>
      <c r="J30" t="s">
        <v>36</v>
      </c>
      <c r="K30">
        <v>3.6462153739501069E-2</v>
      </c>
      <c r="L30">
        <v>0</v>
      </c>
      <c r="M30">
        <v>3.6462153739501069E-2</v>
      </c>
      <c r="N30" t="s">
        <v>17</v>
      </c>
      <c r="O30">
        <v>473</v>
      </c>
      <c r="P30" s="11">
        <v>8.4768421213510278E-5</v>
      </c>
      <c r="Q30">
        <v>1E-4</v>
      </c>
      <c r="R30">
        <v>2000</v>
      </c>
      <c r="S30">
        <v>0.1004392902415865</v>
      </c>
      <c r="T30">
        <v>4.3800332930190624</v>
      </c>
      <c r="U30">
        <v>0.63567516180043038</v>
      </c>
      <c r="V30">
        <v>9.6469999999999993E-3</v>
      </c>
      <c r="W30">
        <v>8.5518540000000005</v>
      </c>
      <c r="X30">
        <v>7.1656500000000003</v>
      </c>
      <c r="Y30">
        <v>44.150669999999998</v>
      </c>
      <c r="Z30">
        <v>42.528283999999999</v>
      </c>
      <c r="AA30">
        <v>1E-4</v>
      </c>
      <c r="AB30">
        <v>2.9512050224277568</v>
      </c>
      <c r="AC30">
        <v>9.9091926377554085</v>
      </c>
      <c r="AD30">
        <v>1.6426339999999999</v>
      </c>
      <c r="AE30">
        <v>0.60218660480016539</v>
      </c>
      <c r="AF30" s="6">
        <v>0.14604862905263499</v>
      </c>
    </row>
    <row r="31" spans="1:32" x14ac:dyDescent="0.3">
      <c r="A31" s="5">
        <v>38</v>
      </c>
      <c r="B31" t="s">
        <v>145</v>
      </c>
      <c r="C31">
        <v>7975.0046935999999</v>
      </c>
      <c r="D31">
        <v>132.91674489333329</v>
      </c>
      <c r="E31" t="s">
        <v>146</v>
      </c>
      <c r="G31" t="s">
        <v>34</v>
      </c>
      <c r="H31" t="s">
        <v>147</v>
      </c>
      <c r="J31" t="s">
        <v>36</v>
      </c>
      <c r="K31">
        <v>3.260815693577121E-2</v>
      </c>
      <c r="L31">
        <v>0</v>
      </c>
      <c r="M31">
        <v>3.260815693577121E-2</v>
      </c>
      <c r="N31" t="s">
        <v>17</v>
      </c>
      <c r="O31">
        <v>384</v>
      </c>
      <c r="P31" s="11">
        <v>8.300816004010434E-5</v>
      </c>
      <c r="Q31">
        <v>1E-4</v>
      </c>
      <c r="R31">
        <v>2000</v>
      </c>
      <c r="S31">
        <v>0.17452147863439391</v>
      </c>
      <c r="T31">
        <v>2.6757654567366602</v>
      </c>
      <c r="U31">
        <v>0.81752363490333246</v>
      </c>
      <c r="V31">
        <v>9.6469999999999993E-3</v>
      </c>
      <c r="W31">
        <v>8.5518540000000005</v>
      </c>
      <c r="X31">
        <v>7.1656500000000003</v>
      </c>
      <c r="Y31">
        <v>44.150669999999998</v>
      </c>
      <c r="Z31">
        <v>42.528283999999999</v>
      </c>
      <c r="AA31">
        <v>1E-4</v>
      </c>
      <c r="AB31">
        <v>4.6126561510747308</v>
      </c>
      <c r="AC31">
        <v>9.9983768878087265</v>
      </c>
      <c r="AD31">
        <v>1.6426339999999999</v>
      </c>
      <c r="AE31">
        <v>0.59436989934675821</v>
      </c>
      <c r="AF31" s="6">
        <v>0.25578825498710922</v>
      </c>
    </row>
    <row r="32" spans="1:32" x14ac:dyDescent="0.3">
      <c r="A32" s="5">
        <v>39</v>
      </c>
      <c r="B32" t="s">
        <v>148</v>
      </c>
      <c r="C32">
        <v>2399.7903314</v>
      </c>
      <c r="D32">
        <v>39.996505523333333</v>
      </c>
      <c r="E32" t="s">
        <v>149</v>
      </c>
      <c r="G32" t="s">
        <v>34</v>
      </c>
      <c r="H32" t="s">
        <v>150</v>
      </c>
      <c r="J32" t="s">
        <v>36</v>
      </c>
      <c r="K32">
        <v>3.9624340522111133E-2</v>
      </c>
      <c r="L32">
        <v>0</v>
      </c>
      <c r="M32">
        <v>3.9624340522111133E-2</v>
      </c>
      <c r="N32" t="s">
        <v>17</v>
      </c>
      <c r="O32">
        <v>329</v>
      </c>
      <c r="P32" s="11">
        <v>6.4767194554348203E-5</v>
      </c>
      <c r="Q32">
        <v>1E-4</v>
      </c>
      <c r="R32">
        <v>2000</v>
      </c>
      <c r="S32">
        <v>0.10965967707491669</v>
      </c>
      <c r="T32">
        <v>2.955778978407098</v>
      </c>
      <c r="U32">
        <v>2.1872378522803202</v>
      </c>
      <c r="V32">
        <v>9.6469999999999993E-3</v>
      </c>
      <c r="W32">
        <v>8.5518540000000005</v>
      </c>
      <c r="X32">
        <v>7.1656500000000003</v>
      </c>
      <c r="Y32">
        <v>44.150669999999998</v>
      </c>
      <c r="Z32">
        <v>42.528283999999999</v>
      </c>
      <c r="AA32">
        <v>1E-4</v>
      </c>
      <c r="AB32">
        <v>2.655314943580394</v>
      </c>
      <c r="AC32">
        <v>9.000361131175044</v>
      </c>
      <c r="AD32">
        <v>1.6426339999999999</v>
      </c>
      <c r="AE32">
        <v>0.39369906643429131</v>
      </c>
      <c r="AF32" s="6">
        <v>0.47154905671617331</v>
      </c>
    </row>
    <row r="33" spans="1:32" x14ac:dyDescent="0.3">
      <c r="A33" s="5">
        <v>41</v>
      </c>
      <c r="B33" t="s">
        <v>154</v>
      </c>
      <c r="C33">
        <v>801.18145249999361</v>
      </c>
      <c r="D33">
        <v>13.353024208333229</v>
      </c>
      <c r="E33" t="s">
        <v>155</v>
      </c>
      <c r="G33" t="s">
        <v>34</v>
      </c>
      <c r="H33" t="s">
        <v>156</v>
      </c>
      <c r="J33" t="s">
        <v>36</v>
      </c>
      <c r="K33">
        <v>2.8191474311919811E-2</v>
      </c>
      <c r="L33">
        <v>0</v>
      </c>
      <c r="M33">
        <v>2.8191474311919811E-2</v>
      </c>
      <c r="N33" t="s">
        <v>17</v>
      </c>
      <c r="O33">
        <v>121</v>
      </c>
      <c r="P33" s="11">
        <v>9.4974927254155758E-5</v>
      </c>
      <c r="Q33">
        <v>1E-4</v>
      </c>
      <c r="R33">
        <v>2000</v>
      </c>
      <c r="S33">
        <v>0.1100526452209012</v>
      </c>
      <c r="T33">
        <v>4.4252058770277394</v>
      </c>
      <c r="U33">
        <v>0.28387301061526288</v>
      </c>
      <c r="V33">
        <v>9.6469999999999993E-3</v>
      </c>
      <c r="W33">
        <v>8.5518540000000005</v>
      </c>
      <c r="X33">
        <v>7.1656500000000003</v>
      </c>
      <c r="Y33">
        <v>44.150669999999998</v>
      </c>
      <c r="Z33">
        <v>42.528283999999999</v>
      </c>
      <c r="AA33">
        <v>1E-4</v>
      </c>
      <c r="AB33">
        <v>3.181449095176371</v>
      </c>
      <c r="AC33">
        <v>6.3954667337460576</v>
      </c>
      <c r="AD33">
        <v>1.6426339999999999</v>
      </c>
      <c r="AE33">
        <v>0.5828094220948038</v>
      </c>
      <c r="AF33" s="6">
        <v>0.1000003012946015</v>
      </c>
    </row>
    <row r="34" spans="1:32" x14ac:dyDescent="0.3">
      <c r="A34" s="5">
        <v>42</v>
      </c>
      <c r="B34" t="s">
        <v>157</v>
      </c>
      <c r="C34">
        <v>5815.0278800000087</v>
      </c>
      <c r="D34">
        <v>96.917131333333472</v>
      </c>
      <c r="E34" t="s">
        <v>158</v>
      </c>
      <c r="G34" t="s">
        <v>34</v>
      </c>
      <c r="H34" t="s">
        <v>159</v>
      </c>
      <c r="J34" t="s">
        <v>36</v>
      </c>
      <c r="K34">
        <v>1.9750574773232939E-2</v>
      </c>
      <c r="L34">
        <v>0</v>
      </c>
      <c r="M34">
        <v>1.9750574773232939E-2</v>
      </c>
      <c r="N34" t="s">
        <v>17</v>
      </c>
      <c r="O34">
        <v>598</v>
      </c>
      <c r="P34" s="11">
        <v>9.9638696878770399E-5</v>
      </c>
      <c r="Q34">
        <v>1E-4</v>
      </c>
      <c r="R34">
        <v>2000</v>
      </c>
      <c r="S34">
        <v>0.12605952622185199</v>
      </c>
      <c r="T34">
        <v>0.80898060182916187</v>
      </c>
      <c r="U34">
        <v>1.6505552513407891</v>
      </c>
      <c r="V34">
        <v>9.6469999999999993E-3</v>
      </c>
      <c r="W34">
        <v>8.5518540000000005</v>
      </c>
      <c r="X34">
        <v>7.1656500000000003</v>
      </c>
      <c r="Y34">
        <v>44.150669999999998</v>
      </c>
      <c r="Z34">
        <v>42.528283999999999</v>
      </c>
      <c r="AA34">
        <v>1E-4</v>
      </c>
      <c r="AB34">
        <v>6.3464584858163198</v>
      </c>
      <c r="AC34">
        <v>7.2077376194969194</v>
      </c>
      <c r="AD34">
        <v>1.6426339999999999</v>
      </c>
      <c r="AE34">
        <v>0.60668647705468071</v>
      </c>
      <c r="AF34" s="6">
        <v>0.25304596166561011</v>
      </c>
    </row>
    <row r="35" spans="1:32" x14ac:dyDescent="0.3">
      <c r="A35" s="5">
        <v>43</v>
      </c>
      <c r="B35" t="s">
        <v>160</v>
      </c>
      <c r="C35">
        <v>8238.3212055999902</v>
      </c>
      <c r="D35">
        <v>137.3053534266665</v>
      </c>
      <c r="E35" t="s">
        <v>161</v>
      </c>
      <c r="G35" t="s">
        <v>34</v>
      </c>
      <c r="H35" t="s">
        <v>162</v>
      </c>
      <c r="J35" t="s">
        <v>36</v>
      </c>
      <c r="K35">
        <v>1.7189471988636629E-2</v>
      </c>
      <c r="L35">
        <v>0</v>
      </c>
      <c r="M35">
        <v>1.7189471988636629E-2</v>
      </c>
      <c r="N35" t="s">
        <v>17</v>
      </c>
      <c r="O35">
        <v>841</v>
      </c>
      <c r="P35" s="11">
        <v>9.3389779026669382E-5</v>
      </c>
      <c r="Q35">
        <v>1E-4</v>
      </c>
      <c r="R35">
        <v>2000</v>
      </c>
      <c r="S35">
        <v>7.8883809403219776E-2</v>
      </c>
      <c r="T35">
        <v>1.989834202392571</v>
      </c>
      <c r="U35">
        <v>3.1129349638889261</v>
      </c>
      <c r="V35">
        <v>9.6469999999999993E-3</v>
      </c>
      <c r="W35">
        <v>8.5518540000000005</v>
      </c>
      <c r="X35">
        <v>7.1656500000000003</v>
      </c>
      <c r="Y35">
        <v>44.150669999999998</v>
      </c>
      <c r="Z35">
        <v>42.528283999999999</v>
      </c>
      <c r="AA35">
        <v>1E-4</v>
      </c>
      <c r="AB35">
        <v>2.461554532498798</v>
      </c>
      <c r="AC35">
        <v>5.9148049494740906</v>
      </c>
      <c r="AD35">
        <v>1.6426339999999999</v>
      </c>
      <c r="AE35">
        <v>0.31198441176541619</v>
      </c>
      <c r="AF35" s="6">
        <v>0.52920428717387114</v>
      </c>
    </row>
    <row r="36" spans="1:32" x14ac:dyDescent="0.3">
      <c r="A36" s="5">
        <v>44</v>
      </c>
      <c r="B36" t="s">
        <v>163</v>
      </c>
      <c r="C36">
        <v>1713.080664100009</v>
      </c>
      <c r="D36">
        <v>28.551344401666821</v>
      </c>
      <c r="E36" t="s">
        <v>164</v>
      </c>
      <c r="G36" t="s">
        <v>34</v>
      </c>
      <c r="H36" t="s">
        <v>165</v>
      </c>
      <c r="J36" t="s">
        <v>36</v>
      </c>
      <c r="K36">
        <v>2.5491717737612211E-2</v>
      </c>
      <c r="L36">
        <v>0</v>
      </c>
      <c r="M36">
        <v>2.5491717737612211E-2</v>
      </c>
      <c r="N36" t="s">
        <v>17</v>
      </c>
      <c r="O36">
        <v>277</v>
      </c>
      <c r="P36" s="11">
        <v>8.3926602150845891E-5</v>
      </c>
      <c r="Q36">
        <v>1E-4</v>
      </c>
      <c r="R36">
        <v>2000</v>
      </c>
      <c r="S36">
        <v>0.59027284533395008</v>
      </c>
      <c r="T36">
        <v>0.72967253887345185</v>
      </c>
      <c r="U36">
        <v>5.2004075887518528</v>
      </c>
      <c r="V36">
        <v>9.6469999999999993E-3</v>
      </c>
      <c r="W36">
        <v>8.5518540000000005</v>
      </c>
      <c r="X36">
        <v>7.1656500000000003</v>
      </c>
      <c r="Y36">
        <v>44.150669999999998</v>
      </c>
      <c r="Z36">
        <v>42.528283999999999</v>
      </c>
      <c r="AA36">
        <v>1E-4</v>
      </c>
      <c r="AB36">
        <v>1.992707408782082</v>
      </c>
      <c r="AC36">
        <v>3.7815374174516858</v>
      </c>
      <c r="AD36">
        <v>1.6426339999999999</v>
      </c>
      <c r="AE36">
        <v>0.2097603282626237</v>
      </c>
      <c r="AF36" s="6">
        <v>0.64192898817429889</v>
      </c>
    </row>
    <row r="37" spans="1:32" x14ac:dyDescent="0.3">
      <c r="A37" s="5">
        <v>45</v>
      </c>
      <c r="B37" t="s">
        <v>166</v>
      </c>
      <c r="C37">
        <v>2684.0802187000231</v>
      </c>
      <c r="D37">
        <v>44.734670311667053</v>
      </c>
      <c r="E37" t="s">
        <v>167</v>
      </c>
      <c r="G37" t="s">
        <v>34</v>
      </c>
      <c r="H37" t="s">
        <v>168</v>
      </c>
      <c r="J37" t="s">
        <v>36</v>
      </c>
      <c r="K37">
        <v>4.2273376204148103E-2</v>
      </c>
      <c r="L37">
        <v>0</v>
      </c>
      <c r="M37">
        <v>4.2273376204148103E-2</v>
      </c>
      <c r="N37" t="s">
        <v>17</v>
      </c>
      <c r="O37">
        <v>521</v>
      </c>
      <c r="P37" s="11">
        <v>9.9063731022885248E-5</v>
      </c>
      <c r="Q37">
        <v>1E-4</v>
      </c>
      <c r="R37">
        <v>2000</v>
      </c>
      <c r="S37">
        <v>0.57618409879936505</v>
      </c>
      <c r="T37">
        <v>1.7666765324772551</v>
      </c>
      <c r="U37">
        <v>1.797508525699276</v>
      </c>
      <c r="V37">
        <v>9.6469999999999993E-3</v>
      </c>
      <c r="W37">
        <v>8.5518540000000005</v>
      </c>
      <c r="X37">
        <v>7.1656500000000003</v>
      </c>
      <c r="Y37">
        <v>44.150669999999998</v>
      </c>
      <c r="Z37">
        <v>42.528283999999999</v>
      </c>
      <c r="AA37">
        <v>1E-4</v>
      </c>
      <c r="AB37">
        <v>2.5905178027153131</v>
      </c>
      <c r="AC37">
        <v>1.6255871023536539</v>
      </c>
      <c r="AD37">
        <v>1.6426339999999999</v>
      </c>
      <c r="AE37">
        <v>0.37283516593569932</v>
      </c>
      <c r="AF37" s="6">
        <v>0.54050542640947186</v>
      </c>
    </row>
    <row r="38" spans="1:32" x14ac:dyDescent="0.3">
      <c r="A38" s="5">
        <v>46</v>
      </c>
      <c r="B38" t="s">
        <v>169</v>
      </c>
      <c r="C38">
        <v>7619.5466100000194</v>
      </c>
      <c r="D38">
        <v>126.99244350000031</v>
      </c>
      <c r="E38" t="s">
        <v>170</v>
      </c>
      <c r="G38" t="s">
        <v>34</v>
      </c>
      <c r="H38" t="s">
        <v>171</v>
      </c>
      <c r="J38" t="s">
        <v>36</v>
      </c>
      <c r="K38">
        <v>6.5581507067984292E-3</v>
      </c>
      <c r="L38">
        <v>0</v>
      </c>
      <c r="M38">
        <v>6.5581507067984292E-3</v>
      </c>
      <c r="N38" t="s">
        <v>17</v>
      </c>
      <c r="O38">
        <v>792</v>
      </c>
      <c r="P38" s="11">
        <v>9.6617142006042938E-5</v>
      </c>
      <c r="Q38">
        <v>1E-4</v>
      </c>
      <c r="R38">
        <v>2000</v>
      </c>
      <c r="S38">
        <v>0.1041206127356531</v>
      </c>
      <c r="T38">
        <v>0.69987284158389507</v>
      </c>
      <c r="U38">
        <v>5.2848496376444292</v>
      </c>
      <c r="V38">
        <v>9.6469999999999993E-3</v>
      </c>
      <c r="W38">
        <v>8.5518540000000005</v>
      </c>
      <c r="X38">
        <v>7.1656500000000003</v>
      </c>
      <c r="Y38">
        <v>44.150669999999998</v>
      </c>
      <c r="Z38">
        <v>42.528283999999999</v>
      </c>
      <c r="AA38">
        <v>1E-4</v>
      </c>
      <c r="AB38">
        <v>4.5556791886315926</v>
      </c>
      <c r="AC38">
        <v>9.5958568691340425</v>
      </c>
      <c r="AD38">
        <v>1.6426339999999999</v>
      </c>
      <c r="AE38">
        <v>0.48521752171947308</v>
      </c>
      <c r="AF38" s="6">
        <v>0.42199546060608167</v>
      </c>
    </row>
    <row r="39" spans="1:32" x14ac:dyDescent="0.3">
      <c r="A39" s="5">
        <v>47</v>
      </c>
      <c r="B39" t="s">
        <v>172</v>
      </c>
      <c r="C39">
        <v>11826.519732199989</v>
      </c>
      <c r="D39">
        <v>197.1086622033331</v>
      </c>
      <c r="E39" t="s">
        <v>173</v>
      </c>
      <c r="G39" t="s">
        <v>34</v>
      </c>
      <c r="H39" t="s">
        <v>174</v>
      </c>
      <c r="J39" t="s">
        <v>36</v>
      </c>
      <c r="K39">
        <v>1.4965088059449979E-2</v>
      </c>
      <c r="L39">
        <v>0</v>
      </c>
      <c r="M39">
        <v>1.4965088059449979E-2</v>
      </c>
      <c r="N39" t="s">
        <v>17</v>
      </c>
      <c r="O39">
        <v>1095</v>
      </c>
      <c r="P39" s="11">
        <v>5.2661424167271222E-5</v>
      </c>
      <c r="Q39">
        <v>1E-4</v>
      </c>
      <c r="R39">
        <v>2000</v>
      </c>
      <c r="S39">
        <v>0.1532570313800844</v>
      </c>
      <c r="T39">
        <v>4.2858153856020049</v>
      </c>
      <c r="U39">
        <v>2.536698845023122</v>
      </c>
      <c r="V39">
        <v>9.6469999999999993E-3</v>
      </c>
      <c r="W39">
        <v>8.5518540000000005</v>
      </c>
      <c r="X39">
        <v>7.1656500000000003</v>
      </c>
      <c r="Y39">
        <v>44.150669999999998</v>
      </c>
      <c r="Z39">
        <v>42.528283999999999</v>
      </c>
      <c r="AA39">
        <v>1E-4</v>
      </c>
      <c r="AB39">
        <v>1.7310537172207709</v>
      </c>
      <c r="AC39">
        <v>5.6974743605757574</v>
      </c>
      <c r="AD39">
        <v>1.6426339999999999</v>
      </c>
      <c r="AE39">
        <v>0.65340654941529219</v>
      </c>
      <c r="AF39" s="6">
        <v>0.22357163673787189</v>
      </c>
    </row>
    <row r="40" spans="1:32" x14ac:dyDescent="0.3">
      <c r="A40" s="5">
        <v>48</v>
      </c>
      <c r="B40" t="s">
        <v>175</v>
      </c>
      <c r="C40">
        <v>20699.013515099999</v>
      </c>
      <c r="D40">
        <v>344.98355858500003</v>
      </c>
      <c r="E40" t="s">
        <v>176</v>
      </c>
      <c r="G40" t="s">
        <v>34</v>
      </c>
      <c r="H40" t="s">
        <v>177</v>
      </c>
      <c r="J40" t="s">
        <v>36</v>
      </c>
      <c r="K40">
        <v>3.1852124648471078E-2</v>
      </c>
      <c r="L40">
        <v>0</v>
      </c>
      <c r="M40">
        <v>3.1852124648471078E-2</v>
      </c>
      <c r="N40" t="s">
        <v>17</v>
      </c>
      <c r="O40">
        <v>2001</v>
      </c>
      <c r="P40" s="11">
        <v>5.7801786159527798E-4</v>
      </c>
      <c r="Q40">
        <v>1E-4</v>
      </c>
      <c r="R40">
        <v>2000</v>
      </c>
      <c r="S40">
        <v>0.25132863463943572</v>
      </c>
      <c r="T40">
        <v>1.865459686429324</v>
      </c>
      <c r="U40">
        <v>2.1127642458299349</v>
      </c>
      <c r="V40">
        <v>9.6469999999999993E-3</v>
      </c>
      <c r="W40">
        <v>8.5518540000000005</v>
      </c>
      <c r="X40">
        <v>7.1656500000000003</v>
      </c>
      <c r="Y40">
        <v>44.150669999999998</v>
      </c>
      <c r="Z40">
        <v>42.528283999999999</v>
      </c>
      <c r="AA40">
        <v>1E-4</v>
      </c>
      <c r="AB40">
        <v>3.8341718214547158</v>
      </c>
      <c r="AC40">
        <v>9.9996869851837449</v>
      </c>
      <c r="AD40">
        <v>1.6426339999999999</v>
      </c>
      <c r="AE40">
        <v>0.67902187981733841</v>
      </c>
      <c r="AF40" s="6">
        <v>0.22568589986582061</v>
      </c>
    </row>
    <row r="41" spans="1:32" x14ac:dyDescent="0.3">
      <c r="A41" s="7">
        <v>50</v>
      </c>
      <c r="B41" s="8" t="s">
        <v>181</v>
      </c>
      <c r="C41" s="8">
        <v>23030.39911909998</v>
      </c>
      <c r="D41" s="8">
        <v>383.83998531833299</v>
      </c>
      <c r="E41" s="8" t="s">
        <v>182</v>
      </c>
      <c r="F41" s="8"/>
      <c r="G41" s="8" t="s">
        <v>34</v>
      </c>
      <c r="H41" s="8" t="s">
        <v>183</v>
      </c>
      <c r="I41" s="8"/>
      <c r="J41" s="8" t="s">
        <v>36</v>
      </c>
      <c r="K41" s="8">
        <v>2.795408067721538E-2</v>
      </c>
      <c r="L41" s="8">
        <v>0</v>
      </c>
      <c r="M41" s="8">
        <v>2.795408067721538E-2</v>
      </c>
      <c r="N41" s="8" t="s">
        <v>17</v>
      </c>
      <c r="O41" s="8">
        <v>1080</v>
      </c>
      <c r="P41" s="12">
        <v>2.8808391582529199E-5</v>
      </c>
      <c r="Q41" s="8">
        <v>1E-4</v>
      </c>
      <c r="R41" s="8">
        <v>2000</v>
      </c>
      <c r="S41" s="8">
        <v>0.18926287318219631</v>
      </c>
      <c r="T41" s="8">
        <v>2.1183458303736882</v>
      </c>
      <c r="U41" s="8">
        <v>0.7208950141080489</v>
      </c>
      <c r="V41" s="8">
        <v>9.6469999999999993E-3</v>
      </c>
      <c r="W41" s="8">
        <v>8.5518540000000005</v>
      </c>
      <c r="X41" s="8">
        <v>7.1656500000000003</v>
      </c>
      <c r="Y41" s="8">
        <v>44.150669999999998</v>
      </c>
      <c r="Z41" s="8">
        <v>42.528283999999999</v>
      </c>
      <c r="AA41" s="8">
        <v>1E-4</v>
      </c>
      <c r="AB41" s="8">
        <v>4.8733462729098376</v>
      </c>
      <c r="AC41" s="8">
        <v>9.9971870927159774</v>
      </c>
      <c r="AD41" s="8">
        <v>1.6426339999999999</v>
      </c>
      <c r="AE41" s="8">
        <v>0.54004090963627938</v>
      </c>
      <c r="AF41" s="9">
        <v>0.2783457776910146</v>
      </c>
    </row>
    <row r="42" spans="1:32" x14ac:dyDescent="0.3">
      <c r="A42">
        <f>COUNT(A2:A41)</f>
        <v>40</v>
      </c>
    </row>
    <row r="43" spans="1:32" x14ac:dyDescent="0.3">
      <c r="S43">
        <f>AVERAGE(S2:S41)</f>
        <v>0.22821780840322409</v>
      </c>
      <c r="T43">
        <f>AVERAGE(T2:T41)</f>
        <v>2.3111312719864059</v>
      </c>
      <c r="U43">
        <f>AVERAGE(U2:U41)</f>
        <v>2.3880566338571776</v>
      </c>
      <c r="AB43">
        <f>AVERAGE(AB2:AB41)</f>
        <v>3.3352169599797579</v>
      </c>
      <c r="AC43">
        <f>AVERAGE(AC2:AC41)</f>
        <v>7.712301970589861</v>
      </c>
      <c r="AE43">
        <f>AVERAGE(AE2:AE41)</f>
        <v>0.43942694575257102</v>
      </c>
      <c r="AF43">
        <f>AVERAGE(AF2:AF41)</f>
        <v>0.42410880552777314</v>
      </c>
    </row>
    <row r="44" spans="1:32" x14ac:dyDescent="0.3">
      <c r="S44">
        <f>STDEVA(S2:S41)</f>
        <v>0.16617253011288777</v>
      </c>
      <c r="T44">
        <f>STDEVA(T2:T41)</f>
        <v>1.2148098789678754</v>
      </c>
      <c r="U44">
        <f>STDEVA(U2:U41)</f>
        <v>1.7311115062457603</v>
      </c>
      <c r="AB44">
        <f>STDEVA(AB2:AB41)</f>
        <v>1.5636674404485253</v>
      </c>
      <c r="AC44">
        <f>STDEVA(AC2:AC41)</f>
        <v>2.2520117569730007</v>
      </c>
      <c r="AE44">
        <f>STDEVA(AE2:AE41)</f>
        <v>0.14789200004563671</v>
      </c>
      <c r="AF44">
        <f>STDEVA(AF2:AF41)</f>
        <v>0.17968050287734363</v>
      </c>
    </row>
    <row r="45" spans="1:32" x14ac:dyDescent="0.3">
      <c r="S45">
        <f>MEDIAN(S2:S41)</f>
        <v>0.1750231950633131</v>
      </c>
      <c r="T45">
        <f t="shared" ref="T45:AF45" si="0">MEDIAN(T2:T41)</f>
        <v>1.9276469444109474</v>
      </c>
      <c r="U45">
        <f t="shared" si="0"/>
        <v>1.7603678298796619</v>
      </c>
      <c r="AB45">
        <f t="shared" si="0"/>
        <v>3.0071041855271838</v>
      </c>
      <c r="AC45">
        <f t="shared" si="0"/>
        <v>7.7506971306891286</v>
      </c>
      <c r="AE45">
        <f t="shared" si="0"/>
        <v>0.44387574264104257</v>
      </c>
      <c r="AF45">
        <f t="shared" si="0"/>
        <v>0.44154960174681418</v>
      </c>
    </row>
  </sheetData>
  <conditionalFormatting sqref="M2:M41">
    <cfRule type="top10" dxfId="26" priority="1" percent="1" rank="15"/>
  </conditionalFormatting>
  <conditionalFormatting sqref="P2:P41">
    <cfRule type="cellIs" dxfId="25" priority="9" operator="greaterThan">
      <formula>0.0001</formula>
    </cfRule>
  </conditionalFormatting>
  <conditionalFormatting sqref="S2:S41">
    <cfRule type="top10" dxfId="24" priority="159" percent="1" rank="10"/>
  </conditionalFormatting>
  <conditionalFormatting sqref="T2:T41">
    <cfRule type="top10" dxfId="23" priority="161" percent="1" rank="10"/>
  </conditionalFormatting>
  <conditionalFormatting sqref="U2:U41">
    <cfRule type="top10" dxfId="22" priority="163" percent="1" rank="10"/>
  </conditionalFormatting>
  <conditionalFormatting sqref="AB2:AB41">
    <cfRule type="top10" dxfId="21" priority="165" percent="1" rank="10"/>
  </conditionalFormatting>
  <conditionalFormatting sqref="AC2:AC41">
    <cfRule type="top10" dxfId="20" priority="171" percent="1" bottom="1" rank="10"/>
  </conditionalFormatting>
  <conditionalFormatting sqref="AE2:AE41">
    <cfRule type="top10" dxfId="19" priority="167" percent="1" rank="10"/>
  </conditionalFormatting>
  <conditionalFormatting sqref="AF2:AF41">
    <cfRule type="top10" dxfId="18" priority="169" percent="1" rank="10"/>
  </conditionalFormatting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6E70-13F8-4C71-8CB0-B23F63F768E6}">
  <dimension ref="A1:AM40"/>
  <sheetViews>
    <sheetView topLeftCell="X1" zoomScale="120" zoomScaleNormal="120" workbookViewId="0">
      <selection activeCell="AI19" sqref="AI19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6640625" bestFit="1" customWidth="1"/>
    <col min="5" max="5" width="11.77734375" bestFit="1" customWidth="1"/>
    <col min="7" max="7" width="12.88671875" bestFit="1" customWidth="1"/>
    <col min="8" max="10" width="0" hidden="1" customWidth="1"/>
    <col min="11" max="11" width="12" bestFit="1" customWidth="1"/>
    <col min="12" max="12" width="15.109375" bestFit="1" customWidth="1"/>
    <col min="13" max="13" width="12" bestFit="1" customWidth="1"/>
    <col min="14" max="14" width="11.33203125" bestFit="1" customWidth="1"/>
    <col min="15" max="15" width="12.77734375" bestFit="1" customWidth="1"/>
    <col min="16" max="16" width="12" bestFit="1" customWidth="1"/>
    <col min="17" max="17" width="14.33203125" bestFit="1" customWidth="1"/>
    <col min="18" max="18" width="10.77734375" customWidth="1"/>
    <col min="19" max="21" width="12" bestFit="1" customWidth="1"/>
    <col min="22" max="22" width="9" bestFit="1" customWidth="1"/>
    <col min="28" max="29" width="12" bestFit="1" customWidth="1"/>
    <col min="30" max="30" width="9" bestFit="1" customWidth="1"/>
    <col min="31" max="32" width="12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9" x14ac:dyDescent="0.3">
      <c r="A2" s="2">
        <v>1</v>
      </c>
      <c r="B2" s="3" t="s">
        <v>32</v>
      </c>
      <c r="C2" s="3">
        <v>3213.295919199998</v>
      </c>
      <c r="D2" s="3">
        <v>53.554931986666631</v>
      </c>
      <c r="E2" s="3" t="s">
        <v>33</v>
      </c>
      <c r="F2" s="3"/>
      <c r="G2" s="3" t="s">
        <v>34</v>
      </c>
      <c r="H2" s="3" t="s">
        <v>35</v>
      </c>
      <c r="I2" s="3"/>
      <c r="J2" s="3" t="s">
        <v>36</v>
      </c>
      <c r="K2" s="3">
        <v>2.4703174421693019E-2</v>
      </c>
      <c r="L2" s="3">
        <v>0</v>
      </c>
      <c r="M2" s="3">
        <v>2.4703174421693019E-2</v>
      </c>
      <c r="N2" s="3" t="s">
        <v>17</v>
      </c>
      <c r="O2" s="3">
        <v>212</v>
      </c>
      <c r="P2" s="10">
        <v>9.7654493694516878E-5</v>
      </c>
      <c r="Q2" s="3">
        <v>1E-4</v>
      </c>
      <c r="R2" s="3">
        <v>2000</v>
      </c>
      <c r="S2" s="3">
        <v>0.49122929896424561</v>
      </c>
      <c r="T2" s="3">
        <v>1.5270804877388759</v>
      </c>
      <c r="U2" s="3">
        <v>1.9259065797858199</v>
      </c>
      <c r="V2" s="3">
        <v>9.6469999999999993E-3</v>
      </c>
      <c r="W2" s="3">
        <v>8.5518540000000005</v>
      </c>
      <c r="X2" s="3">
        <v>7.1656500000000003</v>
      </c>
      <c r="Y2" s="3">
        <v>44.150669999999998</v>
      </c>
      <c r="Z2" s="3">
        <v>42.528283999999999</v>
      </c>
      <c r="AA2" s="3">
        <v>1E-4</v>
      </c>
      <c r="AB2" s="3">
        <v>3.3107923860306911</v>
      </c>
      <c r="AC2" s="3">
        <v>6.1597599245610413</v>
      </c>
      <c r="AD2" s="3">
        <v>1.6426339999999999</v>
      </c>
      <c r="AE2" s="3">
        <v>0.31022465459519422</v>
      </c>
      <c r="AF2" s="4">
        <v>0.54665308919257394</v>
      </c>
      <c r="AK2" t="s">
        <v>217</v>
      </c>
    </row>
    <row r="3" spans="1:39" x14ac:dyDescent="0.3">
      <c r="A3" s="5">
        <v>2</v>
      </c>
      <c r="B3" t="s">
        <v>37</v>
      </c>
      <c r="C3">
        <v>2627.882927300001</v>
      </c>
      <c r="D3">
        <v>43.798048788333347</v>
      </c>
      <c r="E3" t="s">
        <v>38</v>
      </c>
      <c r="G3" t="s">
        <v>34</v>
      </c>
      <c r="H3" t="s">
        <v>39</v>
      </c>
      <c r="J3" t="s">
        <v>36</v>
      </c>
      <c r="K3">
        <v>1.9260742925086699E-2</v>
      </c>
      <c r="L3">
        <v>0</v>
      </c>
      <c r="M3">
        <v>1.9260742925086699E-2</v>
      </c>
      <c r="N3" t="s">
        <v>17</v>
      </c>
      <c r="O3">
        <v>236</v>
      </c>
      <c r="P3" s="11">
        <v>8.0279052905500031E-5</v>
      </c>
      <c r="Q3">
        <v>1E-4</v>
      </c>
      <c r="R3">
        <v>2000</v>
      </c>
      <c r="S3">
        <v>9.5340553177132401E-2</v>
      </c>
      <c r="T3">
        <v>4.850514939296346</v>
      </c>
      <c r="U3">
        <v>1.723227134060048</v>
      </c>
      <c r="V3">
        <v>9.6469999999999993E-3</v>
      </c>
      <c r="W3">
        <v>8.5518540000000005</v>
      </c>
      <c r="X3">
        <v>7.1656500000000003</v>
      </c>
      <c r="Y3">
        <v>44.150669999999998</v>
      </c>
      <c r="Z3">
        <v>42.528283999999999</v>
      </c>
      <c r="AA3">
        <v>1E-4</v>
      </c>
      <c r="AB3">
        <v>2.416260149187003</v>
      </c>
      <c r="AC3">
        <v>9.9913447457622464</v>
      </c>
      <c r="AD3">
        <v>1.6426339999999999</v>
      </c>
      <c r="AE3">
        <v>0.58073847105624532</v>
      </c>
      <c r="AF3" s="6">
        <v>0.30876599033911339</v>
      </c>
      <c r="AH3" s="96" t="s">
        <v>18</v>
      </c>
      <c r="AI3" s="95">
        <f>AK3-2*S39</f>
        <v>-6.046776640072285E-2</v>
      </c>
      <c r="AJ3" s="95">
        <f>AK3-S39</f>
        <v>4.6394632489680773E-2</v>
      </c>
      <c r="AK3" s="95">
        <f>S40</f>
        <v>0.1532570313800844</v>
      </c>
      <c r="AL3" s="95">
        <f>AK3+S39</f>
        <v>0.26011943027048801</v>
      </c>
      <c r="AM3" s="95">
        <f>AK3+2*S39</f>
        <v>0.36698182916089161</v>
      </c>
    </row>
    <row r="4" spans="1:39" x14ac:dyDescent="0.3">
      <c r="A4" s="5">
        <v>4</v>
      </c>
      <c r="B4" t="s">
        <v>43</v>
      </c>
      <c r="C4">
        <v>7318.5311609999917</v>
      </c>
      <c r="D4">
        <v>121.9755193499999</v>
      </c>
      <c r="E4" t="s">
        <v>44</v>
      </c>
      <c r="G4" t="s">
        <v>34</v>
      </c>
      <c r="H4" t="s">
        <v>45</v>
      </c>
      <c r="J4" t="s">
        <v>36</v>
      </c>
      <c r="K4">
        <v>1.9154109697566511E-2</v>
      </c>
      <c r="L4">
        <v>0</v>
      </c>
      <c r="M4">
        <v>1.9154109697566511E-2</v>
      </c>
      <c r="N4" t="s">
        <v>17</v>
      </c>
      <c r="O4">
        <v>170</v>
      </c>
      <c r="P4" s="11">
        <v>9.9770959924361978E-5</v>
      </c>
      <c r="Q4">
        <v>1E-4</v>
      </c>
      <c r="R4">
        <v>2000</v>
      </c>
      <c r="S4" s="28">
        <v>0.23867230327866931</v>
      </c>
      <c r="T4" s="28">
        <v>1.4789405335040691</v>
      </c>
      <c r="U4" s="28">
        <v>1.137318705859411</v>
      </c>
      <c r="V4" s="28">
        <v>9.6469999999999993E-3</v>
      </c>
      <c r="W4" s="28">
        <v>8.5518540000000005</v>
      </c>
      <c r="X4" s="28">
        <v>7.1656500000000003</v>
      </c>
      <c r="Y4" s="28">
        <v>44.150669999999998</v>
      </c>
      <c r="Z4" s="28">
        <v>42.528283999999999</v>
      </c>
      <c r="AA4" s="28">
        <v>1E-4</v>
      </c>
      <c r="AB4" s="28">
        <v>4.7487233770171322</v>
      </c>
      <c r="AC4" s="28">
        <v>5.5804137605699884</v>
      </c>
      <c r="AD4" s="28">
        <v>1.6426339999999999</v>
      </c>
      <c r="AE4" s="28">
        <v>0.35821627237548298</v>
      </c>
      <c r="AF4" s="29">
        <v>0.60828105216998085</v>
      </c>
      <c r="AH4" s="96" t="s">
        <v>19</v>
      </c>
      <c r="AI4" s="95">
        <f>AK4-2*T39</f>
        <v>-0.53877328881210973</v>
      </c>
      <c r="AJ4" s="95">
        <f>AK4-T39</f>
        <v>0.66334319880860715</v>
      </c>
      <c r="AK4" s="95">
        <f>T40</f>
        <v>1.865459686429324</v>
      </c>
      <c r="AL4" s="95">
        <f>AK4+T39</f>
        <v>3.0675761740500409</v>
      </c>
      <c r="AM4" s="95">
        <f>AK4+2*T39</f>
        <v>4.2696926616707582</v>
      </c>
    </row>
    <row r="5" spans="1:39" x14ac:dyDescent="0.3">
      <c r="A5" s="5">
        <v>5</v>
      </c>
      <c r="B5" t="s">
        <v>46</v>
      </c>
      <c r="C5">
        <v>7374.550728000002</v>
      </c>
      <c r="D5">
        <v>122.90917880000001</v>
      </c>
      <c r="E5" t="s">
        <v>47</v>
      </c>
      <c r="G5" t="s">
        <v>34</v>
      </c>
      <c r="H5" t="s">
        <v>48</v>
      </c>
      <c r="J5" t="s">
        <v>36</v>
      </c>
      <c r="K5">
        <v>3.4835567092652363E-2</v>
      </c>
      <c r="L5">
        <v>0</v>
      </c>
      <c r="M5">
        <v>3.4835567092652363E-2</v>
      </c>
      <c r="N5" t="s">
        <v>17</v>
      </c>
      <c r="O5">
        <v>820</v>
      </c>
      <c r="P5" s="11">
        <v>8.9495828330964918E-5</v>
      </c>
      <c r="Q5">
        <v>1E-4</v>
      </c>
      <c r="R5">
        <v>2000</v>
      </c>
      <c r="S5" s="30">
        <v>0.2215474581717817</v>
      </c>
      <c r="T5" s="28">
        <v>1.7632632704774971</v>
      </c>
      <c r="U5" s="28">
        <v>3.8822158056424811</v>
      </c>
      <c r="V5" s="28">
        <v>9.6469999999999993E-3</v>
      </c>
      <c r="W5" s="28">
        <v>8.5518540000000005</v>
      </c>
      <c r="X5" s="28">
        <v>7.1656500000000003</v>
      </c>
      <c r="Y5" s="28">
        <v>44.150669999999998</v>
      </c>
      <c r="Z5" s="28">
        <v>42.528283999999999</v>
      </c>
      <c r="AA5" s="28">
        <v>1E-4</v>
      </c>
      <c r="AB5" s="28">
        <v>2.5366740295826569</v>
      </c>
      <c r="AC5" s="28">
        <v>7.0276789570579181</v>
      </c>
      <c r="AD5" s="28">
        <v>1.6426339999999999</v>
      </c>
      <c r="AE5" s="28">
        <v>0.58980414277809312</v>
      </c>
      <c r="AF5" s="29">
        <v>0.29932090289880298</v>
      </c>
      <c r="AH5" s="96" t="s">
        <v>20</v>
      </c>
      <c r="AI5" s="95">
        <f>AK5-2*U39</f>
        <v>-1.3438856864603903</v>
      </c>
      <c r="AJ5" s="95">
        <f>AK5-U39</f>
        <v>0.15333478244019938</v>
      </c>
      <c r="AK5" s="95">
        <f>U40</f>
        <v>1.6505552513407891</v>
      </c>
      <c r="AL5" s="95">
        <f>AK5+U39</f>
        <v>3.1477757202413787</v>
      </c>
      <c r="AM5" s="95">
        <f>AK5+2*U39</f>
        <v>4.6449961891419687</v>
      </c>
    </row>
    <row r="6" spans="1:39" x14ac:dyDescent="0.3">
      <c r="A6" s="5">
        <v>6</v>
      </c>
      <c r="B6" t="s">
        <v>49</v>
      </c>
      <c r="C6">
        <v>5694.3620688000228</v>
      </c>
      <c r="D6">
        <v>94.906034480000386</v>
      </c>
      <c r="E6" t="s">
        <v>50</v>
      </c>
      <c r="G6" t="s">
        <v>34</v>
      </c>
      <c r="H6" t="s">
        <v>51</v>
      </c>
      <c r="J6" t="s">
        <v>36</v>
      </c>
      <c r="K6">
        <v>1.2291011892049669E-2</v>
      </c>
      <c r="L6">
        <v>0</v>
      </c>
      <c r="M6">
        <v>1.2291011892049669E-2</v>
      </c>
      <c r="N6" t="s">
        <v>17</v>
      </c>
      <c r="O6">
        <v>378</v>
      </c>
      <c r="P6" s="11">
        <v>9.7765343569708419E-5</v>
      </c>
      <c r="Q6">
        <v>1E-4</v>
      </c>
      <c r="R6">
        <v>2000</v>
      </c>
      <c r="S6" s="30">
        <v>7.1046409533329261E-2</v>
      </c>
      <c r="T6" s="28">
        <v>3.3738439668184652</v>
      </c>
      <c r="U6" s="28">
        <v>2.3322033875726329</v>
      </c>
      <c r="V6" s="28">
        <v>9.6469999999999993E-3</v>
      </c>
      <c r="W6" s="28">
        <v>8.5518540000000005</v>
      </c>
      <c r="X6" s="28">
        <v>7.1656500000000003</v>
      </c>
      <c r="Y6" s="28">
        <v>44.150669999999998</v>
      </c>
      <c r="Z6" s="28">
        <v>42.528283999999999</v>
      </c>
      <c r="AA6" s="28">
        <v>1E-4</v>
      </c>
      <c r="AB6" s="28">
        <v>2.1760985567100839</v>
      </c>
      <c r="AC6" s="28">
        <v>7.3611499471052522</v>
      </c>
      <c r="AD6" s="28">
        <v>1.6426339999999999</v>
      </c>
      <c r="AE6" s="28">
        <v>0.42272115248163261</v>
      </c>
      <c r="AF6" s="29">
        <v>0.41214687694987062</v>
      </c>
      <c r="AH6" s="96" t="s">
        <v>27</v>
      </c>
      <c r="AI6" s="95">
        <f>AK6-2*AB39</f>
        <v>0.15098342677823773</v>
      </c>
      <c r="AJ6" s="95">
        <f>AK6-AB39</f>
        <v>1.6662162609773044</v>
      </c>
      <c r="AK6" s="95">
        <f>AB40</f>
        <v>3.181449095176371</v>
      </c>
      <c r="AL6" s="95">
        <f>AK6+AB39</f>
        <v>4.6966819293754378</v>
      </c>
      <c r="AM6" s="95">
        <f>AK6+2*AB39</f>
        <v>6.2119147635745042</v>
      </c>
    </row>
    <row r="7" spans="1:39" x14ac:dyDescent="0.3">
      <c r="A7" s="5">
        <v>7</v>
      </c>
      <c r="B7" t="s">
        <v>52</v>
      </c>
      <c r="C7">
        <v>15231.7497136</v>
      </c>
      <c r="D7">
        <v>253.86249522666671</v>
      </c>
      <c r="E7" t="s">
        <v>53</v>
      </c>
      <c r="G7" t="s">
        <v>34</v>
      </c>
      <c r="H7" t="s">
        <v>54</v>
      </c>
      <c r="J7" t="s">
        <v>36</v>
      </c>
      <c r="K7">
        <v>1.057828657334144E-2</v>
      </c>
      <c r="L7">
        <v>0</v>
      </c>
      <c r="M7">
        <v>1.057828657334144E-2</v>
      </c>
      <c r="N7" t="s">
        <v>17</v>
      </c>
      <c r="O7">
        <v>2001</v>
      </c>
      <c r="P7" s="11">
        <v>8.4329416212390856E-4</v>
      </c>
      <c r="Q7">
        <v>1E-4</v>
      </c>
      <c r="R7">
        <v>2000</v>
      </c>
      <c r="S7" s="13">
        <v>0.1297696297226717</v>
      </c>
      <c r="T7">
        <v>1.100316472242042</v>
      </c>
      <c r="U7">
        <v>3.2764644886323269</v>
      </c>
      <c r="V7">
        <v>9.6469999999999993E-3</v>
      </c>
      <c r="W7">
        <v>8.5518540000000005</v>
      </c>
      <c r="X7">
        <v>7.1656500000000003</v>
      </c>
      <c r="Y7">
        <v>44.150669999999998</v>
      </c>
      <c r="Z7">
        <v>42.528283999999999</v>
      </c>
      <c r="AA7">
        <v>1E-4</v>
      </c>
      <c r="AB7">
        <v>2.1972924445174771</v>
      </c>
      <c r="AC7">
        <v>5.6254618072746307</v>
      </c>
      <c r="AD7">
        <v>1.6426339999999999</v>
      </c>
      <c r="AE7">
        <v>0.22361832346956681</v>
      </c>
      <c r="AF7" s="6">
        <v>0.72267916407755917</v>
      </c>
      <c r="AH7" s="96" t="s">
        <v>28</v>
      </c>
      <c r="AI7" s="95">
        <f>AK7-2*AC39</f>
        <v>4.2377420624026101</v>
      </c>
      <c r="AJ7" s="95">
        <f>AK7-AC39</f>
        <v>6.2366298080447766</v>
      </c>
      <c r="AK7" s="95">
        <f>AC40</f>
        <v>8.2355175536869432</v>
      </c>
      <c r="AL7" s="95">
        <f>AK7+AC39</f>
        <v>10.23440529932911</v>
      </c>
      <c r="AM7" s="95">
        <f>AK7+2*AC39</f>
        <v>12.233293044971276</v>
      </c>
    </row>
    <row r="8" spans="1:39" x14ac:dyDescent="0.3">
      <c r="A8" s="5">
        <v>9</v>
      </c>
      <c r="B8" t="s">
        <v>58</v>
      </c>
      <c r="C8">
        <v>2026.802363299998</v>
      </c>
      <c r="D8">
        <v>33.780039388333293</v>
      </c>
      <c r="E8" t="s">
        <v>59</v>
      </c>
      <c r="G8" t="s">
        <v>34</v>
      </c>
      <c r="H8" t="s">
        <v>60</v>
      </c>
      <c r="J8" t="s">
        <v>36</v>
      </c>
      <c r="K8">
        <v>2.0507348618881031E-2</v>
      </c>
      <c r="L8">
        <v>0</v>
      </c>
      <c r="M8">
        <v>2.0507348618881031E-2</v>
      </c>
      <c r="N8" t="s">
        <v>17</v>
      </c>
      <c r="O8">
        <v>301</v>
      </c>
      <c r="P8" s="11">
        <v>9.8301866082106659E-5</v>
      </c>
      <c r="Q8">
        <v>1E-4</v>
      </c>
      <c r="R8">
        <v>2000</v>
      </c>
      <c r="S8" s="30">
        <v>0.2312320810462489</v>
      </c>
      <c r="T8" s="28">
        <v>1.718642886072322</v>
      </c>
      <c r="U8" s="28">
        <v>2.997279945587831</v>
      </c>
      <c r="V8" s="28">
        <v>9.6469999999999993E-3</v>
      </c>
      <c r="W8" s="28">
        <v>8.5518540000000005</v>
      </c>
      <c r="X8" s="28">
        <v>7.1656500000000003</v>
      </c>
      <c r="Y8" s="28">
        <v>44.150669999999998</v>
      </c>
      <c r="Z8" s="28">
        <v>42.528283999999999</v>
      </c>
      <c r="AA8" s="28">
        <v>1E-4</v>
      </c>
      <c r="AB8" s="28">
        <v>2.3541994629890439</v>
      </c>
      <c r="AC8" s="28">
        <v>8.2355175536869432</v>
      </c>
      <c r="AD8" s="28">
        <v>1.6426339999999999</v>
      </c>
      <c r="AE8" s="28">
        <v>0.33402337444756869</v>
      </c>
      <c r="AF8" s="29">
        <v>0.52953327715501552</v>
      </c>
      <c r="AH8" s="96" t="s">
        <v>30</v>
      </c>
      <c r="AI8" s="95">
        <f>AK8-2*AE39</f>
        <v>0.15666333940791305</v>
      </c>
      <c r="AJ8" s="95">
        <f>AK8-AE39</f>
        <v>0.30541974263756894</v>
      </c>
      <c r="AK8" s="95">
        <f>AE40</f>
        <v>0.45417614586722482</v>
      </c>
      <c r="AL8" s="95">
        <f>AK8+AE39</f>
        <v>0.60293254909688065</v>
      </c>
      <c r="AM8" s="95">
        <f>AK8+2*AE39</f>
        <v>0.75168895232653665</v>
      </c>
    </row>
    <row r="9" spans="1:39" x14ac:dyDescent="0.3">
      <c r="A9" s="5">
        <v>11</v>
      </c>
      <c r="B9" t="s">
        <v>64</v>
      </c>
      <c r="C9">
        <v>5786.3767086000007</v>
      </c>
      <c r="D9">
        <v>96.439611810000017</v>
      </c>
      <c r="E9" t="s">
        <v>65</v>
      </c>
      <c r="G9" t="s">
        <v>34</v>
      </c>
      <c r="H9" t="s">
        <v>66</v>
      </c>
      <c r="J9" t="s">
        <v>36</v>
      </c>
      <c r="K9">
        <v>2.4991082200323301E-2</v>
      </c>
      <c r="L9">
        <v>0</v>
      </c>
      <c r="M9">
        <v>2.4991082200323301E-2</v>
      </c>
      <c r="N9" t="s">
        <v>17</v>
      </c>
      <c r="O9">
        <v>283</v>
      </c>
      <c r="P9" s="11">
        <v>9.8613290712376561E-5</v>
      </c>
      <c r="Q9">
        <v>1E-4</v>
      </c>
      <c r="R9">
        <v>2000</v>
      </c>
      <c r="S9" s="30">
        <v>0.35445682383815608</v>
      </c>
      <c r="T9" s="28">
        <v>2.895646996567776</v>
      </c>
      <c r="U9" s="28">
        <v>2.4417178876658232</v>
      </c>
      <c r="V9" s="28">
        <v>9.6469999999999993E-3</v>
      </c>
      <c r="W9" s="28">
        <v>8.5518540000000005</v>
      </c>
      <c r="X9" s="28">
        <v>7.1656500000000003</v>
      </c>
      <c r="Y9" s="28">
        <v>44.150669999999998</v>
      </c>
      <c r="Z9" s="28">
        <v>42.528283999999999</v>
      </c>
      <c r="AA9" s="28">
        <v>1E-4</v>
      </c>
      <c r="AB9" s="28">
        <v>2.0720119469016951</v>
      </c>
      <c r="AC9" s="28">
        <v>8.140244314273005</v>
      </c>
      <c r="AD9" s="28">
        <v>1.6426339999999999</v>
      </c>
      <c r="AE9" s="28">
        <v>0.43603437708916032</v>
      </c>
      <c r="AF9" s="29">
        <v>0.4738792844859725</v>
      </c>
      <c r="AH9" s="96" t="s">
        <v>31</v>
      </c>
      <c r="AI9" s="95">
        <f>AK9-2*AF39</f>
        <v>5.9448528975276249E-2</v>
      </c>
      <c r="AJ9" s="95">
        <f>AK9-AF39</f>
        <v>0.23579770296257344</v>
      </c>
      <c r="AK9" s="95">
        <f>AF40</f>
        <v>0.41214687694987062</v>
      </c>
      <c r="AL9" s="95">
        <f>AK9+AF39</f>
        <v>0.58849605093716784</v>
      </c>
      <c r="AM9" s="95">
        <f>AK9+2*AF39</f>
        <v>0.76484522492446505</v>
      </c>
    </row>
    <row r="10" spans="1:39" x14ac:dyDescent="0.3">
      <c r="A10" s="5">
        <v>12</v>
      </c>
      <c r="B10" t="s">
        <v>67</v>
      </c>
      <c r="C10">
        <v>28266.52760229999</v>
      </c>
      <c r="D10">
        <v>471.10879337166648</v>
      </c>
      <c r="E10" t="s">
        <v>68</v>
      </c>
      <c r="G10" t="s">
        <v>34</v>
      </c>
      <c r="H10" t="s">
        <v>69</v>
      </c>
      <c r="J10" t="s">
        <v>36</v>
      </c>
      <c r="K10">
        <v>2.3834521668663389E-2</v>
      </c>
      <c r="L10">
        <v>0</v>
      </c>
      <c r="M10">
        <v>2.3834521668663389E-2</v>
      </c>
      <c r="N10" t="s">
        <v>17</v>
      </c>
      <c r="O10">
        <v>2001</v>
      </c>
      <c r="P10" s="11">
        <v>3.0236792461020489E-3</v>
      </c>
      <c r="Q10">
        <v>1E-4</v>
      </c>
      <c r="R10">
        <v>2000</v>
      </c>
      <c r="S10" s="30">
        <v>0.1937974998036483</v>
      </c>
      <c r="T10" s="28">
        <v>1.305003992855698</v>
      </c>
      <c r="U10" s="28">
        <v>2.162669253941381</v>
      </c>
      <c r="V10" s="28">
        <v>9.6469999999999993E-3</v>
      </c>
      <c r="W10" s="28">
        <v>8.5518540000000005</v>
      </c>
      <c r="X10" s="28">
        <v>7.1656500000000003</v>
      </c>
      <c r="Y10" s="28">
        <v>44.150669999999998</v>
      </c>
      <c r="Z10" s="28">
        <v>42.528283999999999</v>
      </c>
      <c r="AA10" s="28">
        <v>1E-4</v>
      </c>
      <c r="AB10" s="28">
        <v>3.5333794506754348</v>
      </c>
      <c r="AC10" s="28">
        <v>9.9584996242521857</v>
      </c>
      <c r="AD10" s="28">
        <v>1.6426339999999999</v>
      </c>
      <c r="AE10" s="28">
        <v>0.27490580520813779</v>
      </c>
      <c r="AF10" s="29">
        <v>0.59371405082027096</v>
      </c>
    </row>
    <row r="11" spans="1:39" x14ac:dyDescent="0.3">
      <c r="A11" s="5">
        <v>13</v>
      </c>
      <c r="B11" t="s">
        <v>70</v>
      </c>
      <c r="C11">
        <v>5024.0627505999873</v>
      </c>
      <c r="D11">
        <v>83.734379176666451</v>
      </c>
      <c r="E11" t="s">
        <v>71</v>
      </c>
      <c r="G11" t="s">
        <v>34</v>
      </c>
      <c r="H11" t="s">
        <v>72</v>
      </c>
      <c r="J11" t="s">
        <v>36</v>
      </c>
      <c r="K11">
        <v>4.075483124784126E-2</v>
      </c>
      <c r="L11">
        <v>0</v>
      </c>
      <c r="M11">
        <v>4.075483124784126E-2</v>
      </c>
      <c r="N11" t="s">
        <v>17</v>
      </c>
      <c r="O11">
        <v>163</v>
      </c>
      <c r="P11" s="11">
        <v>9.4957242368113107E-5</v>
      </c>
      <c r="Q11">
        <v>1E-4</v>
      </c>
      <c r="R11">
        <v>2000</v>
      </c>
      <c r="S11" s="13">
        <v>0.47507925889546099</v>
      </c>
      <c r="T11">
        <v>1.7942830917244461</v>
      </c>
      <c r="U11">
        <v>1.536080827207515</v>
      </c>
      <c r="V11">
        <v>9.6469999999999993E-3</v>
      </c>
      <c r="W11">
        <v>8.5518540000000005</v>
      </c>
      <c r="X11">
        <v>7.1656500000000003</v>
      </c>
      <c r="Y11">
        <v>44.150669999999998</v>
      </c>
      <c r="Z11">
        <v>42.528283999999999</v>
      </c>
      <c r="AA11">
        <v>1E-4</v>
      </c>
      <c r="AB11">
        <v>3.0630033486266108</v>
      </c>
      <c r="AC11">
        <v>9.8713319233272756</v>
      </c>
      <c r="AD11">
        <v>1.6426339999999999</v>
      </c>
      <c r="AE11">
        <v>0.45417614586722482</v>
      </c>
      <c r="AF11" s="6">
        <v>0.37020863228583628</v>
      </c>
    </row>
    <row r="12" spans="1:39" x14ac:dyDescent="0.3">
      <c r="A12" s="5">
        <v>14</v>
      </c>
      <c r="B12" t="s">
        <v>73</v>
      </c>
      <c r="C12">
        <v>5644.6686482999939</v>
      </c>
      <c r="D12">
        <v>94.077810804999899</v>
      </c>
      <c r="E12" t="s">
        <v>74</v>
      </c>
      <c r="G12" t="s">
        <v>34</v>
      </c>
      <c r="H12" t="s">
        <v>75</v>
      </c>
      <c r="J12" t="s">
        <v>36</v>
      </c>
      <c r="K12">
        <v>2.3393480287682549E-2</v>
      </c>
      <c r="L12">
        <v>0</v>
      </c>
      <c r="M12">
        <v>2.3393480287682549E-2</v>
      </c>
      <c r="N12" t="s">
        <v>17</v>
      </c>
      <c r="O12">
        <v>593</v>
      </c>
      <c r="P12" s="11">
        <v>9.994242130357086E-5</v>
      </c>
      <c r="Q12">
        <v>1E-4</v>
      </c>
      <c r="R12">
        <v>2000</v>
      </c>
      <c r="S12" s="28">
        <v>0.1400943037433009</v>
      </c>
      <c r="T12" s="28">
        <v>2.5765714714097321</v>
      </c>
      <c r="U12" s="28">
        <v>2.8573243947471481</v>
      </c>
      <c r="V12" s="28">
        <v>9.6469999999999993E-3</v>
      </c>
      <c r="W12" s="28">
        <v>8.5518540000000005</v>
      </c>
      <c r="X12" s="28">
        <v>7.1656500000000003</v>
      </c>
      <c r="Y12" s="28">
        <v>44.150669999999998</v>
      </c>
      <c r="Z12" s="28">
        <v>42.528283999999999</v>
      </c>
      <c r="AA12" s="28">
        <v>1E-4</v>
      </c>
      <c r="AB12" s="28">
        <v>1.945967410891327</v>
      </c>
      <c r="AC12" s="28">
        <v>9.9831868103195394</v>
      </c>
      <c r="AD12" s="28">
        <v>1.6426339999999999</v>
      </c>
      <c r="AE12" s="28">
        <v>0.34218172241272238</v>
      </c>
      <c r="AF12" s="29">
        <v>0.51117062692806203</v>
      </c>
    </row>
    <row r="13" spans="1:39" x14ac:dyDescent="0.3">
      <c r="A13" s="5">
        <v>16</v>
      </c>
      <c r="B13" t="s">
        <v>79</v>
      </c>
      <c r="C13">
        <v>18658.914202199991</v>
      </c>
      <c r="D13">
        <v>310.98190336999983</v>
      </c>
      <c r="E13" t="s">
        <v>80</v>
      </c>
      <c r="G13" t="s">
        <v>34</v>
      </c>
      <c r="H13" t="s">
        <v>81</v>
      </c>
      <c r="J13" t="s">
        <v>36</v>
      </c>
      <c r="K13">
        <v>1.8639392445070579E-2</v>
      </c>
      <c r="L13">
        <v>0</v>
      </c>
      <c r="M13">
        <v>1.8639392445070579E-2</v>
      </c>
      <c r="N13" t="s">
        <v>17</v>
      </c>
      <c r="O13">
        <v>2001</v>
      </c>
      <c r="P13" s="11">
        <v>2.5010509107454318E-4</v>
      </c>
      <c r="Q13">
        <v>1E-4</v>
      </c>
      <c r="R13">
        <v>2000</v>
      </c>
      <c r="S13">
        <v>0.1070697432326719</v>
      </c>
      <c r="T13">
        <v>0.84108690838249922</v>
      </c>
      <c r="U13">
        <v>1.3930663481851771</v>
      </c>
      <c r="V13">
        <v>9.6469999999999993E-3</v>
      </c>
      <c r="W13">
        <v>8.5518540000000005</v>
      </c>
      <c r="X13">
        <v>7.1656500000000003</v>
      </c>
      <c r="Y13">
        <v>44.150669999999998</v>
      </c>
      <c r="Z13">
        <v>42.528283999999999</v>
      </c>
      <c r="AA13">
        <v>1E-4</v>
      </c>
      <c r="AB13">
        <v>7.0794181127694831</v>
      </c>
      <c r="AC13">
        <v>5.1024858503608908</v>
      </c>
      <c r="AD13">
        <v>1.6426339999999999</v>
      </c>
      <c r="AE13">
        <v>0.68414137490005245</v>
      </c>
      <c r="AF13" s="6">
        <v>0.22135648461899099</v>
      </c>
    </row>
    <row r="14" spans="1:39" x14ac:dyDescent="0.3">
      <c r="A14" s="5">
        <v>17</v>
      </c>
      <c r="B14" t="s">
        <v>82</v>
      </c>
      <c r="C14">
        <v>21111.6125092</v>
      </c>
      <c r="D14">
        <v>351.86020848666669</v>
      </c>
      <c r="E14" t="s">
        <v>83</v>
      </c>
      <c r="G14" t="s">
        <v>34</v>
      </c>
      <c r="H14" t="s">
        <v>84</v>
      </c>
      <c r="J14" t="s">
        <v>36</v>
      </c>
      <c r="K14">
        <v>1.9031896178424979E-2</v>
      </c>
      <c r="L14">
        <v>0</v>
      </c>
      <c r="M14">
        <v>1.9031896178424979E-2</v>
      </c>
      <c r="N14" t="s">
        <v>17</v>
      </c>
      <c r="O14">
        <v>2001</v>
      </c>
      <c r="P14" s="11">
        <v>1.604056233756677E-4</v>
      </c>
      <c r="Q14">
        <v>1E-4</v>
      </c>
      <c r="R14">
        <v>2000</v>
      </c>
      <c r="S14">
        <v>0.13943642659037339</v>
      </c>
      <c r="T14">
        <v>1.4375904770707839</v>
      </c>
      <c r="U14">
        <v>1.17514855524946</v>
      </c>
      <c r="V14">
        <v>9.6469999999999993E-3</v>
      </c>
      <c r="W14">
        <v>8.5518540000000005</v>
      </c>
      <c r="X14">
        <v>7.1656500000000003</v>
      </c>
      <c r="Y14">
        <v>44.150669999999998</v>
      </c>
      <c r="Z14">
        <v>42.528283999999999</v>
      </c>
      <c r="AA14">
        <v>1E-4</v>
      </c>
      <c r="AB14">
        <v>6.527551914797427</v>
      </c>
      <c r="AC14">
        <v>6.2341027278068388</v>
      </c>
      <c r="AD14">
        <v>1.6426339999999999</v>
      </c>
      <c r="AE14">
        <v>0.32014943742462582</v>
      </c>
      <c r="AF14" s="6">
        <v>0.54753100362087015</v>
      </c>
    </row>
    <row r="15" spans="1:39" x14ac:dyDescent="0.3">
      <c r="A15" s="5">
        <v>18</v>
      </c>
      <c r="B15" t="s">
        <v>85</v>
      </c>
      <c r="C15">
        <v>20588.614749</v>
      </c>
      <c r="D15">
        <v>343.14357914999999</v>
      </c>
      <c r="E15" t="s">
        <v>86</v>
      </c>
      <c r="G15" t="s">
        <v>34</v>
      </c>
      <c r="H15" t="s">
        <v>87</v>
      </c>
      <c r="J15" t="s">
        <v>36</v>
      </c>
      <c r="K15">
        <v>2.4723539734177399E-2</v>
      </c>
      <c r="L15">
        <v>0</v>
      </c>
      <c r="M15">
        <v>2.4723539734177399E-2</v>
      </c>
      <c r="N15" t="s">
        <v>17</v>
      </c>
      <c r="O15">
        <v>901</v>
      </c>
      <c r="P15" s="11">
        <v>9.5859297039156189E-5</v>
      </c>
      <c r="Q15">
        <v>1E-4</v>
      </c>
      <c r="R15">
        <v>2000</v>
      </c>
      <c r="S15" s="28">
        <v>0.1957220287925758</v>
      </c>
      <c r="T15" s="28">
        <v>1.8413149759623919</v>
      </c>
      <c r="U15" s="28">
        <v>1.142151867830226</v>
      </c>
      <c r="V15" s="28">
        <v>9.6469999999999993E-3</v>
      </c>
      <c r="W15" s="28">
        <v>8.5518540000000005</v>
      </c>
      <c r="X15" s="28">
        <v>7.1656500000000003</v>
      </c>
      <c r="Y15" s="28">
        <v>44.150669999999998</v>
      </c>
      <c r="Z15" s="28">
        <v>42.528283999999999</v>
      </c>
      <c r="AA15" s="28">
        <v>1E-4</v>
      </c>
      <c r="AB15" s="28">
        <v>4.357026494323847</v>
      </c>
      <c r="AC15" s="28">
        <v>9.5224248843655364</v>
      </c>
      <c r="AD15" s="28">
        <v>1.6426339999999999</v>
      </c>
      <c r="AE15" s="28">
        <v>0.50051089460210196</v>
      </c>
      <c r="AF15" s="29">
        <v>0.33005485774102938</v>
      </c>
    </row>
    <row r="16" spans="1:39" x14ac:dyDescent="0.3">
      <c r="A16" s="5">
        <v>19</v>
      </c>
      <c r="B16" t="s">
        <v>88</v>
      </c>
      <c r="C16">
        <v>4922.2885048000026</v>
      </c>
      <c r="D16">
        <v>82.03814174666671</v>
      </c>
      <c r="E16" t="s">
        <v>89</v>
      </c>
      <c r="G16" t="s">
        <v>34</v>
      </c>
      <c r="H16" t="s">
        <v>90</v>
      </c>
      <c r="J16" t="s">
        <v>36</v>
      </c>
      <c r="K16">
        <v>2.1089386883793221E-2</v>
      </c>
      <c r="L16">
        <v>0</v>
      </c>
      <c r="M16">
        <v>2.1089386883793221E-2</v>
      </c>
      <c r="N16" t="s">
        <v>17</v>
      </c>
      <c r="O16">
        <v>602</v>
      </c>
      <c r="P16" s="11">
        <v>9.8179584203664892E-5</v>
      </c>
      <c r="Q16">
        <v>1E-4</v>
      </c>
      <c r="R16">
        <v>2000</v>
      </c>
      <c r="S16" s="28">
        <v>0.2443548171277711</v>
      </c>
      <c r="T16" s="28">
        <v>1.688151118707405</v>
      </c>
      <c r="U16" s="28">
        <v>1.1020683670286131</v>
      </c>
      <c r="V16" s="28">
        <v>9.6469999999999993E-3</v>
      </c>
      <c r="W16" s="28">
        <v>8.5518540000000005</v>
      </c>
      <c r="X16" s="28">
        <v>7.1656500000000003</v>
      </c>
      <c r="Y16" s="28">
        <v>44.150669999999998</v>
      </c>
      <c r="Z16" s="28">
        <v>42.528283999999999</v>
      </c>
      <c r="AA16" s="28">
        <v>1E-4</v>
      </c>
      <c r="AB16" s="28">
        <v>5.0732425293949914</v>
      </c>
      <c r="AC16" s="28">
        <v>9.4576715142226693</v>
      </c>
      <c r="AD16" s="28">
        <v>1.6426339999999999</v>
      </c>
      <c r="AE16" s="28">
        <v>0.5665117530365259</v>
      </c>
      <c r="AF16" s="29">
        <v>0.26939164592091119</v>
      </c>
    </row>
    <row r="17" spans="1:32" x14ac:dyDescent="0.3">
      <c r="A17" s="5">
        <v>21</v>
      </c>
      <c r="B17" t="s">
        <v>94</v>
      </c>
      <c r="C17">
        <v>13623.75451269999</v>
      </c>
      <c r="D17">
        <v>227.06257521166651</v>
      </c>
      <c r="E17" t="s">
        <v>95</v>
      </c>
      <c r="G17" t="s">
        <v>34</v>
      </c>
      <c r="H17" t="s">
        <v>96</v>
      </c>
      <c r="J17" t="s">
        <v>36</v>
      </c>
      <c r="K17">
        <v>1.74094920806762E-2</v>
      </c>
      <c r="L17">
        <v>0</v>
      </c>
      <c r="M17">
        <v>1.74094920806762E-2</v>
      </c>
      <c r="N17" t="s">
        <v>17</v>
      </c>
      <c r="O17">
        <v>1048</v>
      </c>
      <c r="P17" s="11">
        <v>8.9820340367870069E-5</v>
      </c>
      <c r="Q17">
        <v>1E-4</v>
      </c>
      <c r="R17">
        <v>2000</v>
      </c>
      <c r="S17" s="28">
        <v>0.18432378096980079</v>
      </c>
      <c r="T17" s="28">
        <v>2.4149638557808002</v>
      </c>
      <c r="U17" s="28">
        <v>1.3649814811210901</v>
      </c>
      <c r="V17" s="28">
        <v>9.6469999999999993E-3</v>
      </c>
      <c r="W17" s="28">
        <v>8.5518540000000005</v>
      </c>
      <c r="X17" s="28">
        <v>7.1656500000000003</v>
      </c>
      <c r="Y17" s="28">
        <v>44.150669999999998</v>
      </c>
      <c r="Z17" s="28">
        <v>42.528283999999999</v>
      </c>
      <c r="AA17" s="28">
        <v>1E-4</v>
      </c>
      <c r="AB17" s="28">
        <v>3.4242520685076201</v>
      </c>
      <c r="AC17" s="28">
        <v>9.9997745736004902</v>
      </c>
      <c r="AD17" s="28">
        <v>1.6426339999999999</v>
      </c>
      <c r="AE17" s="28">
        <v>0.45171710819292482</v>
      </c>
      <c r="AF17" s="29">
        <v>0.46110374288754669</v>
      </c>
    </row>
    <row r="18" spans="1:32" x14ac:dyDescent="0.3">
      <c r="A18" s="5">
        <v>24</v>
      </c>
      <c r="B18" t="s">
        <v>103</v>
      </c>
      <c r="C18">
        <v>4185.7595682000101</v>
      </c>
      <c r="D18">
        <v>69.762659470000173</v>
      </c>
      <c r="E18" t="s">
        <v>104</v>
      </c>
      <c r="G18" t="s">
        <v>34</v>
      </c>
      <c r="H18" t="s">
        <v>105</v>
      </c>
      <c r="J18" t="s">
        <v>36</v>
      </c>
      <c r="K18">
        <v>1.7061836719004322E-2</v>
      </c>
      <c r="L18">
        <v>0</v>
      </c>
      <c r="M18">
        <v>1.7061836719004322E-2</v>
      </c>
      <c r="N18" t="s">
        <v>17</v>
      </c>
      <c r="O18">
        <v>240</v>
      </c>
      <c r="P18" s="11">
        <v>9.7299965244742958E-5</v>
      </c>
      <c r="Q18">
        <v>1E-4</v>
      </c>
      <c r="R18">
        <v>2000</v>
      </c>
      <c r="S18" s="28">
        <v>0.132546262650129</v>
      </c>
      <c r="T18" s="28">
        <v>3.893671184911172</v>
      </c>
      <c r="U18" s="28">
        <v>0.67255490702205023</v>
      </c>
      <c r="V18" s="28">
        <v>9.6469999999999993E-3</v>
      </c>
      <c r="W18" s="28">
        <v>8.5518540000000005</v>
      </c>
      <c r="X18" s="28">
        <v>7.1656500000000003</v>
      </c>
      <c r="Y18" s="28">
        <v>44.150669999999998</v>
      </c>
      <c r="Z18" s="28">
        <v>42.528283999999999</v>
      </c>
      <c r="AA18" s="28">
        <v>1E-4</v>
      </c>
      <c r="AB18" s="28">
        <v>3.921038778767866</v>
      </c>
      <c r="AC18" s="28">
        <v>9.991795607270566</v>
      </c>
      <c r="AD18" s="28">
        <v>1.6426339999999999</v>
      </c>
      <c r="AE18" s="28">
        <v>0.57030410431709933</v>
      </c>
      <c r="AF18" s="29">
        <v>0.27539095119876622</v>
      </c>
    </row>
    <row r="19" spans="1:32" x14ac:dyDescent="0.3">
      <c r="A19" s="5">
        <v>25</v>
      </c>
      <c r="B19" t="s">
        <v>106</v>
      </c>
      <c r="C19">
        <v>4901.0364973999967</v>
      </c>
      <c r="D19">
        <v>81.683941623333283</v>
      </c>
      <c r="E19" t="s">
        <v>107</v>
      </c>
      <c r="G19" t="s">
        <v>34</v>
      </c>
      <c r="H19" t="s">
        <v>108</v>
      </c>
      <c r="J19" t="s">
        <v>36</v>
      </c>
      <c r="K19">
        <v>3.2865191206284922E-2</v>
      </c>
      <c r="L19">
        <v>0</v>
      </c>
      <c r="M19">
        <v>3.2865191206284922E-2</v>
      </c>
      <c r="N19" t="s">
        <v>17</v>
      </c>
      <c r="O19">
        <v>832</v>
      </c>
      <c r="P19" s="11">
        <v>9.7801619461440078E-5</v>
      </c>
      <c r="Q19">
        <v>1E-4</v>
      </c>
      <c r="R19">
        <v>2000</v>
      </c>
      <c r="S19" s="28">
        <v>0.19413816212667731</v>
      </c>
      <c r="T19" s="28">
        <v>3.844084630584347</v>
      </c>
      <c r="U19" s="28">
        <v>1.2368361308460261</v>
      </c>
      <c r="V19" s="28">
        <v>9.6469999999999993E-3</v>
      </c>
      <c r="W19" s="28">
        <v>8.5518540000000005</v>
      </c>
      <c r="X19" s="28">
        <v>7.1656500000000003</v>
      </c>
      <c r="Y19" s="28">
        <v>44.150669999999998</v>
      </c>
      <c r="Z19" s="28">
        <v>42.528283999999999</v>
      </c>
      <c r="AA19" s="28">
        <v>1E-4</v>
      </c>
      <c r="AB19" s="28">
        <v>2.4274124306484648</v>
      </c>
      <c r="AC19" s="28">
        <v>9.9601620773877109</v>
      </c>
      <c r="AD19" s="28">
        <v>1.6426339999999999</v>
      </c>
      <c r="AE19" s="28">
        <v>0.59968154212108837</v>
      </c>
      <c r="AF19" s="29">
        <v>0.19259834076794369</v>
      </c>
    </row>
    <row r="20" spans="1:32" x14ac:dyDescent="0.3">
      <c r="A20" s="5">
        <v>26</v>
      </c>
      <c r="B20" t="s">
        <v>109</v>
      </c>
      <c r="C20">
        <v>2074.2730203999959</v>
      </c>
      <c r="D20">
        <v>34.571217006666608</v>
      </c>
      <c r="E20" t="s">
        <v>110</v>
      </c>
      <c r="G20" t="s">
        <v>34</v>
      </c>
      <c r="H20" t="s">
        <v>111</v>
      </c>
      <c r="J20" t="s">
        <v>36</v>
      </c>
      <c r="K20">
        <v>2.158008175818216E-2</v>
      </c>
      <c r="L20">
        <v>0</v>
      </c>
      <c r="M20">
        <v>2.158008175818216E-2</v>
      </c>
      <c r="N20" t="s">
        <v>17</v>
      </c>
      <c r="O20">
        <v>277</v>
      </c>
      <c r="P20" s="11">
        <v>9.9942092145659375E-5</v>
      </c>
      <c r="Q20">
        <v>1E-4</v>
      </c>
      <c r="R20">
        <v>2000</v>
      </c>
      <c r="S20">
        <v>0.37858929172535749</v>
      </c>
      <c r="T20">
        <v>2.614446601797082</v>
      </c>
      <c r="U20">
        <v>7.184449109992201</v>
      </c>
      <c r="V20">
        <v>9.6469999999999993E-3</v>
      </c>
      <c r="W20">
        <v>8.5518540000000005</v>
      </c>
      <c r="X20">
        <v>7.1656500000000003</v>
      </c>
      <c r="Y20">
        <v>44.150669999999998</v>
      </c>
      <c r="Z20">
        <v>42.528283999999999</v>
      </c>
      <c r="AA20">
        <v>1E-4</v>
      </c>
      <c r="AB20">
        <v>1.212010681004307</v>
      </c>
      <c r="AC20">
        <v>9.9930494297369474</v>
      </c>
      <c r="AD20">
        <v>1.6426339999999999</v>
      </c>
      <c r="AE20">
        <v>0.34845443192353331</v>
      </c>
      <c r="AF20" s="6">
        <v>0.53600703040912212</v>
      </c>
    </row>
    <row r="21" spans="1:32" x14ac:dyDescent="0.3">
      <c r="A21" s="5">
        <v>27</v>
      </c>
      <c r="B21" t="s">
        <v>112</v>
      </c>
      <c r="C21">
        <v>4781.5120207</v>
      </c>
      <c r="D21">
        <v>79.691867011666673</v>
      </c>
      <c r="E21" t="s">
        <v>113</v>
      </c>
      <c r="G21" t="s">
        <v>34</v>
      </c>
      <c r="H21" t="s">
        <v>114</v>
      </c>
      <c r="J21" t="s">
        <v>36</v>
      </c>
      <c r="K21">
        <v>3.5409677587260928E-2</v>
      </c>
      <c r="L21">
        <v>0</v>
      </c>
      <c r="M21">
        <v>3.5409677587260928E-2</v>
      </c>
      <c r="N21" t="s">
        <v>17</v>
      </c>
      <c r="O21">
        <v>695</v>
      </c>
      <c r="P21" s="11">
        <v>8.8803930078873696E-5</v>
      </c>
      <c r="Q21">
        <v>1E-4</v>
      </c>
      <c r="R21">
        <v>2000</v>
      </c>
      <c r="S21" s="28">
        <v>0.17552491149223229</v>
      </c>
      <c r="T21" s="28">
        <v>4.1577551963834054</v>
      </c>
      <c r="U21" s="28">
        <v>1.4753880067750491</v>
      </c>
      <c r="V21" s="28">
        <v>9.6469999999999993E-3</v>
      </c>
      <c r="W21" s="28">
        <v>8.5518540000000005</v>
      </c>
      <c r="X21" s="28">
        <v>7.1656500000000003</v>
      </c>
      <c r="Y21" s="28">
        <v>44.150669999999998</v>
      </c>
      <c r="Z21" s="28">
        <v>42.528283999999999</v>
      </c>
      <c r="AA21" s="28">
        <v>1E-4</v>
      </c>
      <c r="AB21" s="28">
        <v>2.0675212452253708</v>
      </c>
      <c r="AC21" s="28">
        <v>9.9962269957496606</v>
      </c>
      <c r="AD21" s="28">
        <v>1.6426339999999999</v>
      </c>
      <c r="AE21" s="28">
        <v>0.56432866694182982</v>
      </c>
      <c r="AF21" s="29">
        <v>0.2082087045653517</v>
      </c>
    </row>
    <row r="22" spans="1:32" x14ac:dyDescent="0.3">
      <c r="A22" s="5">
        <v>28</v>
      </c>
      <c r="B22" t="s">
        <v>115</v>
      </c>
      <c r="C22">
        <v>2133.3174923000038</v>
      </c>
      <c r="D22">
        <v>35.555291538333407</v>
      </c>
      <c r="E22" t="s">
        <v>116</v>
      </c>
      <c r="G22" t="s">
        <v>34</v>
      </c>
      <c r="H22" t="s">
        <v>117</v>
      </c>
      <c r="J22" t="s">
        <v>36</v>
      </c>
      <c r="K22">
        <v>1.10161903996707E-2</v>
      </c>
      <c r="L22">
        <v>0</v>
      </c>
      <c r="M22">
        <v>1.10161903996707E-2</v>
      </c>
      <c r="N22" t="s">
        <v>17</v>
      </c>
      <c r="O22">
        <v>255</v>
      </c>
      <c r="P22" s="11">
        <v>9.990303220302308E-5</v>
      </c>
      <c r="Q22">
        <v>1E-4</v>
      </c>
      <c r="R22">
        <v>2000</v>
      </c>
      <c r="S22">
        <v>0.1386956396634994</v>
      </c>
      <c r="T22">
        <v>0.35096545121603412</v>
      </c>
      <c r="U22">
        <v>5.6300792481507358</v>
      </c>
      <c r="V22">
        <v>9.6469999999999993E-3</v>
      </c>
      <c r="W22">
        <v>8.5518540000000005</v>
      </c>
      <c r="X22">
        <v>7.1656500000000003</v>
      </c>
      <c r="Y22">
        <v>44.150669999999998</v>
      </c>
      <c r="Z22">
        <v>42.528283999999999</v>
      </c>
      <c r="AA22">
        <v>1E-4</v>
      </c>
      <c r="AB22">
        <v>2.48489320225287</v>
      </c>
      <c r="AC22">
        <v>4.4853468547857913</v>
      </c>
      <c r="AD22">
        <v>1.6426339999999999</v>
      </c>
      <c r="AE22">
        <v>0.13702884973579349</v>
      </c>
      <c r="AF22" s="6">
        <v>0.61565639978424436</v>
      </c>
    </row>
    <row r="23" spans="1:32" x14ac:dyDescent="0.3">
      <c r="A23" s="5">
        <v>29</v>
      </c>
      <c r="B23" t="s">
        <v>118</v>
      </c>
      <c r="C23">
        <v>1720.9336680999841</v>
      </c>
      <c r="D23">
        <v>28.6822278016664</v>
      </c>
      <c r="E23" t="s">
        <v>119</v>
      </c>
      <c r="G23" t="s">
        <v>34</v>
      </c>
      <c r="H23" t="s">
        <v>120</v>
      </c>
      <c r="J23" t="s">
        <v>36</v>
      </c>
      <c r="K23">
        <v>1.528760483283453E-2</v>
      </c>
      <c r="L23">
        <v>0</v>
      </c>
      <c r="M23">
        <v>1.528760483283453E-2</v>
      </c>
      <c r="N23" t="s">
        <v>17</v>
      </c>
      <c r="O23">
        <v>334</v>
      </c>
      <c r="P23" s="11">
        <v>9.3982948527025596E-5</v>
      </c>
      <c r="Q23">
        <v>1E-4</v>
      </c>
      <c r="R23">
        <v>2000</v>
      </c>
      <c r="S23">
        <v>5.2075001580897208E-2</v>
      </c>
      <c r="T23">
        <v>1.8137100794334391</v>
      </c>
      <c r="U23">
        <v>1.5666984959853949</v>
      </c>
      <c r="V23">
        <v>9.6469999999999993E-3</v>
      </c>
      <c r="W23">
        <v>8.5518540000000005</v>
      </c>
      <c r="X23">
        <v>7.1656500000000003</v>
      </c>
      <c r="Y23">
        <v>44.150669999999998</v>
      </c>
      <c r="Z23">
        <v>42.528283999999999</v>
      </c>
      <c r="AA23">
        <v>1E-4</v>
      </c>
      <c r="AB23">
        <v>5.8649617967851384</v>
      </c>
      <c r="AC23">
        <v>4.2056147599870002</v>
      </c>
      <c r="AD23">
        <v>1.6426339999999999</v>
      </c>
      <c r="AE23">
        <v>0.1991690382268973</v>
      </c>
      <c r="AF23" s="6">
        <v>0.79546710150877675</v>
      </c>
    </row>
    <row r="24" spans="1:32" x14ac:dyDescent="0.3">
      <c r="A24" s="5">
        <v>31</v>
      </c>
      <c r="B24" t="s">
        <v>124</v>
      </c>
      <c r="C24">
        <v>1135.8948174999971</v>
      </c>
      <c r="D24">
        <v>18.931580291666609</v>
      </c>
      <c r="E24" t="s">
        <v>125</v>
      </c>
      <c r="G24" t="s">
        <v>34</v>
      </c>
      <c r="H24" t="s">
        <v>126</v>
      </c>
      <c r="J24" t="s">
        <v>36</v>
      </c>
      <c r="K24">
        <v>1.2418892553136759E-2</v>
      </c>
      <c r="L24">
        <v>0</v>
      </c>
      <c r="M24">
        <v>1.2418892553136759E-2</v>
      </c>
      <c r="N24" t="s">
        <v>17</v>
      </c>
      <c r="O24">
        <v>173</v>
      </c>
      <c r="P24" s="11">
        <v>9.9952482821797579E-5</v>
      </c>
      <c r="Q24">
        <v>1E-4</v>
      </c>
      <c r="R24">
        <v>2000</v>
      </c>
      <c r="S24">
        <v>9.5131472790338165E-2</v>
      </c>
      <c r="T24">
        <v>1.3514976724639101</v>
      </c>
      <c r="U24">
        <v>1.378767963387493</v>
      </c>
      <c r="V24">
        <v>9.6469999999999993E-3</v>
      </c>
      <c r="W24">
        <v>8.5518540000000005</v>
      </c>
      <c r="X24">
        <v>7.1656500000000003</v>
      </c>
      <c r="Y24">
        <v>44.150669999999998</v>
      </c>
      <c r="Z24">
        <v>42.528283999999999</v>
      </c>
      <c r="AA24">
        <v>1E-4</v>
      </c>
      <c r="AB24">
        <v>5.7046777604247936</v>
      </c>
      <c r="AC24">
        <v>6.9959496868252078</v>
      </c>
      <c r="AD24">
        <v>1.6426339999999999</v>
      </c>
      <c r="AE24">
        <v>0.27282498101157071</v>
      </c>
      <c r="AF24" s="6">
        <v>0.70647905065370864</v>
      </c>
    </row>
    <row r="25" spans="1:32" x14ac:dyDescent="0.3">
      <c r="A25" s="5">
        <v>32</v>
      </c>
      <c r="B25" t="s">
        <v>127</v>
      </c>
      <c r="C25">
        <v>9774.8308117999986</v>
      </c>
      <c r="D25">
        <v>162.9138468633333</v>
      </c>
      <c r="E25" t="s">
        <v>128</v>
      </c>
      <c r="G25" t="s">
        <v>34</v>
      </c>
      <c r="H25" t="s">
        <v>129</v>
      </c>
      <c r="J25" t="s">
        <v>36</v>
      </c>
      <c r="K25">
        <v>3.5474141892733478E-2</v>
      </c>
      <c r="L25">
        <v>0</v>
      </c>
      <c r="M25">
        <v>3.5474141892733478E-2</v>
      </c>
      <c r="N25" t="s">
        <v>17</v>
      </c>
      <c r="O25">
        <v>576</v>
      </c>
      <c r="P25" s="11">
        <v>9.7171459345381795E-5</v>
      </c>
      <c r="Q25">
        <v>1E-4</v>
      </c>
      <c r="R25">
        <v>2000</v>
      </c>
      <c r="S25" s="28">
        <v>0.32234151004415629</v>
      </c>
      <c r="T25" s="28">
        <v>1.9991316186647099</v>
      </c>
      <c r="U25" s="28">
        <v>1.4055667221445689</v>
      </c>
      <c r="V25" s="28">
        <v>9.6469999999999993E-3</v>
      </c>
      <c r="W25" s="28">
        <v>8.5518540000000005</v>
      </c>
      <c r="X25" s="28">
        <v>7.1656500000000003</v>
      </c>
      <c r="Y25" s="28">
        <v>44.150669999999998</v>
      </c>
      <c r="Z25" s="28">
        <v>42.528283999999999</v>
      </c>
      <c r="AA25" s="28">
        <v>1E-4</v>
      </c>
      <c r="AB25" s="28">
        <v>3.566065080144825</v>
      </c>
      <c r="AC25" s="28">
        <v>6.1644202880710797</v>
      </c>
      <c r="AD25" s="28">
        <v>1.6426339999999999</v>
      </c>
      <c r="AE25" s="28">
        <v>0.49660288496814692</v>
      </c>
      <c r="AF25" s="29">
        <v>0.3550808755615506</v>
      </c>
    </row>
    <row r="26" spans="1:32" x14ac:dyDescent="0.3">
      <c r="A26" s="5">
        <v>35</v>
      </c>
      <c r="B26" t="s">
        <v>136</v>
      </c>
      <c r="C26">
        <v>1066.8020373000179</v>
      </c>
      <c r="D26">
        <v>17.780033955000299</v>
      </c>
      <c r="E26" t="s">
        <v>137</v>
      </c>
      <c r="G26" t="s">
        <v>34</v>
      </c>
      <c r="H26" t="s">
        <v>138</v>
      </c>
      <c r="J26" t="s">
        <v>36</v>
      </c>
      <c r="K26">
        <v>2.0386779345943549E-2</v>
      </c>
      <c r="L26">
        <v>0</v>
      </c>
      <c r="M26">
        <v>2.0386779345943549E-2</v>
      </c>
      <c r="N26" t="s">
        <v>17</v>
      </c>
      <c r="O26">
        <v>238</v>
      </c>
      <c r="P26" s="11">
        <v>9.7799410588132412E-5</v>
      </c>
      <c r="Q26">
        <v>1E-4</v>
      </c>
      <c r="R26">
        <v>2000</v>
      </c>
      <c r="S26" s="28">
        <v>0.1146204907562238</v>
      </c>
      <c r="T26" s="28">
        <v>1.2822339503207389</v>
      </c>
      <c r="U26" s="28">
        <v>3.3997732462060068</v>
      </c>
      <c r="V26" s="28">
        <v>9.6469999999999993E-3</v>
      </c>
      <c r="W26" s="28">
        <v>8.5518540000000005</v>
      </c>
      <c r="X26" s="28">
        <v>7.1656500000000003</v>
      </c>
      <c r="Y26" s="28">
        <v>44.150669999999998</v>
      </c>
      <c r="Z26" s="28">
        <v>42.528283999999999</v>
      </c>
      <c r="AA26" s="28">
        <v>1E-4</v>
      </c>
      <c r="AB26" s="28">
        <v>2.1198737333854409</v>
      </c>
      <c r="AC26" s="28">
        <v>5.6678882673044573</v>
      </c>
      <c r="AD26" s="28">
        <v>1.6426339999999999</v>
      </c>
      <c r="AE26" s="28">
        <v>0.28948593086548219</v>
      </c>
      <c r="AF26" s="29">
        <v>0.50893350559284523</v>
      </c>
    </row>
    <row r="27" spans="1:32" x14ac:dyDescent="0.3">
      <c r="A27" s="5">
        <v>37</v>
      </c>
      <c r="B27" t="s">
        <v>142</v>
      </c>
      <c r="C27">
        <v>2741.5197531999729</v>
      </c>
      <c r="D27">
        <v>45.691995886666213</v>
      </c>
      <c r="E27" t="s">
        <v>143</v>
      </c>
      <c r="G27" t="s">
        <v>34</v>
      </c>
      <c r="H27" t="s">
        <v>144</v>
      </c>
      <c r="J27" t="s">
        <v>36</v>
      </c>
      <c r="K27">
        <v>3.6462153739501069E-2</v>
      </c>
      <c r="L27">
        <v>0</v>
      </c>
      <c r="M27">
        <v>3.6462153739501069E-2</v>
      </c>
      <c r="N27" t="s">
        <v>17</v>
      </c>
      <c r="O27">
        <v>473</v>
      </c>
      <c r="P27" s="11">
        <v>8.4768421213510278E-5</v>
      </c>
      <c r="Q27">
        <v>1E-4</v>
      </c>
      <c r="R27">
        <v>2000</v>
      </c>
      <c r="S27">
        <v>0.1004392902415865</v>
      </c>
      <c r="T27">
        <v>4.3800332930190624</v>
      </c>
      <c r="U27">
        <v>0.63567516180043038</v>
      </c>
      <c r="V27">
        <v>9.6469999999999993E-3</v>
      </c>
      <c r="W27">
        <v>8.5518540000000005</v>
      </c>
      <c r="X27">
        <v>7.1656500000000003</v>
      </c>
      <c r="Y27">
        <v>44.150669999999998</v>
      </c>
      <c r="Z27">
        <v>42.528283999999999</v>
      </c>
      <c r="AA27">
        <v>1E-4</v>
      </c>
      <c r="AB27">
        <v>2.9512050224277568</v>
      </c>
      <c r="AC27">
        <v>9.9091926377554085</v>
      </c>
      <c r="AD27">
        <v>1.6426339999999999</v>
      </c>
      <c r="AE27">
        <v>0.60218660480016539</v>
      </c>
      <c r="AF27" s="6">
        <v>0.14604862905263499</v>
      </c>
    </row>
    <row r="28" spans="1:32" x14ac:dyDescent="0.3">
      <c r="A28" s="5">
        <v>38</v>
      </c>
      <c r="B28" t="s">
        <v>145</v>
      </c>
      <c r="C28">
        <v>7975.0046935999999</v>
      </c>
      <c r="D28">
        <v>132.91674489333329</v>
      </c>
      <c r="E28" t="s">
        <v>146</v>
      </c>
      <c r="G28" t="s">
        <v>34</v>
      </c>
      <c r="H28" t="s">
        <v>147</v>
      </c>
      <c r="J28" t="s">
        <v>36</v>
      </c>
      <c r="K28">
        <v>3.260815693577121E-2</v>
      </c>
      <c r="L28">
        <v>0</v>
      </c>
      <c r="M28">
        <v>3.260815693577121E-2</v>
      </c>
      <c r="N28" t="s">
        <v>17</v>
      </c>
      <c r="O28">
        <v>384</v>
      </c>
      <c r="P28" s="11">
        <v>8.300816004010434E-5</v>
      </c>
      <c r="Q28">
        <v>1E-4</v>
      </c>
      <c r="R28">
        <v>2000</v>
      </c>
      <c r="S28" s="28">
        <v>0.17452147863439391</v>
      </c>
      <c r="T28" s="28">
        <v>2.6757654567366602</v>
      </c>
      <c r="U28" s="28">
        <v>0.81752363490333246</v>
      </c>
      <c r="V28" s="28">
        <v>9.6469999999999993E-3</v>
      </c>
      <c r="W28" s="28">
        <v>8.5518540000000005</v>
      </c>
      <c r="X28" s="28">
        <v>7.1656500000000003</v>
      </c>
      <c r="Y28" s="28">
        <v>44.150669999999998</v>
      </c>
      <c r="Z28" s="28">
        <v>42.528283999999999</v>
      </c>
      <c r="AA28" s="28">
        <v>1E-4</v>
      </c>
      <c r="AB28" s="28">
        <v>4.6126561510747308</v>
      </c>
      <c r="AC28" s="28">
        <v>9.9983768878087265</v>
      </c>
      <c r="AD28" s="28">
        <v>1.6426339999999999</v>
      </c>
      <c r="AE28" s="28">
        <v>0.59436989934675821</v>
      </c>
      <c r="AF28" s="29">
        <v>0.25578825498710922</v>
      </c>
    </row>
    <row r="29" spans="1:32" x14ac:dyDescent="0.3">
      <c r="A29" s="5">
        <v>39</v>
      </c>
      <c r="B29" t="s">
        <v>148</v>
      </c>
      <c r="C29">
        <v>2399.7903314</v>
      </c>
      <c r="D29">
        <v>39.996505523333333</v>
      </c>
      <c r="E29" t="s">
        <v>149</v>
      </c>
      <c r="G29" t="s">
        <v>34</v>
      </c>
      <c r="H29" t="s">
        <v>150</v>
      </c>
      <c r="J29" t="s">
        <v>36</v>
      </c>
      <c r="K29">
        <v>3.9624340522111133E-2</v>
      </c>
      <c r="L29">
        <v>0</v>
      </c>
      <c r="M29">
        <v>3.9624340522111133E-2</v>
      </c>
      <c r="N29" t="s">
        <v>17</v>
      </c>
      <c r="O29">
        <v>329</v>
      </c>
      <c r="P29" s="11">
        <v>6.4767194554348203E-5</v>
      </c>
      <c r="Q29">
        <v>1E-4</v>
      </c>
      <c r="R29">
        <v>2000</v>
      </c>
      <c r="S29" s="28">
        <v>0.10965967707491669</v>
      </c>
      <c r="T29" s="28">
        <v>2.955778978407098</v>
      </c>
      <c r="U29" s="28">
        <v>2.1872378522803202</v>
      </c>
      <c r="V29" s="28">
        <v>9.6469999999999993E-3</v>
      </c>
      <c r="W29" s="28">
        <v>8.5518540000000005</v>
      </c>
      <c r="X29" s="28">
        <v>7.1656500000000003</v>
      </c>
      <c r="Y29" s="28">
        <v>44.150669999999998</v>
      </c>
      <c r="Z29" s="28">
        <v>42.528283999999999</v>
      </c>
      <c r="AA29" s="28">
        <v>1E-4</v>
      </c>
      <c r="AB29" s="28">
        <v>2.655314943580394</v>
      </c>
      <c r="AC29" s="28">
        <v>9.000361131175044</v>
      </c>
      <c r="AD29" s="28">
        <v>1.6426339999999999</v>
      </c>
      <c r="AE29" s="28">
        <v>0.39369906643429131</v>
      </c>
      <c r="AF29" s="29">
        <v>0.47154905671617331</v>
      </c>
    </row>
    <row r="30" spans="1:32" x14ac:dyDescent="0.3">
      <c r="A30" s="5">
        <v>41</v>
      </c>
      <c r="B30" t="s">
        <v>154</v>
      </c>
      <c r="C30">
        <v>801.18145249999361</v>
      </c>
      <c r="D30">
        <v>13.353024208333229</v>
      </c>
      <c r="E30" t="s">
        <v>155</v>
      </c>
      <c r="G30" t="s">
        <v>34</v>
      </c>
      <c r="H30" t="s">
        <v>156</v>
      </c>
      <c r="J30" t="s">
        <v>36</v>
      </c>
      <c r="K30">
        <v>2.8191474311919811E-2</v>
      </c>
      <c r="L30">
        <v>0</v>
      </c>
      <c r="M30">
        <v>2.8191474311919811E-2</v>
      </c>
      <c r="N30" t="s">
        <v>17</v>
      </c>
      <c r="O30">
        <v>121</v>
      </c>
      <c r="P30" s="11">
        <v>9.4974927254155758E-5</v>
      </c>
      <c r="Q30">
        <v>1E-4</v>
      </c>
      <c r="R30">
        <v>2000</v>
      </c>
      <c r="S30">
        <v>0.1100526452209012</v>
      </c>
      <c r="T30">
        <v>4.4252058770277394</v>
      </c>
      <c r="U30">
        <v>0.28387301061526288</v>
      </c>
      <c r="V30">
        <v>9.6469999999999993E-3</v>
      </c>
      <c r="W30">
        <v>8.5518540000000005</v>
      </c>
      <c r="X30">
        <v>7.1656500000000003</v>
      </c>
      <c r="Y30">
        <v>44.150669999999998</v>
      </c>
      <c r="Z30">
        <v>42.528283999999999</v>
      </c>
      <c r="AA30">
        <v>1E-4</v>
      </c>
      <c r="AB30">
        <v>3.181449095176371</v>
      </c>
      <c r="AC30">
        <v>6.3954667337460576</v>
      </c>
      <c r="AD30">
        <v>1.6426339999999999</v>
      </c>
      <c r="AE30">
        <v>0.5828094220948038</v>
      </c>
      <c r="AF30" s="6">
        <v>0.1000003012946015</v>
      </c>
    </row>
    <row r="31" spans="1:32" x14ac:dyDescent="0.3">
      <c r="A31" s="5">
        <v>42</v>
      </c>
      <c r="B31" t="s">
        <v>157</v>
      </c>
      <c r="C31">
        <v>5815.0278800000087</v>
      </c>
      <c r="D31">
        <v>96.917131333333472</v>
      </c>
      <c r="E31" t="s">
        <v>158</v>
      </c>
      <c r="G31" t="s">
        <v>34</v>
      </c>
      <c r="H31" t="s">
        <v>159</v>
      </c>
      <c r="J31" t="s">
        <v>36</v>
      </c>
      <c r="K31">
        <v>1.9750574773232939E-2</v>
      </c>
      <c r="L31">
        <v>0</v>
      </c>
      <c r="M31">
        <v>1.9750574773232939E-2</v>
      </c>
      <c r="N31" t="s">
        <v>17</v>
      </c>
      <c r="O31">
        <v>598</v>
      </c>
      <c r="P31" s="11">
        <v>9.9638696878770399E-5</v>
      </c>
      <c r="Q31">
        <v>1E-4</v>
      </c>
      <c r="R31">
        <v>2000</v>
      </c>
      <c r="S31">
        <v>0.12605952622185199</v>
      </c>
      <c r="T31">
        <v>0.80898060182916187</v>
      </c>
      <c r="U31">
        <v>1.6505552513407891</v>
      </c>
      <c r="V31">
        <v>9.6469999999999993E-3</v>
      </c>
      <c r="W31">
        <v>8.5518540000000005</v>
      </c>
      <c r="X31">
        <v>7.1656500000000003</v>
      </c>
      <c r="Y31">
        <v>44.150669999999998</v>
      </c>
      <c r="Z31">
        <v>42.528283999999999</v>
      </c>
      <c r="AA31">
        <v>1E-4</v>
      </c>
      <c r="AB31">
        <v>6.3464584858163198</v>
      </c>
      <c r="AC31">
        <v>7.2077376194969194</v>
      </c>
      <c r="AD31">
        <v>1.6426339999999999</v>
      </c>
      <c r="AE31">
        <v>0.60668647705468071</v>
      </c>
      <c r="AF31" s="6">
        <v>0.25304596166561011</v>
      </c>
    </row>
    <row r="32" spans="1:32" x14ac:dyDescent="0.3">
      <c r="A32" s="5">
        <v>43</v>
      </c>
      <c r="B32" t="s">
        <v>160</v>
      </c>
      <c r="C32">
        <v>8238.3212055999902</v>
      </c>
      <c r="D32">
        <v>137.3053534266665</v>
      </c>
      <c r="E32" t="s">
        <v>161</v>
      </c>
      <c r="G32" t="s">
        <v>34</v>
      </c>
      <c r="H32" t="s">
        <v>162</v>
      </c>
      <c r="J32" t="s">
        <v>36</v>
      </c>
      <c r="K32">
        <v>1.7189471988636629E-2</v>
      </c>
      <c r="L32">
        <v>0</v>
      </c>
      <c r="M32">
        <v>1.7189471988636629E-2</v>
      </c>
      <c r="N32" t="s">
        <v>17</v>
      </c>
      <c r="O32">
        <v>841</v>
      </c>
      <c r="P32" s="11">
        <v>9.3389779026669382E-5</v>
      </c>
      <c r="Q32">
        <v>1E-4</v>
      </c>
      <c r="R32">
        <v>2000</v>
      </c>
      <c r="S32" s="28">
        <v>7.8883809403219776E-2</v>
      </c>
      <c r="T32" s="28">
        <v>1.989834202392571</v>
      </c>
      <c r="U32" s="28">
        <v>3.1129349638889261</v>
      </c>
      <c r="V32" s="28">
        <v>9.6469999999999993E-3</v>
      </c>
      <c r="W32" s="28">
        <v>8.5518540000000005</v>
      </c>
      <c r="X32" s="28">
        <v>7.1656500000000003</v>
      </c>
      <c r="Y32" s="28">
        <v>44.150669999999998</v>
      </c>
      <c r="Z32" s="28">
        <v>42.528283999999999</v>
      </c>
      <c r="AA32" s="28">
        <v>1E-4</v>
      </c>
      <c r="AB32" s="28">
        <v>2.461554532498798</v>
      </c>
      <c r="AC32" s="28">
        <v>5.9148049494740906</v>
      </c>
      <c r="AD32" s="28">
        <v>1.6426339999999999</v>
      </c>
      <c r="AE32" s="28">
        <v>0.31198441176541619</v>
      </c>
      <c r="AF32" s="29">
        <v>0.52920428717387114</v>
      </c>
    </row>
    <row r="33" spans="1:32" x14ac:dyDescent="0.3">
      <c r="A33" s="5">
        <v>46</v>
      </c>
      <c r="B33" t="s">
        <v>169</v>
      </c>
      <c r="C33">
        <v>7619.5466100000194</v>
      </c>
      <c r="D33">
        <v>126.99244350000031</v>
      </c>
      <c r="E33" t="s">
        <v>170</v>
      </c>
      <c r="G33" t="s">
        <v>34</v>
      </c>
      <c r="H33" t="s">
        <v>171</v>
      </c>
      <c r="J33" t="s">
        <v>36</v>
      </c>
      <c r="K33">
        <v>6.5581507067984292E-3</v>
      </c>
      <c r="L33">
        <v>0</v>
      </c>
      <c r="M33">
        <v>6.5581507067984292E-3</v>
      </c>
      <c r="N33" t="s">
        <v>17</v>
      </c>
      <c r="O33">
        <v>792</v>
      </c>
      <c r="P33" s="11">
        <v>9.6617142006042938E-5</v>
      </c>
      <c r="Q33">
        <v>1E-4</v>
      </c>
      <c r="R33">
        <v>2000</v>
      </c>
      <c r="S33">
        <v>0.1041206127356531</v>
      </c>
      <c r="T33">
        <v>0.69987284158389507</v>
      </c>
      <c r="U33">
        <v>5.2848496376444292</v>
      </c>
      <c r="V33">
        <v>9.6469999999999993E-3</v>
      </c>
      <c r="W33">
        <v>8.5518540000000005</v>
      </c>
      <c r="X33">
        <v>7.1656500000000003</v>
      </c>
      <c r="Y33">
        <v>44.150669999999998</v>
      </c>
      <c r="Z33">
        <v>42.528283999999999</v>
      </c>
      <c r="AA33">
        <v>1E-4</v>
      </c>
      <c r="AB33">
        <v>4.5556791886315926</v>
      </c>
      <c r="AC33">
        <v>9.5958568691340425</v>
      </c>
      <c r="AD33">
        <v>1.6426339999999999</v>
      </c>
      <c r="AE33">
        <v>0.48521752171947308</v>
      </c>
      <c r="AF33" s="6">
        <v>0.42199546060608167</v>
      </c>
    </row>
    <row r="34" spans="1:32" x14ac:dyDescent="0.3">
      <c r="A34" s="5">
        <v>47</v>
      </c>
      <c r="B34" t="s">
        <v>172</v>
      </c>
      <c r="C34">
        <v>11826.519732199989</v>
      </c>
      <c r="D34">
        <v>197.1086622033331</v>
      </c>
      <c r="E34" t="s">
        <v>173</v>
      </c>
      <c r="G34" t="s">
        <v>34</v>
      </c>
      <c r="H34" t="s">
        <v>174</v>
      </c>
      <c r="J34" t="s">
        <v>36</v>
      </c>
      <c r="K34">
        <v>1.4965088059449979E-2</v>
      </c>
      <c r="L34">
        <v>0</v>
      </c>
      <c r="M34">
        <v>1.4965088059449979E-2</v>
      </c>
      <c r="N34" t="s">
        <v>17</v>
      </c>
      <c r="O34">
        <v>1095</v>
      </c>
      <c r="P34" s="11">
        <v>5.2661424167271222E-5</v>
      </c>
      <c r="Q34">
        <v>1E-4</v>
      </c>
      <c r="R34">
        <v>2000</v>
      </c>
      <c r="S34">
        <v>0.1532570313800844</v>
      </c>
      <c r="T34">
        <v>4.2858153856020049</v>
      </c>
      <c r="U34">
        <v>2.536698845023122</v>
      </c>
      <c r="V34">
        <v>9.6469999999999993E-3</v>
      </c>
      <c r="W34">
        <v>8.5518540000000005</v>
      </c>
      <c r="X34">
        <v>7.1656500000000003</v>
      </c>
      <c r="Y34">
        <v>44.150669999999998</v>
      </c>
      <c r="Z34">
        <v>42.528283999999999</v>
      </c>
      <c r="AA34">
        <v>1E-4</v>
      </c>
      <c r="AB34">
        <v>1.7310537172207709</v>
      </c>
      <c r="AC34">
        <v>5.6974743605757574</v>
      </c>
      <c r="AD34">
        <v>1.6426339999999999</v>
      </c>
      <c r="AE34">
        <v>0.65340654941529219</v>
      </c>
      <c r="AF34" s="6">
        <v>0.22357163673787189</v>
      </c>
    </row>
    <row r="35" spans="1:32" x14ac:dyDescent="0.3">
      <c r="A35" s="5">
        <v>48</v>
      </c>
      <c r="B35" t="s">
        <v>175</v>
      </c>
      <c r="C35">
        <v>20699.013515099999</v>
      </c>
      <c r="D35">
        <v>344.98355858500003</v>
      </c>
      <c r="E35" t="s">
        <v>176</v>
      </c>
      <c r="G35" t="s">
        <v>34</v>
      </c>
      <c r="H35" t="s">
        <v>177</v>
      </c>
      <c r="J35" t="s">
        <v>36</v>
      </c>
      <c r="K35">
        <v>3.1852124648471078E-2</v>
      </c>
      <c r="L35">
        <v>0</v>
      </c>
      <c r="M35">
        <v>3.1852124648471078E-2</v>
      </c>
      <c r="N35" t="s">
        <v>17</v>
      </c>
      <c r="O35">
        <v>2001</v>
      </c>
      <c r="P35" s="11">
        <v>5.7801786159527798E-4</v>
      </c>
      <c r="Q35">
        <v>1E-4</v>
      </c>
      <c r="R35">
        <v>2000</v>
      </c>
      <c r="S35">
        <v>0.25132863463943572</v>
      </c>
      <c r="T35">
        <v>1.865459686429324</v>
      </c>
      <c r="U35">
        <v>2.1127642458299349</v>
      </c>
      <c r="V35">
        <v>9.6469999999999993E-3</v>
      </c>
      <c r="W35">
        <v>8.5518540000000005</v>
      </c>
      <c r="X35">
        <v>7.1656500000000003</v>
      </c>
      <c r="Y35">
        <v>44.150669999999998</v>
      </c>
      <c r="Z35">
        <v>42.528283999999999</v>
      </c>
      <c r="AA35">
        <v>1E-4</v>
      </c>
      <c r="AB35">
        <v>3.8341718214547158</v>
      </c>
      <c r="AC35">
        <v>9.9996869851837449</v>
      </c>
      <c r="AD35">
        <v>1.6426339999999999</v>
      </c>
      <c r="AE35">
        <v>0.67902187981733841</v>
      </c>
      <c r="AF35" s="6">
        <v>0.22568589986582061</v>
      </c>
    </row>
    <row r="36" spans="1:32" x14ac:dyDescent="0.3">
      <c r="A36" s="7">
        <v>50</v>
      </c>
      <c r="B36" s="8" t="s">
        <v>181</v>
      </c>
      <c r="C36" s="8">
        <v>23030.39911909998</v>
      </c>
      <c r="D36" s="8">
        <v>383.83998531833299</v>
      </c>
      <c r="E36" s="8" t="s">
        <v>182</v>
      </c>
      <c r="F36" s="8"/>
      <c r="G36" s="8" t="s">
        <v>34</v>
      </c>
      <c r="H36" s="8" t="s">
        <v>183</v>
      </c>
      <c r="I36" s="8"/>
      <c r="J36" s="8" t="s">
        <v>36</v>
      </c>
      <c r="K36" s="8">
        <v>2.795408067721538E-2</v>
      </c>
      <c r="L36" s="8">
        <v>0</v>
      </c>
      <c r="M36" s="8">
        <v>2.795408067721538E-2</v>
      </c>
      <c r="N36" s="8" t="s">
        <v>17</v>
      </c>
      <c r="O36" s="8">
        <v>1080</v>
      </c>
      <c r="P36" s="12">
        <v>2.8808391582529199E-5</v>
      </c>
      <c r="Q36" s="8">
        <v>1E-4</v>
      </c>
      <c r="R36" s="8">
        <v>2000</v>
      </c>
      <c r="S36" s="31">
        <v>0.18926287318219631</v>
      </c>
      <c r="T36" s="31">
        <v>2.1183458303736882</v>
      </c>
      <c r="U36" s="31">
        <v>0.7208950141080489</v>
      </c>
      <c r="V36" s="31">
        <v>9.6469999999999993E-3</v>
      </c>
      <c r="W36" s="31">
        <v>8.5518540000000005</v>
      </c>
      <c r="X36" s="31">
        <v>7.1656500000000003</v>
      </c>
      <c r="Y36" s="31">
        <v>44.150669999999998</v>
      </c>
      <c r="Z36" s="31">
        <v>42.528283999999999</v>
      </c>
      <c r="AA36" s="31">
        <v>1E-4</v>
      </c>
      <c r="AB36" s="31">
        <v>4.8733462729098376</v>
      </c>
      <c r="AC36" s="31">
        <v>9.9971870927159774</v>
      </c>
      <c r="AD36" s="31">
        <v>1.6426339999999999</v>
      </c>
      <c r="AE36" s="31">
        <v>0.54004090963627938</v>
      </c>
      <c r="AF36" s="32">
        <v>0.2783457776910146</v>
      </c>
    </row>
    <row r="37" spans="1:32" x14ac:dyDescent="0.3">
      <c r="A37">
        <f>COUNT(A2:A36)</f>
        <v>35</v>
      </c>
    </row>
    <row r="38" spans="1:32" x14ac:dyDescent="0.3">
      <c r="R38" t="s">
        <v>215</v>
      </c>
      <c r="S38">
        <f>AVERAGE(S2:S36)</f>
        <v>0.18612630681290249</v>
      </c>
      <c r="T38">
        <f>AVERAGE(T2:T36)</f>
        <v>2.2891372566796342</v>
      </c>
      <c r="U38">
        <f>AVERAGE(U2:U36)</f>
        <v>2.1640841850874608</v>
      </c>
      <c r="AB38">
        <f>AVERAGE(AB2:AB36)</f>
        <v>3.5253496463529395</v>
      </c>
      <c r="AC38">
        <f>AVERAGE(AC2:AC36)</f>
        <v>7.9836470900780192</v>
      </c>
      <c r="AE38">
        <f>AVERAGE(AE2:AE36)</f>
        <v>0.45077080520380558</v>
      </c>
      <c r="AF38">
        <f>AVERAGE(AF2:AF36)</f>
        <v>0.40870994022644297</v>
      </c>
    </row>
    <row r="39" spans="1:32" x14ac:dyDescent="0.3">
      <c r="R39" t="s">
        <v>216</v>
      </c>
      <c r="S39">
        <f>STDEVA(S2:S36)</f>
        <v>0.10686239889040362</v>
      </c>
      <c r="T39">
        <f>STDEVA(T2:T36)</f>
        <v>1.2021164876207169</v>
      </c>
      <c r="U39">
        <f>STDEVA(U2:U36)</f>
        <v>1.4972204689005897</v>
      </c>
      <c r="AB39">
        <f>STDEVA(AB2:AB36)</f>
        <v>1.5152328341990666</v>
      </c>
      <c r="AC39">
        <f>STDEVA(AC2:AC36)</f>
        <v>1.9988877456421665</v>
      </c>
      <c r="AE39">
        <f>STDEVA(AE2:AE36)</f>
        <v>0.14875640322965589</v>
      </c>
      <c r="AF39">
        <f>STDEVA(AF2:AF36)</f>
        <v>0.17634917398729719</v>
      </c>
    </row>
    <row r="40" spans="1:32" x14ac:dyDescent="0.3">
      <c r="R40" t="s">
        <v>217</v>
      </c>
      <c r="S40">
        <f>MEDIAN(S2:S36)</f>
        <v>0.1532570313800844</v>
      </c>
      <c r="T40">
        <f>MEDIAN(T2:T36)</f>
        <v>1.865459686429324</v>
      </c>
      <c r="U40">
        <f>MEDIAN(U2:U36)</f>
        <v>1.6505552513407891</v>
      </c>
      <c r="AB40">
        <f>MEDIAN(AB2:AB36)</f>
        <v>3.181449095176371</v>
      </c>
      <c r="AC40">
        <f>MEDIAN(AC2:AC36)</f>
        <v>8.2355175536869432</v>
      </c>
      <c r="AE40">
        <f>MEDIAN(AE2:AE36)</f>
        <v>0.45417614586722482</v>
      </c>
      <c r="AF40">
        <f>MEDIAN(AF2:AF36)</f>
        <v>0.41214687694987062</v>
      </c>
    </row>
  </sheetData>
  <conditionalFormatting sqref="M2:M36">
    <cfRule type="top10" dxfId="17" priority="242" percent="1" rank="15"/>
  </conditionalFormatting>
  <conditionalFormatting sqref="P2:P36">
    <cfRule type="cellIs" dxfId="16" priority="2" operator="greaterThan">
      <formula>0.0001</formula>
    </cfRule>
  </conditionalFormatting>
  <conditionalFormatting sqref="S2:S36">
    <cfRule type="top10" dxfId="15" priority="244" percent="1" rank="10"/>
  </conditionalFormatting>
  <conditionalFormatting sqref="T2:T36">
    <cfRule type="top10" dxfId="14" priority="246" percent="1" rank="10"/>
  </conditionalFormatting>
  <conditionalFormatting sqref="U2:U36">
    <cfRule type="top10" dxfId="13" priority="248" percent="1" rank="10"/>
  </conditionalFormatting>
  <conditionalFormatting sqref="AB2:AB36">
    <cfRule type="top10" dxfId="12" priority="250" percent="1" rank="10"/>
  </conditionalFormatting>
  <conditionalFormatting sqref="AC2:AC36">
    <cfRule type="top10" dxfId="11" priority="252" percent="1" bottom="1" rank="10"/>
  </conditionalFormatting>
  <conditionalFormatting sqref="AE2:AE36">
    <cfRule type="top10" dxfId="10" priority="254" percent="1" rank="10"/>
  </conditionalFormatting>
  <conditionalFormatting sqref="AF2:AF36">
    <cfRule type="top10" dxfId="9" priority="256" percent="1" rank="10"/>
  </conditionalFormatting>
  <pageMargins left="0.75" right="0.75" top="1" bottom="1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219B-14EF-4614-8314-C3E2D011D618}">
  <dimension ref="A1:Q58"/>
  <sheetViews>
    <sheetView zoomScale="80" zoomScaleNormal="80" zoomScaleSheetLayoutView="40" workbookViewId="0">
      <selection activeCell="Q14" sqref="Q14"/>
    </sheetView>
  </sheetViews>
  <sheetFormatPr baseColWidth="10" defaultRowHeight="14.4" x14ac:dyDescent="0.3"/>
  <cols>
    <col min="1" max="1" width="12.5546875" customWidth="1"/>
    <col min="2" max="2" width="12.6640625" customWidth="1"/>
  </cols>
  <sheetData>
    <row r="1" spans="1:2" x14ac:dyDescent="0.3">
      <c r="A1" t="s">
        <v>184</v>
      </c>
    </row>
    <row r="2" spans="1:2" x14ac:dyDescent="0.3">
      <c r="A2" t="s">
        <v>187</v>
      </c>
    </row>
    <row r="5" spans="1:2" x14ac:dyDescent="0.3">
      <c r="A5" t="s">
        <v>185</v>
      </c>
      <c r="B5" t="s">
        <v>186</v>
      </c>
    </row>
    <row r="6" spans="1:2" x14ac:dyDescent="0.3">
      <c r="A6">
        <v>3</v>
      </c>
      <c r="B6">
        <v>0.16933899999999999</v>
      </c>
    </row>
    <row r="7" spans="1:2" x14ac:dyDescent="0.3">
      <c r="A7">
        <v>4</v>
      </c>
      <c r="B7">
        <v>6.6794999999999993E-2</v>
      </c>
    </row>
    <row r="8" spans="1:2" x14ac:dyDescent="0.3">
      <c r="A8">
        <v>11</v>
      </c>
      <c r="B8">
        <v>9.0894000000000003E-2</v>
      </c>
    </row>
    <row r="9" spans="1:2" x14ac:dyDescent="0.3">
      <c r="A9">
        <v>14</v>
      </c>
      <c r="B9" s="21">
        <v>0.13630800000000001</v>
      </c>
    </row>
    <row r="10" spans="1:2" x14ac:dyDescent="0.3">
      <c r="B10">
        <f>SUM(B6:B9)</f>
        <v>0.46333599999999997</v>
      </c>
    </row>
    <row r="24" spans="1:17" x14ac:dyDescent="0.3">
      <c r="F24" t="s">
        <v>192</v>
      </c>
      <c r="Q24" t="s">
        <v>193</v>
      </c>
    </row>
    <row r="25" spans="1:17" ht="13.2" customHeight="1" x14ac:dyDescent="0.3"/>
    <row r="27" spans="1:17" x14ac:dyDescent="0.3">
      <c r="A27" t="s">
        <v>189</v>
      </c>
      <c r="C27" t="s">
        <v>188</v>
      </c>
    </row>
    <row r="30" spans="1:17" x14ac:dyDescent="0.3">
      <c r="A30" t="s">
        <v>185</v>
      </c>
      <c r="B30" t="s">
        <v>186</v>
      </c>
    </row>
    <row r="31" spans="1:17" x14ac:dyDescent="0.3">
      <c r="A31">
        <v>3</v>
      </c>
      <c r="B31">
        <v>0.140405</v>
      </c>
    </row>
    <row r="32" spans="1:17" x14ac:dyDescent="0.3">
      <c r="A32">
        <v>4</v>
      </c>
      <c r="B32">
        <v>4.8788999999999999E-2</v>
      </c>
    </row>
    <row r="33" spans="1:2" x14ac:dyDescent="0.3">
      <c r="A33">
        <v>11</v>
      </c>
      <c r="B33">
        <v>5.5844999999999999E-2</v>
      </c>
    </row>
    <row r="34" spans="1:2" x14ac:dyDescent="0.3">
      <c r="A34">
        <v>14</v>
      </c>
      <c r="B34" s="21">
        <v>0.10896</v>
      </c>
    </row>
    <row r="35" spans="1:2" x14ac:dyDescent="0.3">
      <c r="B35">
        <f>SUM(B31:B34)</f>
        <v>0.35399900000000001</v>
      </c>
    </row>
    <row r="50" spans="1:3" x14ac:dyDescent="0.3">
      <c r="A50" t="s">
        <v>190</v>
      </c>
      <c r="C50" t="s">
        <v>191</v>
      </c>
    </row>
    <row r="53" spans="1:3" x14ac:dyDescent="0.3">
      <c r="A53" t="s">
        <v>185</v>
      </c>
    </row>
    <row r="54" spans="1:3" x14ac:dyDescent="0.3">
      <c r="A54">
        <v>3</v>
      </c>
      <c r="B54">
        <v>0.12529100000000001</v>
      </c>
    </row>
    <row r="55" spans="1:3" x14ac:dyDescent="0.3">
      <c r="A55">
        <v>4</v>
      </c>
      <c r="B55">
        <v>4.1825000000000001E-2</v>
      </c>
    </row>
    <row r="56" spans="1:3" x14ac:dyDescent="0.3">
      <c r="A56">
        <v>11</v>
      </c>
      <c r="B56">
        <v>4.6283999999999999E-2</v>
      </c>
    </row>
    <row r="57" spans="1:3" x14ac:dyDescent="0.3">
      <c r="A57">
        <v>14</v>
      </c>
      <c r="B57">
        <v>0.10019699999999999</v>
      </c>
    </row>
    <row r="58" spans="1:3" x14ac:dyDescent="0.3">
      <c r="B58">
        <f>SUM(B54:B57)</f>
        <v>0.31359700000000001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EEA7-6BCD-4882-BD33-AEBF2A01D6E5}">
  <dimension ref="A1:AM35"/>
  <sheetViews>
    <sheetView tabSelected="1" topLeftCell="Q1" zoomScale="120" zoomScaleNormal="120" workbookViewId="0">
      <selection activeCell="Z12" sqref="Z12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6640625" bestFit="1" customWidth="1"/>
    <col min="5" max="5" width="11.77734375" bestFit="1" customWidth="1"/>
    <col min="7" max="7" width="12.88671875" bestFit="1" customWidth="1"/>
    <col min="8" max="10" width="0" hidden="1" customWidth="1"/>
    <col min="11" max="11" width="12" bestFit="1" customWidth="1"/>
    <col min="12" max="12" width="15.109375" bestFit="1" customWidth="1"/>
    <col min="13" max="13" width="12" bestFit="1" customWidth="1"/>
    <col min="14" max="14" width="11.33203125" bestFit="1" customWidth="1"/>
    <col min="15" max="15" width="12.77734375" bestFit="1" customWidth="1"/>
    <col min="16" max="16" width="12" bestFit="1" customWidth="1"/>
    <col min="17" max="17" width="14.33203125" bestFit="1" customWidth="1"/>
    <col min="18" max="18" width="10.77734375" customWidth="1"/>
    <col min="19" max="21" width="12" bestFit="1" customWidth="1"/>
    <col min="22" max="22" width="9" bestFit="1" customWidth="1"/>
    <col min="28" max="29" width="12" bestFit="1" customWidth="1"/>
    <col min="30" max="30" width="9" bestFit="1" customWidth="1"/>
    <col min="31" max="32" width="12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9" x14ac:dyDescent="0.3">
      <c r="A2" s="5">
        <v>2</v>
      </c>
      <c r="B2" t="s">
        <v>37</v>
      </c>
      <c r="C2">
        <v>2627.882927300001</v>
      </c>
      <c r="D2">
        <v>43.798048788333347</v>
      </c>
      <c r="E2" t="s">
        <v>38</v>
      </c>
      <c r="G2" t="s">
        <v>34</v>
      </c>
      <c r="H2" t="s">
        <v>39</v>
      </c>
      <c r="J2" t="s">
        <v>36</v>
      </c>
      <c r="K2">
        <v>1.9260742925086699E-2</v>
      </c>
      <c r="L2">
        <v>0</v>
      </c>
      <c r="M2">
        <v>1.9260742925086699E-2</v>
      </c>
      <c r="N2" t="s">
        <v>17</v>
      </c>
      <c r="O2">
        <v>236</v>
      </c>
      <c r="P2" s="11">
        <v>8.0279052905500031E-5</v>
      </c>
      <c r="Q2">
        <v>1E-4</v>
      </c>
      <c r="R2">
        <v>2000</v>
      </c>
      <c r="S2">
        <v>9.5340553177132401E-2</v>
      </c>
      <c r="T2">
        <v>4.850514939296346</v>
      </c>
      <c r="U2">
        <v>1.723227134060048</v>
      </c>
      <c r="V2">
        <v>9.6469999999999993E-3</v>
      </c>
      <c r="W2">
        <v>8.5518540000000005</v>
      </c>
      <c r="X2">
        <v>7.1656500000000003</v>
      </c>
      <c r="Y2">
        <v>44.150669999999998</v>
      </c>
      <c r="Z2">
        <v>42.528283999999999</v>
      </c>
      <c r="AA2">
        <v>1E-4</v>
      </c>
      <c r="AB2">
        <v>2.416260149187003</v>
      </c>
      <c r="AC2">
        <v>9.9913447457622464</v>
      </c>
      <c r="AD2">
        <v>1.6426339999999999</v>
      </c>
      <c r="AE2">
        <v>0.58073847105624532</v>
      </c>
      <c r="AF2" s="6">
        <v>0.30876599033911339</v>
      </c>
      <c r="AH2" s="96" t="s">
        <v>18</v>
      </c>
      <c r="AI2" s="95">
        <f>AK2-2*S34</f>
        <v>-1.4143491784259471E-2</v>
      </c>
      <c r="AJ2" s="95">
        <f>AK2-S34</f>
        <v>7.4872881611489847E-2</v>
      </c>
      <c r="AK2" s="95">
        <f>S35</f>
        <v>0.16388925500723917</v>
      </c>
      <c r="AL2" s="95">
        <f>AK2+S34</f>
        <v>0.25290562840298847</v>
      </c>
      <c r="AM2" s="95">
        <f>AK2+2*S34</f>
        <v>0.34192200179873777</v>
      </c>
    </row>
    <row r="3" spans="1:39" x14ac:dyDescent="0.3">
      <c r="A3" s="5">
        <v>4</v>
      </c>
      <c r="B3" t="s">
        <v>43</v>
      </c>
      <c r="C3">
        <v>7318.5311609999917</v>
      </c>
      <c r="D3">
        <v>121.9755193499999</v>
      </c>
      <c r="E3" t="s">
        <v>44</v>
      </c>
      <c r="G3" t="s">
        <v>34</v>
      </c>
      <c r="H3" t="s">
        <v>45</v>
      </c>
      <c r="J3" t="s">
        <v>36</v>
      </c>
      <c r="K3">
        <v>1.9154109697566511E-2</v>
      </c>
      <c r="L3">
        <v>0</v>
      </c>
      <c r="M3">
        <v>1.9154109697566511E-2</v>
      </c>
      <c r="N3" t="s">
        <v>17</v>
      </c>
      <c r="O3">
        <v>170</v>
      </c>
      <c r="P3" s="11">
        <v>9.9770959924361978E-5</v>
      </c>
      <c r="Q3">
        <v>1E-4</v>
      </c>
      <c r="R3">
        <v>2000</v>
      </c>
      <c r="S3" s="28">
        <v>0.23867230327866931</v>
      </c>
      <c r="T3" s="28">
        <v>1.4789405335040691</v>
      </c>
      <c r="U3" s="28">
        <v>1.137318705859411</v>
      </c>
      <c r="V3" s="28">
        <v>9.6469999999999993E-3</v>
      </c>
      <c r="W3" s="28">
        <v>8.5518540000000005</v>
      </c>
      <c r="X3" s="28">
        <v>7.1656500000000003</v>
      </c>
      <c r="Y3" s="28">
        <v>44.150669999999998</v>
      </c>
      <c r="Z3" s="28">
        <v>42.528283999999999</v>
      </c>
      <c r="AA3" s="28">
        <v>1E-4</v>
      </c>
      <c r="AB3" s="28">
        <v>4.7487233770171322</v>
      </c>
      <c r="AC3" s="28">
        <v>5.5804137605699884</v>
      </c>
      <c r="AD3" s="28">
        <v>1.6426339999999999</v>
      </c>
      <c r="AE3" s="28">
        <v>0.35821627237548298</v>
      </c>
      <c r="AF3" s="29">
        <v>0.60828105216998085</v>
      </c>
      <c r="AH3" s="96" t="s">
        <v>19</v>
      </c>
      <c r="AI3" s="95">
        <f>AK3-2*T34</f>
        <v>-0.4052595015903675</v>
      </c>
      <c r="AJ3" s="95">
        <f>AK3-T34</f>
        <v>0.79461170446913654</v>
      </c>
      <c r="AK3" s="95">
        <f>T35</f>
        <v>1.9944829105286406</v>
      </c>
      <c r="AL3" s="95">
        <f>AK3+T34</f>
        <v>3.1943541165881446</v>
      </c>
      <c r="AM3" s="95">
        <f>AK3+2*T34</f>
        <v>4.3942253226476486</v>
      </c>
    </row>
    <row r="4" spans="1:39" x14ac:dyDescent="0.3">
      <c r="A4" s="5">
        <v>5</v>
      </c>
      <c r="B4" t="s">
        <v>46</v>
      </c>
      <c r="C4">
        <v>7374.550728000002</v>
      </c>
      <c r="D4">
        <v>122.90917880000001</v>
      </c>
      <c r="E4" t="s">
        <v>47</v>
      </c>
      <c r="G4" t="s">
        <v>34</v>
      </c>
      <c r="H4" t="s">
        <v>48</v>
      </c>
      <c r="J4" t="s">
        <v>36</v>
      </c>
      <c r="K4">
        <v>3.4835567092652363E-2</v>
      </c>
      <c r="L4">
        <v>0</v>
      </c>
      <c r="M4">
        <v>3.4835567092652363E-2</v>
      </c>
      <c r="N4" t="s">
        <v>17</v>
      </c>
      <c r="O4">
        <v>820</v>
      </c>
      <c r="P4" s="11">
        <v>8.9495828330964918E-5</v>
      </c>
      <c r="Q4">
        <v>1E-4</v>
      </c>
      <c r="R4">
        <v>2000</v>
      </c>
      <c r="S4" s="30">
        <v>0.2215474581717817</v>
      </c>
      <c r="T4" s="28">
        <v>1.7632632704774971</v>
      </c>
      <c r="U4" s="28">
        <v>3.8822158056424811</v>
      </c>
      <c r="V4" s="28">
        <v>9.6469999999999993E-3</v>
      </c>
      <c r="W4" s="28">
        <v>8.5518540000000005</v>
      </c>
      <c r="X4" s="28">
        <v>7.1656500000000003</v>
      </c>
      <c r="Y4" s="28">
        <v>44.150669999999998</v>
      </c>
      <c r="Z4" s="28">
        <v>42.528283999999999</v>
      </c>
      <c r="AA4" s="28">
        <v>1E-4</v>
      </c>
      <c r="AB4" s="28">
        <v>2.5366740295826569</v>
      </c>
      <c r="AC4" s="28">
        <v>7.0276789570579181</v>
      </c>
      <c r="AD4" s="28">
        <v>1.6426339999999999</v>
      </c>
      <c r="AE4" s="28">
        <v>0.58980414277809312</v>
      </c>
      <c r="AF4" s="29">
        <v>0.29932090289880298</v>
      </c>
      <c r="AH4" s="96" t="s">
        <v>20</v>
      </c>
      <c r="AI4" s="95">
        <f>AK4-2*U34</f>
        <v>-0.64779578806831051</v>
      </c>
      <c r="AJ4" s="95">
        <f>AK4-U34</f>
        <v>0.47276112560292072</v>
      </c>
      <c r="AK4" s="95">
        <f>U35</f>
        <v>1.5933180392741519</v>
      </c>
      <c r="AL4" s="95">
        <f>AK4+U34</f>
        <v>2.7138749529453832</v>
      </c>
      <c r="AM4" s="95">
        <f>AK4+2*U34</f>
        <v>3.8344318666166144</v>
      </c>
    </row>
    <row r="5" spans="1:39" x14ac:dyDescent="0.3">
      <c r="A5" s="5">
        <v>6</v>
      </c>
      <c r="B5" t="s">
        <v>49</v>
      </c>
      <c r="C5">
        <v>5694.3620688000228</v>
      </c>
      <c r="D5">
        <v>94.906034480000386</v>
      </c>
      <c r="E5" t="s">
        <v>50</v>
      </c>
      <c r="G5" t="s">
        <v>34</v>
      </c>
      <c r="H5" t="s">
        <v>51</v>
      </c>
      <c r="J5" t="s">
        <v>36</v>
      </c>
      <c r="K5">
        <v>1.2291011892049669E-2</v>
      </c>
      <c r="L5">
        <v>0</v>
      </c>
      <c r="M5">
        <v>1.2291011892049669E-2</v>
      </c>
      <c r="N5" t="s">
        <v>17</v>
      </c>
      <c r="O5">
        <v>378</v>
      </c>
      <c r="P5" s="11">
        <v>9.7765343569708419E-5</v>
      </c>
      <c r="Q5">
        <v>1E-4</v>
      </c>
      <c r="R5">
        <v>2000</v>
      </c>
      <c r="S5" s="30">
        <v>7.1046409533329261E-2</v>
      </c>
      <c r="T5" s="28">
        <v>3.3738439668184652</v>
      </c>
      <c r="U5" s="28">
        <v>2.3322033875726329</v>
      </c>
      <c r="V5" s="28">
        <v>9.6469999999999993E-3</v>
      </c>
      <c r="W5" s="28">
        <v>8.5518540000000005</v>
      </c>
      <c r="X5" s="28">
        <v>7.1656500000000003</v>
      </c>
      <c r="Y5" s="28">
        <v>44.150669999999998</v>
      </c>
      <c r="Z5" s="28">
        <v>42.528283999999999</v>
      </c>
      <c r="AA5" s="28">
        <v>1E-4</v>
      </c>
      <c r="AB5" s="28">
        <v>2.1760985567100839</v>
      </c>
      <c r="AC5" s="28">
        <v>7.3611499471052522</v>
      </c>
      <c r="AD5" s="28">
        <v>1.6426339999999999</v>
      </c>
      <c r="AE5" s="28">
        <v>0.42272115248163261</v>
      </c>
      <c r="AF5" s="29">
        <v>0.41214687694987062</v>
      </c>
      <c r="AH5" s="96" t="s">
        <v>27</v>
      </c>
      <c r="AI5" s="95">
        <f>AK5-2*AB34</f>
        <v>0.41091935264013513</v>
      </c>
      <c r="AJ5" s="95">
        <f>AK5-AB34</f>
        <v>1.766572787270813</v>
      </c>
      <c r="AK5" s="95">
        <f>AB35</f>
        <v>3.1222262219014909</v>
      </c>
      <c r="AL5" s="95">
        <f>AK5+AB34</f>
        <v>4.4778796565321688</v>
      </c>
      <c r="AM5" s="95">
        <f>AK5+2*AB34</f>
        <v>5.8335330911628471</v>
      </c>
    </row>
    <row r="6" spans="1:39" x14ac:dyDescent="0.3">
      <c r="A6" s="5">
        <v>7</v>
      </c>
      <c r="B6" t="s">
        <v>52</v>
      </c>
      <c r="C6">
        <v>15231.7497136</v>
      </c>
      <c r="D6">
        <v>253.86249522666671</v>
      </c>
      <c r="E6" t="s">
        <v>53</v>
      </c>
      <c r="G6" t="s">
        <v>34</v>
      </c>
      <c r="H6" t="s">
        <v>54</v>
      </c>
      <c r="J6" t="s">
        <v>36</v>
      </c>
      <c r="K6">
        <v>1.057828657334144E-2</v>
      </c>
      <c r="L6">
        <v>0</v>
      </c>
      <c r="M6">
        <v>1.057828657334144E-2</v>
      </c>
      <c r="N6" t="s">
        <v>17</v>
      </c>
      <c r="O6">
        <v>2001</v>
      </c>
      <c r="P6" s="11">
        <v>8.4329416212390856E-4</v>
      </c>
      <c r="Q6">
        <v>1E-4</v>
      </c>
      <c r="R6">
        <v>2000</v>
      </c>
      <c r="S6" s="13">
        <v>0.1297696297226717</v>
      </c>
      <c r="T6">
        <v>1.100316472242042</v>
      </c>
      <c r="U6">
        <v>3.2764644886323269</v>
      </c>
      <c r="V6">
        <v>9.6469999999999993E-3</v>
      </c>
      <c r="W6">
        <v>8.5518540000000005</v>
      </c>
      <c r="X6">
        <v>7.1656500000000003</v>
      </c>
      <c r="Y6">
        <v>44.150669999999998</v>
      </c>
      <c r="Z6">
        <v>42.528283999999999</v>
      </c>
      <c r="AA6">
        <v>1E-4</v>
      </c>
      <c r="AB6">
        <v>2.1972924445174771</v>
      </c>
      <c r="AC6">
        <v>5.6254618072746307</v>
      </c>
      <c r="AD6">
        <v>1.6426339999999999</v>
      </c>
      <c r="AE6">
        <v>0.22361832346956681</v>
      </c>
      <c r="AF6" s="6">
        <v>0.72267916407755917</v>
      </c>
      <c r="AH6" s="96" t="s">
        <v>28</v>
      </c>
      <c r="AI6" s="95">
        <f>AK6-2*AC34</f>
        <v>5.6987118167875579</v>
      </c>
      <c r="AJ6" s="95">
        <f>AK6-AC34</f>
        <v>7.4638640697432077</v>
      </c>
      <c r="AK6" s="95">
        <f>AC35</f>
        <v>9.2290163226988575</v>
      </c>
      <c r="AL6" s="95">
        <f>AK6+AC34</f>
        <v>10.994168575654507</v>
      </c>
      <c r="AM6" s="95">
        <f>AK6+2*AC34</f>
        <v>12.759320828610157</v>
      </c>
    </row>
    <row r="7" spans="1:39" x14ac:dyDescent="0.3">
      <c r="A7" s="5">
        <v>9</v>
      </c>
      <c r="B7" t="s">
        <v>58</v>
      </c>
      <c r="C7">
        <v>2026.802363299998</v>
      </c>
      <c r="D7">
        <v>33.780039388333293</v>
      </c>
      <c r="E7" t="s">
        <v>59</v>
      </c>
      <c r="G7" t="s">
        <v>34</v>
      </c>
      <c r="H7" t="s">
        <v>60</v>
      </c>
      <c r="J7" t="s">
        <v>36</v>
      </c>
      <c r="K7">
        <v>2.0507348618881031E-2</v>
      </c>
      <c r="L7">
        <v>0</v>
      </c>
      <c r="M7">
        <v>2.0507348618881031E-2</v>
      </c>
      <c r="N7" t="s">
        <v>17</v>
      </c>
      <c r="O7">
        <v>301</v>
      </c>
      <c r="P7" s="11">
        <v>9.8301866082106659E-5</v>
      </c>
      <c r="Q7">
        <v>1E-4</v>
      </c>
      <c r="R7">
        <v>2000</v>
      </c>
      <c r="S7" s="30">
        <v>0.2312320810462489</v>
      </c>
      <c r="T7" s="28">
        <v>1.718642886072322</v>
      </c>
      <c r="U7" s="28">
        <v>2.997279945587831</v>
      </c>
      <c r="V7" s="28">
        <v>9.6469999999999993E-3</v>
      </c>
      <c r="W7" s="28">
        <v>8.5518540000000005</v>
      </c>
      <c r="X7" s="28">
        <v>7.1656500000000003</v>
      </c>
      <c r="Y7" s="28">
        <v>44.150669999999998</v>
      </c>
      <c r="Z7" s="28">
        <v>42.528283999999999</v>
      </c>
      <c r="AA7" s="28">
        <v>1E-4</v>
      </c>
      <c r="AB7" s="28">
        <v>2.3541994629890439</v>
      </c>
      <c r="AC7" s="28">
        <v>8.2355175536869432</v>
      </c>
      <c r="AD7" s="28">
        <v>1.6426339999999999</v>
      </c>
      <c r="AE7" s="28">
        <v>0.33402337444756869</v>
      </c>
      <c r="AF7" s="29">
        <v>0.52953327715501552</v>
      </c>
      <c r="AH7" s="96" t="s">
        <v>30</v>
      </c>
      <c r="AI7" s="95">
        <f>AK7-2*AE34</f>
        <v>0.22963159326041199</v>
      </c>
      <c r="AJ7" s="95">
        <f>AK7-AE34</f>
        <v>0.36027089830211101</v>
      </c>
      <c r="AK7" s="95">
        <f>AE35</f>
        <v>0.49091020334380997</v>
      </c>
      <c r="AL7" s="95">
        <f>AK7+AE34</f>
        <v>0.62154950838550893</v>
      </c>
      <c r="AM7" s="95">
        <f>AK7+2*AE34</f>
        <v>0.75218881342720789</v>
      </c>
    </row>
    <row r="8" spans="1:39" x14ac:dyDescent="0.3">
      <c r="A8" s="5">
        <v>11</v>
      </c>
      <c r="B8" t="s">
        <v>64</v>
      </c>
      <c r="C8">
        <v>5786.3767086000007</v>
      </c>
      <c r="D8">
        <v>96.439611810000017</v>
      </c>
      <c r="E8" t="s">
        <v>65</v>
      </c>
      <c r="G8" t="s">
        <v>34</v>
      </c>
      <c r="H8" t="s">
        <v>66</v>
      </c>
      <c r="J8" t="s">
        <v>36</v>
      </c>
      <c r="K8">
        <v>2.4991082200323301E-2</v>
      </c>
      <c r="L8">
        <v>0</v>
      </c>
      <c r="M8">
        <v>2.4991082200323301E-2</v>
      </c>
      <c r="N8" t="s">
        <v>17</v>
      </c>
      <c r="O8">
        <v>283</v>
      </c>
      <c r="P8" s="11">
        <v>9.8613290712376561E-5</v>
      </c>
      <c r="Q8">
        <v>1E-4</v>
      </c>
      <c r="R8">
        <v>2000</v>
      </c>
      <c r="S8" s="30">
        <v>0.35445682383815608</v>
      </c>
      <c r="T8" s="28">
        <v>2.895646996567776</v>
      </c>
      <c r="U8" s="28">
        <v>2.4417178876658232</v>
      </c>
      <c r="V8" s="28">
        <v>9.6469999999999993E-3</v>
      </c>
      <c r="W8" s="28">
        <v>8.5518540000000005</v>
      </c>
      <c r="X8" s="28">
        <v>7.1656500000000003</v>
      </c>
      <c r="Y8" s="28">
        <v>44.150669999999998</v>
      </c>
      <c r="Z8" s="28">
        <v>42.528283999999999</v>
      </c>
      <c r="AA8" s="28">
        <v>1E-4</v>
      </c>
      <c r="AB8" s="28">
        <v>2.0720119469016951</v>
      </c>
      <c r="AC8" s="28">
        <v>8.140244314273005</v>
      </c>
      <c r="AD8" s="28">
        <v>1.6426339999999999</v>
      </c>
      <c r="AE8" s="28">
        <v>0.43603437708916032</v>
      </c>
      <c r="AF8" s="29">
        <v>0.4738792844859725</v>
      </c>
      <c r="AH8" s="96" t="s">
        <v>31</v>
      </c>
      <c r="AI8" s="95">
        <f>AK8-2*AF34</f>
        <v>3.4727504865843695E-2</v>
      </c>
      <c r="AJ8" s="95">
        <f>AK8-AF34</f>
        <v>0.19868612939476857</v>
      </c>
      <c r="AK8" s="95">
        <f>AF35</f>
        <v>0.36264475392369344</v>
      </c>
      <c r="AL8" s="95">
        <f>AK8+AF34</f>
        <v>0.52660337845261829</v>
      </c>
      <c r="AM8" s="95">
        <f>AK8+2*AF34</f>
        <v>0.69056200298154313</v>
      </c>
    </row>
    <row r="9" spans="1:39" x14ac:dyDescent="0.3">
      <c r="A9" s="5">
        <v>12</v>
      </c>
      <c r="B9" t="s">
        <v>67</v>
      </c>
      <c r="C9">
        <v>28266.52760229999</v>
      </c>
      <c r="D9">
        <v>471.10879337166648</v>
      </c>
      <c r="E9" t="s">
        <v>68</v>
      </c>
      <c r="G9" t="s">
        <v>34</v>
      </c>
      <c r="H9" t="s">
        <v>69</v>
      </c>
      <c r="J9" t="s">
        <v>36</v>
      </c>
      <c r="K9">
        <v>2.3834521668663389E-2</v>
      </c>
      <c r="L9">
        <v>0</v>
      </c>
      <c r="M9">
        <v>2.3834521668663389E-2</v>
      </c>
      <c r="N9" t="s">
        <v>17</v>
      </c>
      <c r="O9">
        <v>2001</v>
      </c>
      <c r="P9" s="11">
        <v>3.0236792461020489E-3</v>
      </c>
      <c r="Q9">
        <v>1E-4</v>
      </c>
      <c r="R9">
        <v>2000</v>
      </c>
      <c r="S9" s="30">
        <v>0.1937974998036483</v>
      </c>
      <c r="T9" s="28">
        <v>1.305003992855698</v>
      </c>
      <c r="U9" s="28">
        <v>2.162669253941381</v>
      </c>
      <c r="V9" s="28">
        <v>9.6469999999999993E-3</v>
      </c>
      <c r="W9" s="28">
        <v>8.5518540000000005</v>
      </c>
      <c r="X9" s="28">
        <v>7.1656500000000003</v>
      </c>
      <c r="Y9" s="28">
        <v>44.150669999999998</v>
      </c>
      <c r="Z9" s="28">
        <v>42.528283999999999</v>
      </c>
      <c r="AA9" s="28">
        <v>1E-4</v>
      </c>
      <c r="AB9" s="28">
        <v>3.5333794506754348</v>
      </c>
      <c r="AC9" s="28">
        <v>9.9584996242521857</v>
      </c>
      <c r="AD9" s="28">
        <v>1.6426339999999999</v>
      </c>
      <c r="AE9" s="28">
        <v>0.27490580520813779</v>
      </c>
      <c r="AF9" s="29">
        <v>0.59371405082027096</v>
      </c>
    </row>
    <row r="10" spans="1:39" x14ac:dyDescent="0.3">
      <c r="A10" s="5">
        <v>13</v>
      </c>
      <c r="B10" t="s">
        <v>70</v>
      </c>
      <c r="C10">
        <v>5024.0627505999873</v>
      </c>
      <c r="D10">
        <v>83.734379176666451</v>
      </c>
      <c r="E10" t="s">
        <v>71</v>
      </c>
      <c r="G10" t="s">
        <v>34</v>
      </c>
      <c r="H10" t="s">
        <v>72</v>
      </c>
      <c r="J10" t="s">
        <v>36</v>
      </c>
      <c r="K10">
        <v>4.075483124784126E-2</v>
      </c>
      <c r="L10">
        <v>0</v>
      </c>
      <c r="M10">
        <v>4.075483124784126E-2</v>
      </c>
      <c r="N10" t="s">
        <v>17</v>
      </c>
      <c r="O10">
        <v>163</v>
      </c>
      <c r="P10" s="11">
        <v>9.4957242368113107E-5</v>
      </c>
      <c r="Q10">
        <v>1E-4</v>
      </c>
      <c r="R10">
        <v>2000</v>
      </c>
      <c r="S10" s="13">
        <v>0.47507925889546099</v>
      </c>
      <c r="T10">
        <v>1.7942830917244461</v>
      </c>
      <c r="U10">
        <v>1.536080827207515</v>
      </c>
      <c r="V10">
        <v>9.6469999999999993E-3</v>
      </c>
      <c r="W10">
        <v>8.5518540000000005</v>
      </c>
      <c r="X10">
        <v>7.1656500000000003</v>
      </c>
      <c r="Y10">
        <v>44.150669999999998</v>
      </c>
      <c r="Z10">
        <v>42.528283999999999</v>
      </c>
      <c r="AA10">
        <v>1E-4</v>
      </c>
      <c r="AB10">
        <v>3.0630033486266108</v>
      </c>
      <c r="AC10">
        <v>9.8713319233272756</v>
      </c>
      <c r="AD10">
        <v>1.6426339999999999</v>
      </c>
      <c r="AE10">
        <v>0.45417614586722482</v>
      </c>
      <c r="AF10" s="6">
        <v>0.37020863228583628</v>
      </c>
    </row>
    <row r="11" spans="1:39" x14ac:dyDescent="0.3">
      <c r="A11" s="5">
        <v>14</v>
      </c>
      <c r="B11" t="s">
        <v>73</v>
      </c>
      <c r="C11">
        <v>5644.6686482999939</v>
      </c>
      <c r="D11">
        <v>94.077810804999899</v>
      </c>
      <c r="E11" t="s">
        <v>74</v>
      </c>
      <c r="G11" t="s">
        <v>34</v>
      </c>
      <c r="H11" t="s">
        <v>75</v>
      </c>
      <c r="J11" t="s">
        <v>36</v>
      </c>
      <c r="K11">
        <v>2.3393480287682549E-2</v>
      </c>
      <c r="L11">
        <v>0</v>
      </c>
      <c r="M11">
        <v>2.3393480287682549E-2</v>
      </c>
      <c r="N11" t="s">
        <v>17</v>
      </c>
      <c r="O11">
        <v>593</v>
      </c>
      <c r="P11" s="11">
        <v>9.994242130357086E-5</v>
      </c>
      <c r="Q11">
        <v>1E-4</v>
      </c>
      <c r="R11">
        <v>2000</v>
      </c>
      <c r="S11" s="28">
        <v>0.1400943037433009</v>
      </c>
      <c r="T11" s="28">
        <v>2.5765714714097321</v>
      </c>
      <c r="U11" s="28">
        <v>2.8573243947471481</v>
      </c>
      <c r="V11" s="28">
        <v>9.6469999999999993E-3</v>
      </c>
      <c r="W11" s="28">
        <v>8.5518540000000005</v>
      </c>
      <c r="X11" s="28">
        <v>7.1656500000000003</v>
      </c>
      <c r="Y11" s="28">
        <v>44.150669999999998</v>
      </c>
      <c r="Z11" s="28">
        <v>42.528283999999999</v>
      </c>
      <c r="AA11" s="28">
        <v>1E-4</v>
      </c>
      <c r="AB11" s="28">
        <v>1.945967410891327</v>
      </c>
      <c r="AC11" s="28">
        <v>9.9831868103195394</v>
      </c>
      <c r="AD11" s="28">
        <v>1.6426339999999999</v>
      </c>
      <c r="AE11" s="28">
        <v>0.34218172241272238</v>
      </c>
      <c r="AF11" s="29">
        <v>0.51117062692806203</v>
      </c>
    </row>
    <row r="12" spans="1:39" x14ac:dyDescent="0.3">
      <c r="A12" s="5">
        <v>17</v>
      </c>
      <c r="B12" t="s">
        <v>82</v>
      </c>
      <c r="C12">
        <v>21111.6125092</v>
      </c>
      <c r="D12">
        <v>351.86020848666669</v>
      </c>
      <c r="E12" t="s">
        <v>83</v>
      </c>
      <c r="G12" t="s">
        <v>34</v>
      </c>
      <c r="H12" t="s">
        <v>84</v>
      </c>
      <c r="J12" t="s">
        <v>36</v>
      </c>
      <c r="K12">
        <v>1.9031896178424979E-2</v>
      </c>
      <c r="L12">
        <v>0</v>
      </c>
      <c r="M12">
        <v>1.9031896178424979E-2</v>
      </c>
      <c r="N12" t="s">
        <v>17</v>
      </c>
      <c r="O12">
        <v>2001</v>
      </c>
      <c r="P12" s="11">
        <v>1.604056233756677E-4</v>
      </c>
      <c r="Q12">
        <v>1E-4</v>
      </c>
      <c r="R12">
        <v>2000</v>
      </c>
      <c r="S12">
        <v>0.13943642659037339</v>
      </c>
      <c r="T12">
        <v>1.4375904770707839</v>
      </c>
      <c r="U12">
        <v>1.17514855524946</v>
      </c>
      <c r="V12">
        <v>9.6469999999999993E-3</v>
      </c>
      <c r="W12">
        <v>8.5518540000000005</v>
      </c>
      <c r="X12">
        <v>7.1656500000000003</v>
      </c>
      <c r="Y12">
        <v>44.150669999999998</v>
      </c>
      <c r="Z12">
        <v>42.528283999999999</v>
      </c>
      <c r="AA12">
        <v>1E-4</v>
      </c>
      <c r="AB12">
        <v>6.527551914797427</v>
      </c>
      <c r="AC12">
        <v>6.2341027278068388</v>
      </c>
      <c r="AD12">
        <v>1.6426339999999999</v>
      </c>
      <c r="AE12">
        <v>0.32014943742462582</v>
      </c>
      <c r="AF12" s="6">
        <v>0.54753100362087015</v>
      </c>
    </row>
    <row r="13" spans="1:39" x14ac:dyDescent="0.3">
      <c r="A13" s="5">
        <v>18</v>
      </c>
      <c r="B13" t="s">
        <v>85</v>
      </c>
      <c r="C13">
        <v>20588.614749</v>
      </c>
      <c r="D13">
        <v>343.14357914999999</v>
      </c>
      <c r="E13" t="s">
        <v>86</v>
      </c>
      <c r="G13" t="s">
        <v>34</v>
      </c>
      <c r="H13" t="s">
        <v>87</v>
      </c>
      <c r="J13" t="s">
        <v>36</v>
      </c>
      <c r="K13">
        <v>2.4723539734177399E-2</v>
      </c>
      <c r="L13">
        <v>0</v>
      </c>
      <c r="M13">
        <v>2.4723539734177399E-2</v>
      </c>
      <c r="N13" t="s">
        <v>17</v>
      </c>
      <c r="O13">
        <v>901</v>
      </c>
      <c r="P13" s="11">
        <v>9.5859297039156189E-5</v>
      </c>
      <c r="Q13">
        <v>1E-4</v>
      </c>
      <c r="R13">
        <v>2000</v>
      </c>
      <c r="S13" s="28">
        <v>0.1957220287925758</v>
      </c>
      <c r="T13" s="28">
        <v>1.8413149759623919</v>
      </c>
      <c r="U13" s="28">
        <v>1.142151867830226</v>
      </c>
      <c r="V13" s="28">
        <v>9.6469999999999993E-3</v>
      </c>
      <c r="W13" s="28">
        <v>8.5518540000000005</v>
      </c>
      <c r="X13" s="28">
        <v>7.1656500000000003</v>
      </c>
      <c r="Y13" s="28">
        <v>44.150669999999998</v>
      </c>
      <c r="Z13" s="28">
        <v>42.528283999999999</v>
      </c>
      <c r="AA13" s="28">
        <v>1E-4</v>
      </c>
      <c r="AB13" s="28">
        <v>4.357026494323847</v>
      </c>
      <c r="AC13" s="28">
        <v>9.5224248843655364</v>
      </c>
      <c r="AD13" s="28">
        <v>1.6426339999999999</v>
      </c>
      <c r="AE13" s="28">
        <v>0.50051089460210196</v>
      </c>
      <c r="AF13" s="29">
        <v>0.33005485774102938</v>
      </c>
    </row>
    <row r="14" spans="1:39" x14ac:dyDescent="0.3">
      <c r="A14" s="5">
        <v>19</v>
      </c>
      <c r="B14" t="s">
        <v>88</v>
      </c>
      <c r="C14">
        <v>4922.2885048000026</v>
      </c>
      <c r="D14">
        <v>82.03814174666671</v>
      </c>
      <c r="E14" t="s">
        <v>89</v>
      </c>
      <c r="G14" t="s">
        <v>34</v>
      </c>
      <c r="H14" t="s">
        <v>90</v>
      </c>
      <c r="J14" t="s">
        <v>36</v>
      </c>
      <c r="K14">
        <v>2.1089386883793221E-2</v>
      </c>
      <c r="L14">
        <v>0</v>
      </c>
      <c r="M14">
        <v>2.1089386883793221E-2</v>
      </c>
      <c r="N14" t="s">
        <v>17</v>
      </c>
      <c r="O14">
        <v>602</v>
      </c>
      <c r="P14" s="11">
        <v>9.8179584203664892E-5</v>
      </c>
      <c r="Q14">
        <v>1E-4</v>
      </c>
      <c r="R14">
        <v>2000</v>
      </c>
      <c r="S14" s="28">
        <v>0.2443548171277711</v>
      </c>
      <c r="T14" s="28">
        <v>1.688151118707405</v>
      </c>
      <c r="U14" s="28">
        <v>1.1020683670286131</v>
      </c>
      <c r="V14" s="28">
        <v>9.6469999999999993E-3</v>
      </c>
      <c r="W14" s="28">
        <v>8.5518540000000005</v>
      </c>
      <c r="X14" s="28">
        <v>7.1656500000000003</v>
      </c>
      <c r="Y14" s="28">
        <v>44.150669999999998</v>
      </c>
      <c r="Z14" s="28">
        <v>42.528283999999999</v>
      </c>
      <c r="AA14" s="28">
        <v>1E-4</v>
      </c>
      <c r="AB14" s="28">
        <v>5.0732425293949914</v>
      </c>
      <c r="AC14" s="28">
        <v>9.4576715142226693</v>
      </c>
      <c r="AD14" s="28">
        <v>1.6426339999999999</v>
      </c>
      <c r="AE14" s="28">
        <v>0.5665117530365259</v>
      </c>
      <c r="AF14" s="29">
        <v>0.26939164592091119</v>
      </c>
    </row>
    <row r="15" spans="1:39" x14ac:dyDescent="0.3">
      <c r="A15" s="5">
        <v>21</v>
      </c>
      <c r="B15" t="s">
        <v>94</v>
      </c>
      <c r="C15">
        <v>13623.75451269999</v>
      </c>
      <c r="D15">
        <v>227.06257521166651</v>
      </c>
      <c r="E15" t="s">
        <v>95</v>
      </c>
      <c r="G15" t="s">
        <v>34</v>
      </c>
      <c r="H15" t="s">
        <v>96</v>
      </c>
      <c r="J15" t="s">
        <v>36</v>
      </c>
      <c r="K15">
        <v>1.74094920806762E-2</v>
      </c>
      <c r="L15">
        <v>0</v>
      </c>
      <c r="M15">
        <v>1.74094920806762E-2</v>
      </c>
      <c r="N15" t="s">
        <v>17</v>
      </c>
      <c r="O15">
        <v>1048</v>
      </c>
      <c r="P15" s="11">
        <v>8.9820340367870069E-5</v>
      </c>
      <c r="Q15">
        <v>1E-4</v>
      </c>
      <c r="R15">
        <v>2000</v>
      </c>
      <c r="S15" s="28">
        <v>0.18432378096980079</v>
      </c>
      <c r="T15" s="28">
        <v>2.4149638557808002</v>
      </c>
      <c r="U15" s="28">
        <v>1.3649814811210901</v>
      </c>
      <c r="V15" s="28">
        <v>9.6469999999999993E-3</v>
      </c>
      <c r="W15" s="28">
        <v>8.5518540000000005</v>
      </c>
      <c r="X15" s="28">
        <v>7.1656500000000003</v>
      </c>
      <c r="Y15" s="28">
        <v>44.150669999999998</v>
      </c>
      <c r="Z15" s="28">
        <v>42.528283999999999</v>
      </c>
      <c r="AA15" s="28">
        <v>1E-4</v>
      </c>
      <c r="AB15" s="28">
        <v>3.4242520685076201</v>
      </c>
      <c r="AC15" s="28">
        <v>9.9997745736004902</v>
      </c>
      <c r="AD15" s="28">
        <v>1.6426339999999999</v>
      </c>
      <c r="AE15" s="28">
        <v>0.45171710819292482</v>
      </c>
      <c r="AF15" s="29">
        <v>0.46110374288754669</v>
      </c>
    </row>
    <row r="16" spans="1:39" x14ac:dyDescent="0.3">
      <c r="A16" s="5">
        <v>24</v>
      </c>
      <c r="B16" t="s">
        <v>103</v>
      </c>
      <c r="C16">
        <v>4185.7595682000101</v>
      </c>
      <c r="D16">
        <v>69.762659470000173</v>
      </c>
      <c r="E16" t="s">
        <v>104</v>
      </c>
      <c r="G16" t="s">
        <v>34</v>
      </c>
      <c r="H16" t="s">
        <v>105</v>
      </c>
      <c r="J16" t="s">
        <v>36</v>
      </c>
      <c r="K16">
        <v>1.7061836719004322E-2</v>
      </c>
      <c r="L16">
        <v>0</v>
      </c>
      <c r="M16">
        <v>1.7061836719004322E-2</v>
      </c>
      <c r="N16" t="s">
        <v>17</v>
      </c>
      <c r="O16">
        <v>240</v>
      </c>
      <c r="P16" s="11">
        <v>9.7299965244742958E-5</v>
      </c>
      <c r="Q16">
        <v>1E-4</v>
      </c>
      <c r="R16">
        <v>2000</v>
      </c>
      <c r="S16" s="28">
        <v>0.132546262650129</v>
      </c>
      <c r="T16" s="28">
        <v>3.893671184911172</v>
      </c>
      <c r="U16" s="28">
        <v>0.67255490702205023</v>
      </c>
      <c r="V16" s="28">
        <v>9.6469999999999993E-3</v>
      </c>
      <c r="W16" s="28">
        <v>8.5518540000000005</v>
      </c>
      <c r="X16" s="28">
        <v>7.1656500000000003</v>
      </c>
      <c r="Y16" s="28">
        <v>44.150669999999998</v>
      </c>
      <c r="Z16" s="28">
        <v>42.528283999999999</v>
      </c>
      <c r="AA16" s="28">
        <v>1E-4</v>
      </c>
      <c r="AB16" s="28">
        <v>3.921038778767866</v>
      </c>
      <c r="AC16" s="28">
        <v>9.991795607270566</v>
      </c>
      <c r="AD16" s="28">
        <v>1.6426339999999999</v>
      </c>
      <c r="AE16" s="28">
        <v>0.57030410431709933</v>
      </c>
      <c r="AF16" s="29">
        <v>0.27539095119876622</v>
      </c>
    </row>
    <row r="17" spans="1:32" x14ac:dyDescent="0.3">
      <c r="A17" s="5">
        <v>25</v>
      </c>
      <c r="B17" t="s">
        <v>106</v>
      </c>
      <c r="C17">
        <v>4901.0364973999967</v>
      </c>
      <c r="D17">
        <v>81.683941623333283</v>
      </c>
      <c r="E17" t="s">
        <v>107</v>
      </c>
      <c r="G17" t="s">
        <v>34</v>
      </c>
      <c r="H17" t="s">
        <v>108</v>
      </c>
      <c r="J17" t="s">
        <v>36</v>
      </c>
      <c r="K17">
        <v>3.2865191206284922E-2</v>
      </c>
      <c r="L17">
        <v>0</v>
      </c>
      <c r="M17">
        <v>3.2865191206284922E-2</v>
      </c>
      <c r="N17" t="s">
        <v>17</v>
      </c>
      <c r="O17">
        <v>832</v>
      </c>
      <c r="P17" s="11">
        <v>9.7801619461440078E-5</v>
      </c>
      <c r="Q17">
        <v>1E-4</v>
      </c>
      <c r="R17">
        <v>2000</v>
      </c>
      <c r="S17" s="28">
        <v>0.19413816212667731</v>
      </c>
      <c r="T17" s="28">
        <v>3.844084630584347</v>
      </c>
      <c r="U17" s="28">
        <v>1.2368361308460261</v>
      </c>
      <c r="V17" s="28">
        <v>9.6469999999999993E-3</v>
      </c>
      <c r="W17" s="28">
        <v>8.5518540000000005</v>
      </c>
      <c r="X17" s="28">
        <v>7.1656500000000003</v>
      </c>
      <c r="Y17" s="28">
        <v>44.150669999999998</v>
      </c>
      <c r="Z17" s="28">
        <v>42.528283999999999</v>
      </c>
      <c r="AA17" s="28">
        <v>1E-4</v>
      </c>
      <c r="AB17" s="28">
        <v>2.4274124306484648</v>
      </c>
      <c r="AC17" s="28">
        <v>9.9601620773877109</v>
      </c>
      <c r="AD17" s="28">
        <v>1.6426339999999999</v>
      </c>
      <c r="AE17" s="28">
        <v>0.59968154212108837</v>
      </c>
      <c r="AF17" s="29">
        <v>0.19259834076794369</v>
      </c>
    </row>
    <row r="18" spans="1:32" x14ac:dyDescent="0.3">
      <c r="A18" s="5">
        <v>27</v>
      </c>
      <c r="B18" t="s">
        <v>112</v>
      </c>
      <c r="C18">
        <v>4781.5120207</v>
      </c>
      <c r="D18">
        <v>79.691867011666673</v>
      </c>
      <c r="E18" t="s">
        <v>113</v>
      </c>
      <c r="G18" t="s">
        <v>34</v>
      </c>
      <c r="H18" t="s">
        <v>114</v>
      </c>
      <c r="J18" t="s">
        <v>36</v>
      </c>
      <c r="K18">
        <v>3.5409677587260928E-2</v>
      </c>
      <c r="L18">
        <v>0</v>
      </c>
      <c r="M18">
        <v>3.5409677587260928E-2</v>
      </c>
      <c r="N18" t="s">
        <v>17</v>
      </c>
      <c r="O18">
        <v>695</v>
      </c>
      <c r="P18" s="11">
        <v>8.8803930078873696E-5</v>
      </c>
      <c r="Q18">
        <v>1E-4</v>
      </c>
      <c r="R18">
        <v>2000</v>
      </c>
      <c r="S18" s="28">
        <v>0.17552491149223229</v>
      </c>
      <c r="T18" s="28">
        <v>4.1577551963834054</v>
      </c>
      <c r="U18" s="28">
        <v>1.4753880067750491</v>
      </c>
      <c r="V18" s="28">
        <v>9.6469999999999993E-3</v>
      </c>
      <c r="W18" s="28">
        <v>8.5518540000000005</v>
      </c>
      <c r="X18" s="28">
        <v>7.1656500000000003</v>
      </c>
      <c r="Y18" s="28">
        <v>44.150669999999998</v>
      </c>
      <c r="Z18" s="28">
        <v>42.528283999999999</v>
      </c>
      <c r="AA18" s="28">
        <v>1E-4</v>
      </c>
      <c r="AB18" s="28">
        <v>2.0675212452253708</v>
      </c>
      <c r="AC18" s="28">
        <v>9.9962269957496606</v>
      </c>
      <c r="AD18" s="28">
        <v>1.6426339999999999</v>
      </c>
      <c r="AE18" s="28">
        <v>0.56432866694182982</v>
      </c>
      <c r="AF18" s="29">
        <v>0.2082087045653517</v>
      </c>
    </row>
    <row r="19" spans="1:32" x14ac:dyDescent="0.3">
      <c r="A19" s="5">
        <v>31</v>
      </c>
      <c r="B19" t="s">
        <v>124</v>
      </c>
      <c r="C19">
        <v>1135.8948174999971</v>
      </c>
      <c r="D19">
        <v>18.931580291666609</v>
      </c>
      <c r="E19" t="s">
        <v>125</v>
      </c>
      <c r="G19" t="s">
        <v>34</v>
      </c>
      <c r="H19" t="s">
        <v>126</v>
      </c>
      <c r="J19" t="s">
        <v>36</v>
      </c>
      <c r="K19">
        <v>1.2418892553136759E-2</v>
      </c>
      <c r="L19">
        <v>0</v>
      </c>
      <c r="M19">
        <v>1.2418892553136759E-2</v>
      </c>
      <c r="N19" t="s">
        <v>17</v>
      </c>
      <c r="O19">
        <v>173</v>
      </c>
      <c r="P19" s="11">
        <v>9.9952482821797579E-5</v>
      </c>
      <c r="Q19">
        <v>1E-4</v>
      </c>
      <c r="R19">
        <v>2000</v>
      </c>
      <c r="S19">
        <v>9.5131472790338165E-2</v>
      </c>
      <c r="T19">
        <v>1.3514976724639101</v>
      </c>
      <c r="U19">
        <v>1.378767963387493</v>
      </c>
      <c r="V19">
        <v>9.6469999999999993E-3</v>
      </c>
      <c r="W19">
        <v>8.5518540000000005</v>
      </c>
      <c r="X19">
        <v>7.1656500000000003</v>
      </c>
      <c r="Y19">
        <v>44.150669999999998</v>
      </c>
      <c r="Z19">
        <v>42.528283999999999</v>
      </c>
      <c r="AA19">
        <v>1E-4</v>
      </c>
      <c r="AB19">
        <v>5.7046777604247936</v>
      </c>
      <c r="AC19">
        <v>6.9959496868252078</v>
      </c>
      <c r="AD19">
        <v>1.6426339999999999</v>
      </c>
      <c r="AE19">
        <v>0.27282498101157071</v>
      </c>
      <c r="AF19" s="6">
        <v>0.70647905065370864</v>
      </c>
    </row>
    <row r="20" spans="1:32" x14ac:dyDescent="0.3">
      <c r="A20" s="5">
        <v>32</v>
      </c>
      <c r="B20" t="s">
        <v>127</v>
      </c>
      <c r="C20">
        <v>9774.8308117999986</v>
      </c>
      <c r="D20">
        <v>162.9138468633333</v>
      </c>
      <c r="E20" t="s">
        <v>128</v>
      </c>
      <c r="G20" t="s">
        <v>34</v>
      </c>
      <c r="H20" t="s">
        <v>129</v>
      </c>
      <c r="J20" t="s">
        <v>36</v>
      </c>
      <c r="K20">
        <v>3.5474141892733478E-2</v>
      </c>
      <c r="L20">
        <v>0</v>
      </c>
      <c r="M20">
        <v>3.5474141892733478E-2</v>
      </c>
      <c r="N20" t="s">
        <v>17</v>
      </c>
      <c r="O20">
        <v>576</v>
      </c>
      <c r="P20" s="11">
        <v>9.7171459345381795E-5</v>
      </c>
      <c r="Q20">
        <v>1E-4</v>
      </c>
      <c r="R20">
        <v>2000</v>
      </c>
      <c r="S20" s="28">
        <v>0.32234151004415629</v>
      </c>
      <c r="T20" s="28">
        <v>1.9991316186647099</v>
      </c>
      <c r="U20" s="28">
        <v>1.4055667221445689</v>
      </c>
      <c r="V20" s="28">
        <v>9.6469999999999993E-3</v>
      </c>
      <c r="W20" s="28">
        <v>8.5518540000000005</v>
      </c>
      <c r="X20" s="28">
        <v>7.1656500000000003</v>
      </c>
      <c r="Y20" s="28">
        <v>44.150669999999998</v>
      </c>
      <c r="Z20" s="28">
        <v>42.528283999999999</v>
      </c>
      <c r="AA20" s="28">
        <v>1E-4</v>
      </c>
      <c r="AB20" s="28">
        <v>3.566065080144825</v>
      </c>
      <c r="AC20" s="28">
        <v>6.1644202880710797</v>
      </c>
      <c r="AD20" s="28">
        <v>1.6426339999999999</v>
      </c>
      <c r="AE20" s="28">
        <v>0.49660288496814692</v>
      </c>
      <c r="AF20" s="29">
        <v>0.3550808755615506</v>
      </c>
    </row>
    <row r="21" spans="1:32" x14ac:dyDescent="0.3">
      <c r="A21" s="5">
        <v>35</v>
      </c>
      <c r="B21" t="s">
        <v>136</v>
      </c>
      <c r="C21">
        <v>1066.8020373000179</v>
      </c>
      <c r="D21">
        <v>17.780033955000299</v>
      </c>
      <c r="E21" t="s">
        <v>137</v>
      </c>
      <c r="G21" t="s">
        <v>34</v>
      </c>
      <c r="H21" t="s">
        <v>138</v>
      </c>
      <c r="J21" t="s">
        <v>36</v>
      </c>
      <c r="K21">
        <v>2.0386779345943549E-2</v>
      </c>
      <c r="L21">
        <v>0</v>
      </c>
      <c r="M21">
        <v>2.0386779345943549E-2</v>
      </c>
      <c r="N21" t="s">
        <v>17</v>
      </c>
      <c r="O21">
        <v>238</v>
      </c>
      <c r="P21" s="11">
        <v>9.7799410588132412E-5</v>
      </c>
      <c r="Q21">
        <v>1E-4</v>
      </c>
      <c r="R21">
        <v>2000</v>
      </c>
      <c r="S21" s="28">
        <v>0.1146204907562238</v>
      </c>
      <c r="T21" s="28">
        <v>1.2822339503207389</v>
      </c>
      <c r="U21" s="28">
        <v>3.3997732462060068</v>
      </c>
      <c r="V21" s="28">
        <v>9.6469999999999993E-3</v>
      </c>
      <c r="W21" s="28">
        <v>8.5518540000000005</v>
      </c>
      <c r="X21" s="28">
        <v>7.1656500000000003</v>
      </c>
      <c r="Y21" s="28">
        <v>44.150669999999998</v>
      </c>
      <c r="Z21" s="28">
        <v>42.528283999999999</v>
      </c>
      <c r="AA21" s="28">
        <v>1E-4</v>
      </c>
      <c r="AB21" s="28">
        <v>2.1198737333854409</v>
      </c>
      <c r="AC21" s="28">
        <v>5.6678882673044573</v>
      </c>
      <c r="AD21" s="28">
        <v>1.6426339999999999</v>
      </c>
      <c r="AE21" s="28">
        <v>0.28948593086548219</v>
      </c>
      <c r="AF21" s="29">
        <v>0.50893350559284523</v>
      </c>
    </row>
    <row r="22" spans="1:32" x14ac:dyDescent="0.3">
      <c r="A22" s="5">
        <v>37</v>
      </c>
      <c r="B22" t="s">
        <v>142</v>
      </c>
      <c r="C22">
        <v>2741.5197531999729</v>
      </c>
      <c r="D22">
        <v>45.691995886666213</v>
      </c>
      <c r="E22" t="s">
        <v>143</v>
      </c>
      <c r="G22" t="s">
        <v>34</v>
      </c>
      <c r="H22" t="s">
        <v>144</v>
      </c>
      <c r="J22" t="s">
        <v>36</v>
      </c>
      <c r="K22">
        <v>3.6462153739501069E-2</v>
      </c>
      <c r="L22">
        <v>0</v>
      </c>
      <c r="M22">
        <v>3.6462153739501069E-2</v>
      </c>
      <c r="N22" t="s">
        <v>17</v>
      </c>
      <c r="O22">
        <v>473</v>
      </c>
      <c r="P22" s="11">
        <v>8.4768421213510278E-5</v>
      </c>
      <c r="Q22">
        <v>1E-4</v>
      </c>
      <c r="R22">
        <v>2000</v>
      </c>
      <c r="S22">
        <v>0.1004392902415865</v>
      </c>
      <c r="T22">
        <v>4.3800332930190624</v>
      </c>
      <c r="U22">
        <v>0.63567516180043038</v>
      </c>
      <c r="V22">
        <v>9.6469999999999993E-3</v>
      </c>
      <c r="W22">
        <v>8.5518540000000005</v>
      </c>
      <c r="X22">
        <v>7.1656500000000003</v>
      </c>
      <c r="Y22">
        <v>44.150669999999998</v>
      </c>
      <c r="Z22">
        <v>42.528283999999999</v>
      </c>
      <c r="AA22">
        <v>1E-4</v>
      </c>
      <c r="AB22">
        <v>2.9512050224277568</v>
      </c>
      <c r="AC22">
        <v>9.9091926377554085</v>
      </c>
      <c r="AD22">
        <v>1.6426339999999999</v>
      </c>
      <c r="AE22">
        <v>0.60218660480016539</v>
      </c>
      <c r="AF22" s="6">
        <v>0.14604862905263499</v>
      </c>
    </row>
    <row r="23" spans="1:32" x14ac:dyDescent="0.3">
      <c r="A23" s="5">
        <v>38</v>
      </c>
      <c r="B23" t="s">
        <v>145</v>
      </c>
      <c r="C23">
        <v>7975.0046935999999</v>
      </c>
      <c r="D23">
        <v>132.91674489333329</v>
      </c>
      <c r="E23" t="s">
        <v>146</v>
      </c>
      <c r="G23" t="s">
        <v>34</v>
      </c>
      <c r="H23" t="s">
        <v>147</v>
      </c>
      <c r="J23" t="s">
        <v>36</v>
      </c>
      <c r="K23">
        <v>3.260815693577121E-2</v>
      </c>
      <c r="L23">
        <v>0</v>
      </c>
      <c r="M23">
        <v>3.260815693577121E-2</v>
      </c>
      <c r="N23" t="s">
        <v>17</v>
      </c>
      <c r="O23">
        <v>384</v>
      </c>
      <c r="P23" s="11">
        <v>8.300816004010434E-5</v>
      </c>
      <c r="Q23">
        <v>1E-4</v>
      </c>
      <c r="R23">
        <v>2000</v>
      </c>
      <c r="S23" s="28">
        <v>0.17452147863439391</v>
      </c>
      <c r="T23" s="28">
        <v>2.6757654567366602</v>
      </c>
      <c r="U23" s="28">
        <v>0.81752363490333246</v>
      </c>
      <c r="V23" s="28">
        <v>9.6469999999999993E-3</v>
      </c>
      <c r="W23" s="28">
        <v>8.5518540000000005</v>
      </c>
      <c r="X23" s="28">
        <v>7.1656500000000003</v>
      </c>
      <c r="Y23" s="28">
        <v>44.150669999999998</v>
      </c>
      <c r="Z23" s="28">
        <v>42.528283999999999</v>
      </c>
      <c r="AA23" s="28">
        <v>1E-4</v>
      </c>
      <c r="AB23" s="28">
        <v>4.6126561510747308</v>
      </c>
      <c r="AC23" s="28">
        <v>9.9983768878087265</v>
      </c>
      <c r="AD23" s="28">
        <v>1.6426339999999999</v>
      </c>
      <c r="AE23" s="28">
        <v>0.59436989934675821</v>
      </c>
      <c r="AF23" s="29">
        <v>0.25578825498710922</v>
      </c>
    </row>
    <row r="24" spans="1:32" x14ac:dyDescent="0.3">
      <c r="A24" s="5">
        <v>39</v>
      </c>
      <c r="B24" t="s">
        <v>148</v>
      </c>
      <c r="C24">
        <v>2399.7903314</v>
      </c>
      <c r="D24">
        <v>39.996505523333333</v>
      </c>
      <c r="E24" t="s">
        <v>149</v>
      </c>
      <c r="G24" t="s">
        <v>34</v>
      </c>
      <c r="H24" t="s">
        <v>150</v>
      </c>
      <c r="J24" t="s">
        <v>36</v>
      </c>
      <c r="K24">
        <v>3.9624340522111133E-2</v>
      </c>
      <c r="L24">
        <v>0</v>
      </c>
      <c r="M24">
        <v>3.9624340522111133E-2</v>
      </c>
      <c r="N24" t="s">
        <v>17</v>
      </c>
      <c r="O24">
        <v>329</v>
      </c>
      <c r="P24" s="11">
        <v>6.4767194554348203E-5</v>
      </c>
      <c r="Q24">
        <v>1E-4</v>
      </c>
      <c r="R24">
        <v>2000</v>
      </c>
      <c r="S24" s="28">
        <v>0.10965967707491669</v>
      </c>
      <c r="T24" s="28">
        <v>2.955778978407098</v>
      </c>
      <c r="U24" s="28">
        <v>2.1872378522803202</v>
      </c>
      <c r="V24" s="28">
        <v>9.6469999999999993E-3</v>
      </c>
      <c r="W24" s="28">
        <v>8.5518540000000005</v>
      </c>
      <c r="X24" s="28">
        <v>7.1656500000000003</v>
      </c>
      <c r="Y24" s="28">
        <v>44.150669999999998</v>
      </c>
      <c r="Z24" s="28">
        <v>42.528283999999999</v>
      </c>
      <c r="AA24" s="28">
        <v>1E-4</v>
      </c>
      <c r="AB24" s="28">
        <v>2.655314943580394</v>
      </c>
      <c r="AC24" s="28">
        <v>9.000361131175044</v>
      </c>
      <c r="AD24" s="28">
        <v>1.6426339999999999</v>
      </c>
      <c r="AE24" s="28">
        <v>0.39369906643429131</v>
      </c>
      <c r="AF24" s="29">
        <v>0.47154905671617331</v>
      </c>
    </row>
    <row r="25" spans="1:32" x14ac:dyDescent="0.3">
      <c r="A25" s="5">
        <v>41</v>
      </c>
      <c r="B25" t="s">
        <v>154</v>
      </c>
      <c r="C25">
        <v>801.18145249999361</v>
      </c>
      <c r="D25">
        <v>13.353024208333229</v>
      </c>
      <c r="E25" t="s">
        <v>155</v>
      </c>
      <c r="G25" t="s">
        <v>34</v>
      </c>
      <c r="H25" t="s">
        <v>156</v>
      </c>
      <c r="J25" t="s">
        <v>36</v>
      </c>
      <c r="K25">
        <v>2.8191474311919811E-2</v>
      </c>
      <c r="L25">
        <v>0</v>
      </c>
      <c r="M25">
        <v>2.8191474311919811E-2</v>
      </c>
      <c r="N25" t="s">
        <v>17</v>
      </c>
      <c r="O25">
        <v>121</v>
      </c>
      <c r="P25" s="11">
        <v>9.4974927254155758E-5</v>
      </c>
      <c r="Q25">
        <v>1E-4</v>
      </c>
      <c r="R25">
        <v>2000</v>
      </c>
      <c r="S25">
        <v>0.1100526452209012</v>
      </c>
      <c r="T25">
        <v>4.4252058770277394</v>
      </c>
      <c r="U25">
        <v>0.28387301061526288</v>
      </c>
      <c r="V25">
        <v>9.6469999999999993E-3</v>
      </c>
      <c r="W25">
        <v>8.5518540000000005</v>
      </c>
      <c r="X25">
        <v>7.1656500000000003</v>
      </c>
      <c r="Y25">
        <v>44.150669999999998</v>
      </c>
      <c r="Z25">
        <v>42.528283999999999</v>
      </c>
      <c r="AA25">
        <v>1E-4</v>
      </c>
      <c r="AB25">
        <v>3.181449095176371</v>
      </c>
      <c r="AC25">
        <v>6.3954667337460576</v>
      </c>
      <c r="AD25">
        <v>1.6426339999999999</v>
      </c>
      <c r="AE25">
        <v>0.5828094220948038</v>
      </c>
      <c r="AF25" s="6">
        <v>0.1000003012946015</v>
      </c>
    </row>
    <row r="26" spans="1:32" x14ac:dyDescent="0.3">
      <c r="A26" s="5">
        <v>42</v>
      </c>
      <c r="B26" t="s">
        <v>157</v>
      </c>
      <c r="C26">
        <v>5815.0278800000087</v>
      </c>
      <c r="D26">
        <v>96.917131333333472</v>
      </c>
      <c r="E26" t="s">
        <v>158</v>
      </c>
      <c r="G26" t="s">
        <v>34</v>
      </c>
      <c r="H26" t="s">
        <v>159</v>
      </c>
      <c r="J26" t="s">
        <v>36</v>
      </c>
      <c r="K26">
        <v>1.9750574773232939E-2</v>
      </c>
      <c r="L26">
        <v>0</v>
      </c>
      <c r="M26">
        <v>1.9750574773232939E-2</v>
      </c>
      <c r="N26" t="s">
        <v>17</v>
      </c>
      <c r="O26">
        <v>598</v>
      </c>
      <c r="P26" s="11">
        <v>9.9638696878770399E-5</v>
      </c>
      <c r="Q26">
        <v>1E-4</v>
      </c>
      <c r="R26">
        <v>2000</v>
      </c>
      <c r="S26">
        <v>0.12605952622185199</v>
      </c>
      <c r="T26">
        <v>0.80898060182916187</v>
      </c>
      <c r="U26">
        <v>1.6505552513407891</v>
      </c>
      <c r="V26">
        <v>9.6469999999999993E-3</v>
      </c>
      <c r="W26">
        <v>8.5518540000000005</v>
      </c>
      <c r="X26">
        <v>7.1656500000000003</v>
      </c>
      <c r="Y26">
        <v>44.150669999999998</v>
      </c>
      <c r="Z26">
        <v>42.528283999999999</v>
      </c>
      <c r="AA26">
        <v>1E-4</v>
      </c>
      <c r="AB26">
        <v>6.3464584858163198</v>
      </c>
      <c r="AC26">
        <v>7.2077376194969194</v>
      </c>
      <c r="AD26">
        <v>1.6426339999999999</v>
      </c>
      <c r="AE26">
        <v>0.60668647705468071</v>
      </c>
      <c r="AF26" s="6">
        <v>0.25304596166561011</v>
      </c>
    </row>
    <row r="27" spans="1:32" x14ac:dyDescent="0.3">
      <c r="A27" s="5">
        <v>43</v>
      </c>
      <c r="B27" t="s">
        <v>160</v>
      </c>
      <c r="C27">
        <v>8238.3212055999902</v>
      </c>
      <c r="D27">
        <v>137.3053534266665</v>
      </c>
      <c r="E27" t="s">
        <v>161</v>
      </c>
      <c r="G27" t="s">
        <v>34</v>
      </c>
      <c r="H27" t="s">
        <v>162</v>
      </c>
      <c r="J27" t="s">
        <v>36</v>
      </c>
      <c r="K27">
        <v>1.7189471988636629E-2</v>
      </c>
      <c r="L27">
        <v>0</v>
      </c>
      <c r="M27">
        <v>1.7189471988636629E-2</v>
      </c>
      <c r="N27" t="s">
        <v>17</v>
      </c>
      <c r="O27">
        <v>841</v>
      </c>
      <c r="P27" s="11">
        <v>9.3389779026669382E-5</v>
      </c>
      <c r="Q27">
        <v>1E-4</v>
      </c>
      <c r="R27">
        <v>2000</v>
      </c>
      <c r="S27" s="28">
        <v>7.8883809403219776E-2</v>
      </c>
      <c r="T27" s="28">
        <v>1.989834202392571</v>
      </c>
      <c r="U27" s="28">
        <v>3.1129349638889261</v>
      </c>
      <c r="V27" s="28">
        <v>9.6469999999999993E-3</v>
      </c>
      <c r="W27" s="28">
        <v>8.5518540000000005</v>
      </c>
      <c r="X27" s="28">
        <v>7.1656500000000003</v>
      </c>
      <c r="Y27" s="28">
        <v>44.150669999999998</v>
      </c>
      <c r="Z27" s="28">
        <v>42.528283999999999</v>
      </c>
      <c r="AA27" s="28">
        <v>1E-4</v>
      </c>
      <c r="AB27" s="28">
        <v>2.461554532498798</v>
      </c>
      <c r="AC27" s="28">
        <v>5.9148049494740906</v>
      </c>
      <c r="AD27" s="28">
        <v>1.6426339999999999</v>
      </c>
      <c r="AE27" s="28">
        <v>0.31198441176541619</v>
      </c>
      <c r="AF27" s="29">
        <v>0.52920428717387114</v>
      </c>
    </row>
    <row r="28" spans="1:32" x14ac:dyDescent="0.3">
      <c r="A28" s="5">
        <v>46</v>
      </c>
      <c r="B28" t="s">
        <v>169</v>
      </c>
      <c r="C28">
        <v>7619.5466100000194</v>
      </c>
      <c r="D28">
        <v>126.99244350000031</v>
      </c>
      <c r="E28" t="s">
        <v>170</v>
      </c>
      <c r="G28" t="s">
        <v>34</v>
      </c>
      <c r="H28" t="s">
        <v>171</v>
      </c>
      <c r="J28" t="s">
        <v>36</v>
      </c>
      <c r="K28">
        <v>6.5581507067984292E-3</v>
      </c>
      <c r="L28">
        <v>0</v>
      </c>
      <c r="M28">
        <v>6.5581507067984292E-3</v>
      </c>
      <c r="N28" t="s">
        <v>17</v>
      </c>
      <c r="O28">
        <v>792</v>
      </c>
      <c r="P28" s="11">
        <v>9.6617142006042938E-5</v>
      </c>
      <c r="Q28">
        <v>1E-4</v>
      </c>
      <c r="R28">
        <v>2000</v>
      </c>
      <c r="S28">
        <v>0.1041206127356531</v>
      </c>
      <c r="T28">
        <v>0.69987284158389507</v>
      </c>
      <c r="U28">
        <v>5.2848496376444292</v>
      </c>
      <c r="V28">
        <v>9.6469999999999993E-3</v>
      </c>
      <c r="W28">
        <v>8.5518540000000005</v>
      </c>
      <c r="X28">
        <v>7.1656500000000003</v>
      </c>
      <c r="Y28">
        <v>44.150669999999998</v>
      </c>
      <c r="Z28">
        <v>42.528283999999999</v>
      </c>
      <c r="AA28">
        <v>1E-4</v>
      </c>
      <c r="AB28">
        <v>4.5556791886315926</v>
      </c>
      <c r="AC28">
        <v>9.5958568691340425</v>
      </c>
      <c r="AD28">
        <v>1.6426339999999999</v>
      </c>
      <c r="AE28">
        <v>0.48521752171947308</v>
      </c>
      <c r="AF28" s="6">
        <v>0.42199546060608167</v>
      </c>
    </row>
    <row r="29" spans="1:32" x14ac:dyDescent="0.3">
      <c r="A29" s="5">
        <v>47</v>
      </c>
      <c r="B29" t="s">
        <v>172</v>
      </c>
      <c r="C29">
        <v>11826.519732199989</v>
      </c>
      <c r="D29">
        <v>197.1086622033331</v>
      </c>
      <c r="E29" t="s">
        <v>173</v>
      </c>
      <c r="G29" t="s">
        <v>34</v>
      </c>
      <c r="H29" t="s">
        <v>174</v>
      </c>
      <c r="J29" t="s">
        <v>36</v>
      </c>
      <c r="K29">
        <v>1.4965088059449979E-2</v>
      </c>
      <c r="L29">
        <v>0</v>
      </c>
      <c r="M29">
        <v>1.4965088059449979E-2</v>
      </c>
      <c r="N29" t="s">
        <v>17</v>
      </c>
      <c r="O29">
        <v>1095</v>
      </c>
      <c r="P29" s="11">
        <v>5.2661424167271222E-5</v>
      </c>
      <c r="Q29">
        <v>1E-4</v>
      </c>
      <c r="R29">
        <v>2000</v>
      </c>
      <c r="S29">
        <v>0.1532570313800844</v>
      </c>
      <c r="T29">
        <v>4.2858153856020049</v>
      </c>
      <c r="U29">
        <v>2.536698845023122</v>
      </c>
      <c r="V29">
        <v>9.6469999999999993E-3</v>
      </c>
      <c r="W29">
        <v>8.5518540000000005</v>
      </c>
      <c r="X29">
        <v>7.1656500000000003</v>
      </c>
      <c r="Y29">
        <v>44.150669999999998</v>
      </c>
      <c r="Z29">
        <v>42.528283999999999</v>
      </c>
      <c r="AA29">
        <v>1E-4</v>
      </c>
      <c r="AB29">
        <v>1.7310537172207709</v>
      </c>
      <c r="AC29">
        <v>5.6974743605757574</v>
      </c>
      <c r="AD29">
        <v>1.6426339999999999</v>
      </c>
      <c r="AE29">
        <v>0.65340654941529219</v>
      </c>
      <c r="AF29" s="6">
        <v>0.22357163673787189</v>
      </c>
    </row>
    <row r="30" spans="1:32" x14ac:dyDescent="0.3">
      <c r="A30" s="5">
        <v>48</v>
      </c>
      <c r="B30" t="s">
        <v>175</v>
      </c>
      <c r="C30">
        <v>20699.013515099999</v>
      </c>
      <c r="D30">
        <v>344.98355858500003</v>
      </c>
      <c r="E30" t="s">
        <v>176</v>
      </c>
      <c r="G30" t="s">
        <v>34</v>
      </c>
      <c r="H30" t="s">
        <v>177</v>
      </c>
      <c r="J30" t="s">
        <v>36</v>
      </c>
      <c r="K30">
        <v>3.1852124648471078E-2</v>
      </c>
      <c r="L30">
        <v>0</v>
      </c>
      <c r="M30">
        <v>3.1852124648471078E-2</v>
      </c>
      <c r="N30" t="s">
        <v>17</v>
      </c>
      <c r="O30">
        <v>2001</v>
      </c>
      <c r="P30" s="11">
        <v>5.7801786159527798E-4</v>
      </c>
      <c r="Q30">
        <v>1E-4</v>
      </c>
      <c r="R30">
        <v>2000</v>
      </c>
      <c r="S30">
        <v>0.25132863463943572</v>
      </c>
      <c r="T30">
        <v>1.865459686429324</v>
      </c>
      <c r="U30">
        <v>2.1127642458299349</v>
      </c>
      <c r="V30">
        <v>9.6469999999999993E-3</v>
      </c>
      <c r="W30">
        <v>8.5518540000000005</v>
      </c>
      <c r="X30">
        <v>7.1656500000000003</v>
      </c>
      <c r="Y30">
        <v>44.150669999999998</v>
      </c>
      <c r="Z30">
        <v>42.528283999999999</v>
      </c>
      <c r="AA30">
        <v>1E-4</v>
      </c>
      <c r="AB30">
        <v>3.8341718214547158</v>
      </c>
      <c r="AC30">
        <v>9.9996869851837449</v>
      </c>
      <c r="AD30">
        <v>1.6426339999999999</v>
      </c>
      <c r="AE30">
        <v>0.67902187981733841</v>
      </c>
      <c r="AF30" s="6">
        <v>0.22568589986582061</v>
      </c>
    </row>
    <row r="31" spans="1:32" x14ac:dyDescent="0.3">
      <c r="A31" s="7">
        <v>50</v>
      </c>
      <c r="B31" s="8" t="s">
        <v>181</v>
      </c>
      <c r="C31" s="8">
        <v>23030.39911909998</v>
      </c>
      <c r="D31" s="8">
        <v>383.83998531833299</v>
      </c>
      <c r="E31" s="8" t="s">
        <v>182</v>
      </c>
      <c r="F31" s="8"/>
      <c r="G31" s="8" t="s">
        <v>34</v>
      </c>
      <c r="H31" s="8" t="s">
        <v>183</v>
      </c>
      <c r="I31" s="8"/>
      <c r="J31" s="8" t="s">
        <v>36</v>
      </c>
      <c r="K31" s="8">
        <v>2.795408067721538E-2</v>
      </c>
      <c r="L31" s="8">
        <v>0</v>
      </c>
      <c r="M31" s="8">
        <v>2.795408067721538E-2</v>
      </c>
      <c r="N31" s="8" t="s">
        <v>17</v>
      </c>
      <c r="O31" s="8">
        <v>1080</v>
      </c>
      <c r="P31" s="12">
        <v>2.8808391582529199E-5</v>
      </c>
      <c r="Q31" s="8">
        <v>1E-4</v>
      </c>
      <c r="R31" s="8">
        <v>2000</v>
      </c>
      <c r="S31" s="31">
        <v>0.18926287318219631</v>
      </c>
      <c r="T31" s="31">
        <v>2.1183458303736882</v>
      </c>
      <c r="U31" s="31">
        <v>0.7208950141080489</v>
      </c>
      <c r="V31" s="31">
        <v>9.6469999999999993E-3</v>
      </c>
      <c r="W31" s="31">
        <v>8.5518540000000005</v>
      </c>
      <c r="X31" s="31">
        <v>7.1656500000000003</v>
      </c>
      <c r="Y31" s="31">
        <v>44.150669999999998</v>
      </c>
      <c r="Z31" s="31">
        <v>42.528283999999999</v>
      </c>
      <c r="AA31" s="31">
        <v>1E-4</v>
      </c>
      <c r="AB31" s="31">
        <v>4.8733462729098376</v>
      </c>
      <c r="AC31" s="31">
        <v>9.9971870927159774</v>
      </c>
      <c r="AD31" s="31">
        <v>1.6426339999999999</v>
      </c>
      <c r="AE31" s="31">
        <v>0.54004090963627938</v>
      </c>
      <c r="AF31" s="32">
        <v>0.2783457776910146</v>
      </c>
    </row>
    <row r="32" spans="1:32" x14ac:dyDescent="0.3">
      <c r="A32">
        <f>COUNT(A2:A31)</f>
        <v>30</v>
      </c>
    </row>
    <row r="33" spans="18:32" x14ac:dyDescent="0.3">
      <c r="R33" t="s">
        <v>215</v>
      </c>
      <c r="S33">
        <f>AVERAGE(S2:S31)</f>
        <v>0.1782253921094972</v>
      </c>
      <c r="T33">
        <f>AVERAGE(T2:T31)</f>
        <v>2.4324171485073083</v>
      </c>
      <c r="U33">
        <f>AVERAGE(U2:U31)</f>
        <v>1.9347582231987264</v>
      </c>
      <c r="AB33">
        <f>AVERAGE(AB2:AB31)</f>
        <v>3.4478387147836802</v>
      </c>
      <c r="AC33">
        <f>AVERAGE(AC2:AC31)</f>
        <v>8.3160463777766349</v>
      </c>
      <c r="AE33">
        <f>AVERAGE(AE2:AE31)</f>
        <v>0.46993199442505751</v>
      </c>
      <c r="AF33">
        <f>AVERAGE(AF2:AF31)</f>
        <v>0.38632359341372652</v>
      </c>
    </row>
    <row r="34" spans="18:32" x14ac:dyDescent="0.3">
      <c r="R34" t="s">
        <v>216</v>
      </c>
      <c r="S34">
        <f>STDEVA(S2:S31)</f>
        <v>8.9016373395749318E-2</v>
      </c>
      <c r="T34">
        <f>STDEVA(T2:T31)</f>
        <v>1.199871206059504</v>
      </c>
      <c r="U34">
        <f>STDEVA(U2:U31)</f>
        <v>1.1205569136712312</v>
      </c>
      <c r="AB34">
        <f>STDEVA(AB2:AB31)</f>
        <v>1.3556534346306779</v>
      </c>
      <c r="AC34">
        <f>STDEVA(AC2:AC31)</f>
        <v>1.7651522529556498</v>
      </c>
      <c r="AE34">
        <f>STDEVA(AE2:AE31)</f>
        <v>0.13063930504169899</v>
      </c>
      <c r="AF34">
        <f>STDEVA(AF2:AF31)</f>
        <v>0.16395862452892487</v>
      </c>
    </row>
    <row r="35" spans="18:32" x14ac:dyDescent="0.3">
      <c r="R35" t="s">
        <v>217</v>
      </c>
      <c r="S35">
        <f>MEDIAN(S2:S31)</f>
        <v>0.16388925500723917</v>
      </c>
      <c r="T35">
        <f>MEDIAN(T2:T31)</f>
        <v>1.9944829105286406</v>
      </c>
      <c r="U35">
        <f>MEDIAN(U2:U31)</f>
        <v>1.5933180392741519</v>
      </c>
      <c r="AB35">
        <f>MEDIAN(AB2:AB31)</f>
        <v>3.1222262219014909</v>
      </c>
      <c r="AC35">
        <f>MEDIAN(AC2:AC31)</f>
        <v>9.2290163226988575</v>
      </c>
      <c r="AE35">
        <f>MEDIAN(AE2:AE31)</f>
        <v>0.49091020334380997</v>
      </c>
      <c r="AF35">
        <f>MEDIAN(AF2:AF31)</f>
        <v>0.36264475392369344</v>
      </c>
    </row>
  </sheetData>
  <conditionalFormatting sqref="P2:P31">
    <cfRule type="cellIs" dxfId="8" priority="1" operator="greaterThan">
      <formula>0.0001</formula>
    </cfRule>
  </conditionalFormatting>
  <conditionalFormatting sqref="M2:M31">
    <cfRule type="top10" dxfId="7" priority="319" percent="1" rank="15"/>
  </conditionalFormatting>
  <conditionalFormatting sqref="S2:S31">
    <cfRule type="top10" dxfId="6" priority="321" percent="1" rank="10"/>
  </conditionalFormatting>
  <conditionalFormatting sqref="T2:T31">
    <cfRule type="top10" dxfId="5" priority="323" percent="1" rank="10"/>
  </conditionalFormatting>
  <conditionalFormatting sqref="U2:U31">
    <cfRule type="top10" dxfId="4" priority="325" percent="1" rank="10"/>
  </conditionalFormatting>
  <conditionalFormatting sqref="AB2:AB31">
    <cfRule type="top10" dxfId="3" priority="327" percent="1" rank="10"/>
  </conditionalFormatting>
  <conditionalFormatting sqref="AC2:AC31">
    <cfRule type="top10" dxfId="2" priority="329" percent="1" bottom="1" rank="10"/>
  </conditionalFormatting>
  <conditionalFormatting sqref="AE2:AE31">
    <cfRule type="top10" dxfId="1" priority="331" percent="1" rank="10"/>
  </conditionalFormatting>
  <conditionalFormatting sqref="AF2:AF31">
    <cfRule type="top10" dxfId="0" priority="333" percent="1" rank="10"/>
  </conditionalFormatting>
  <pageMargins left="0.75" right="0.75" top="1" bottom="1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F8B0-92C8-4CAD-B2B8-076BC7EBBD65}">
  <dimension ref="A1:N14"/>
  <sheetViews>
    <sheetView zoomScaleNormal="100" zoomScaleSheetLayoutView="90" workbookViewId="0">
      <selection activeCell="G20" sqref="G20"/>
    </sheetView>
  </sheetViews>
  <sheetFormatPr baseColWidth="10" defaultRowHeight="14.4" x14ac:dyDescent="0.3"/>
  <cols>
    <col min="1" max="1" width="5.21875" customWidth="1"/>
    <col min="2" max="2" width="7.77734375" customWidth="1"/>
    <col min="3" max="3" width="13" bestFit="1" customWidth="1"/>
    <col min="7" max="7" width="11.77734375" customWidth="1"/>
    <col min="10" max="10" width="19.5546875" bestFit="1" customWidth="1"/>
  </cols>
  <sheetData>
    <row r="1" spans="1:14" x14ac:dyDescent="0.3">
      <c r="C1" s="97" t="s">
        <v>196</v>
      </c>
      <c r="D1" s="99"/>
      <c r="E1" s="97" t="s">
        <v>211</v>
      </c>
      <c r="F1" s="109"/>
      <c r="G1" s="97" t="s">
        <v>209</v>
      </c>
      <c r="H1" s="98"/>
      <c r="I1" s="99"/>
      <c r="N1" t="s">
        <v>201</v>
      </c>
    </row>
    <row r="2" spans="1:14" ht="15" thickBot="1" x14ac:dyDescent="0.35">
      <c r="C2" s="49" t="s">
        <v>213</v>
      </c>
      <c r="D2" s="50" t="s">
        <v>212</v>
      </c>
      <c r="E2" s="49" t="s">
        <v>202</v>
      </c>
      <c r="F2" s="51" t="s">
        <v>203</v>
      </c>
      <c r="G2" s="52" t="s">
        <v>207</v>
      </c>
      <c r="H2" s="53" t="s">
        <v>208</v>
      </c>
      <c r="I2" s="54" t="s">
        <v>210</v>
      </c>
      <c r="J2" s="34" t="s">
        <v>214</v>
      </c>
      <c r="L2" s="47">
        <v>35</v>
      </c>
      <c r="M2" t="s">
        <v>197</v>
      </c>
      <c r="N2">
        <v>77.350999999999999</v>
      </c>
    </row>
    <row r="3" spans="1:14" x14ac:dyDescent="0.3">
      <c r="A3" s="100" t="s">
        <v>204</v>
      </c>
      <c r="B3" s="38" t="s">
        <v>197</v>
      </c>
      <c r="C3" s="55">
        <v>23.599699999999999</v>
      </c>
      <c r="D3" s="56">
        <f>C3/N2</f>
        <v>0.30509883517989422</v>
      </c>
      <c r="E3" s="55">
        <v>26.589300000000001</v>
      </c>
      <c r="F3" s="56">
        <v>0.11849999999999999</v>
      </c>
      <c r="G3" s="55">
        <v>1.266835E-2</v>
      </c>
      <c r="H3" s="57">
        <v>9.3084520000000004E-2</v>
      </c>
      <c r="I3" s="58">
        <f t="shared" ref="I3:I14" si="0">SUM(G3:H3)</f>
        <v>0.10575287</v>
      </c>
      <c r="J3" s="48">
        <f>H3/I3</f>
        <v>0.8802079792255284</v>
      </c>
      <c r="L3" s="47">
        <v>40</v>
      </c>
      <c r="M3" t="s">
        <v>198</v>
      </c>
      <c r="N3">
        <v>88.402000000000001</v>
      </c>
    </row>
    <row r="4" spans="1:14" x14ac:dyDescent="0.3">
      <c r="A4" s="101"/>
      <c r="B4" s="39" t="s">
        <v>198</v>
      </c>
      <c r="C4" s="59">
        <v>9.2001000000000008</v>
      </c>
      <c r="D4" s="60">
        <f>C4/N3</f>
        <v>0.10407117486029728</v>
      </c>
      <c r="E4" s="59">
        <v>23.008500000000002</v>
      </c>
      <c r="F4" s="60">
        <v>0.10920000000000001</v>
      </c>
      <c r="G4" s="59">
        <v>9.2225899999999993E-3</v>
      </c>
      <c r="H4" s="61">
        <v>1.0830920000000001E-2</v>
      </c>
      <c r="I4" s="62">
        <f t="shared" si="0"/>
        <v>2.005351E-2</v>
      </c>
      <c r="J4" s="48">
        <f t="shared" ref="J4:J14" si="1">H4/I4</f>
        <v>0.54010095988183615</v>
      </c>
      <c r="L4" s="47">
        <v>50</v>
      </c>
      <c r="M4" t="s">
        <v>199</v>
      </c>
      <c r="N4">
        <v>86.034000000000006</v>
      </c>
    </row>
    <row r="5" spans="1:14" x14ac:dyDescent="0.3">
      <c r="A5" s="101"/>
      <c r="B5" s="39" t="s">
        <v>199</v>
      </c>
      <c r="C5" s="59">
        <v>6.8948</v>
      </c>
      <c r="D5" s="60">
        <f>C5/N4</f>
        <v>8.0140409605504795E-2</v>
      </c>
      <c r="E5" s="59">
        <v>14.5024</v>
      </c>
      <c r="F5" s="60">
        <v>7.4800000000000005E-2</v>
      </c>
      <c r="G5" s="63">
        <v>4.1143999999999998E-3</v>
      </c>
      <c r="H5" s="61">
        <v>6.42255E-3</v>
      </c>
      <c r="I5" s="64">
        <f t="shared" si="0"/>
        <v>1.053695E-2</v>
      </c>
      <c r="J5" s="48">
        <f t="shared" si="1"/>
        <v>0.60952647587774456</v>
      </c>
      <c r="M5" t="s">
        <v>200</v>
      </c>
      <c r="N5">
        <v>80.509</v>
      </c>
    </row>
    <row r="6" spans="1:14" ht="15" thickBot="1" x14ac:dyDescent="0.35">
      <c r="A6" s="102"/>
      <c r="B6" s="40" t="s">
        <v>200</v>
      </c>
      <c r="C6" s="65">
        <v>11.1477</v>
      </c>
      <c r="D6" s="66">
        <f>C6/N5</f>
        <v>0.13846526475300899</v>
      </c>
      <c r="E6" s="65">
        <v>29.960699999999999</v>
      </c>
      <c r="F6" s="66">
        <v>0.1163</v>
      </c>
      <c r="G6" s="65">
        <v>1.2640469999999999E-2</v>
      </c>
      <c r="H6" s="67">
        <v>1.9172890000000001E-2</v>
      </c>
      <c r="I6" s="68">
        <f t="shared" si="0"/>
        <v>3.1813359999999999E-2</v>
      </c>
      <c r="J6" s="48">
        <f t="shared" si="1"/>
        <v>0.60266787286850565</v>
      </c>
    </row>
    <row r="7" spans="1:14" x14ac:dyDescent="0.3">
      <c r="A7" s="103" t="s">
        <v>205</v>
      </c>
      <c r="B7" s="41" t="s">
        <v>197</v>
      </c>
      <c r="C7" s="69">
        <v>17.949300000000001</v>
      </c>
      <c r="D7" s="70">
        <f>C7/N2</f>
        <v>0.23205000581763649</v>
      </c>
      <c r="E7" s="69">
        <v>24.0242</v>
      </c>
      <c r="F7" s="70">
        <v>0.107</v>
      </c>
      <c r="G7" s="69">
        <v>1.0341909999999999E-2</v>
      </c>
      <c r="H7" s="71">
        <v>5.3846680000000001E-2</v>
      </c>
      <c r="I7" s="72">
        <f t="shared" si="0"/>
        <v>6.4188590000000004E-2</v>
      </c>
      <c r="J7" s="48">
        <f t="shared" si="1"/>
        <v>0.83888242443088401</v>
      </c>
    </row>
    <row r="8" spans="1:14" x14ac:dyDescent="0.3">
      <c r="A8" s="104"/>
      <c r="B8" s="42" t="s">
        <v>198</v>
      </c>
      <c r="C8" s="73">
        <v>3.8635000000000002</v>
      </c>
      <c r="D8" s="74">
        <f>C8/N3</f>
        <v>4.3703762358317688E-2</v>
      </c>
      <c r="E8" s="73">
        <v>18.4086</v>
      </c>
      <c r="F8" s="74">
        <v>8.7300000000000003E-2</v>
      </c>
      <c r="G8" s="73">
        <v>5.9036499999999999E-3</v>
      </c>
      <c r="H8" s="75">
        <v>1.91004E-3</v>
      </c>
      <c r="I8" s="76">
        <f t="shared" si="0"/>
        <v>7.8136899999999999E-3</v>
      </c>
      <c r="J8" s="48">
        <f t="shared" si="1"/>
        <v>0.24444788569805048</v>
      </c>
    </row>
    <row r="9" spans="1:14" x14ac:dyDescent="0.3">
      <c r="A9" s="104"/>
      <c r="B9" s="42" t="s">
        <v>199</v>
      </c>
      <c r="C9" s="73">
        <v>1.6003000000000001</v>
      </c>
      <c r="D9" s="74">
        <f>C9/N4</f>
        <v>1.8600785735871865E-2</v>
      </c>
      <c r="E9" s="73">
        <v>13.7315</v>
      </c>
      <c r="F9" s="74">
        <v>7.0800000000000002E-2</v>
      </c>
      <c r="G9" s="73">
        <v>3.6885799999999999E-3</v>
      </c>
      <c r="H9" s="75">
        <v>3.4597000000000002E-4</v>
      </c>
      <c r="I9" s="76">
        <f t="shared" si="0"/>
        <v>4.0345499999999996E-3</v>
      </c>
      <c r="J9" s="48">
        <f t="shared" si="1"/>
        <v>8.5751818666270102E-2</v>
      </c>
    </row>
    <row r="10" spans="1:14" ht="15" thickBot="1" x14ac:dyDescent="0.35">
      <c r="A10" s="105"/>
      <c r="B10" s="43" t="s">
        <v>200</v>
      </c>
      <c r="C10" s="77">
        <v>6.1050000000000004</v>
      </c>
      <c r="D10" s="78">
        <f>C10/N5</f>
        <v>7.5830031425058078E-2</v>
      </c>
      <c r="E10" s="79">
        <v>31.032</v>
      </c>
      <c r="F10" s="78">
        <v>0.1205</v>
      </c>
      <c r="G10" s="79">
        <v>1.3560590000000001E-2</v>
      </c>
      <c r="H10" s="80">
        <v>5.7503399999999996E-3</v>
      </c>
      <c r="I10" s="81">
        <f t="shared" si="0"/>
        <v>1.931093E-2</v>
      </c>
      <c r="J10" s="48">
        <f t="shared" si="1"/>
        <v>0.29777644059607689</v>
      </c>
    </row>
    <row r="11" spans="1:14" x14ac:dyDescent="0.3">
      <c r="A11" s="106" t="s">
        <v>206</v>
      </c>
      <c r="B11" s="44" t="s">
        <v>197</v>
      </c>
      <c r="C11" s="82">
        <v>17.080500000000001</v>
      </c>
      <c r="D11" s="83">
        <f>C11/N2</f>
        <v>0.22081808897105404</v>
      </c>
      <c r="E11" s="82">
        <v>20.6309</v>
      </c>
      <c r="F11" s="83">
        <v>9.1899999999999996E-2</v>
      </c>
      <c r="G11" s="82">
        <v>7.6268100000000004E-3</v>
      </c>
      <c r="H11" s="84">
        <v>4.8760100000000001E-2</v>
      </c>
      <c r="I11" s="85">
        <f t="shared" si="0"/>
        <v>5.6386909999999998E-2</v>
      </c>
      <c r="J11" s="48">
        <f t="shared" si="1"/>
        <v>0.86474147989311712</v>
      </c>
    </row>
    <row r="12" spans="1:14" x14ac:dyDescent="0.3">
      <c r="A12" s="107"/>
      <c r="B12" s="45" t="s">
        <v>198</v>
      </c>
      <c r="C12" s="86">
        <v>3.2364000000000002</v>
      </c>
      <c r="D12" s="87">
        <f>C12/N3</f>
        <v>3.6610031447252327E-2</v>
      </c>
      <c r="E12" s="88">
        <v>17.858000000000001</v>
      </c>
      <c r="F12" s="87">
        <v>8.4699999999999998E-2</v>
      </c>
      <c r="G12" s="86">
        <v>5.5557599999999999E-3</v>
      </c>
      <c r="H12" s="89">
        <v>1.3402900000000001E-3</v>
      </c>
      <c r="I12" s="90">
        <f t="shared" si="0"/>
        <v>6.8960499999999999E-3</v>
      </c>
      <c r="J12" s="48">
        <f t="shared" si="1"/>
        <v>0.1943561894127798</v>
      </c>
    </row>
    <row r="13" spans="1:14" x14ac:dyDescent="0.3">
      <c r="A13" s="107"/>
      <c r="B13" s="45" t="s">
        <v>199</v>
      </c>
      <c r="C13" s="86">
        <v>1.0676000000000001</v>
      </c>
      <c r="D13" s="87">
        <f>C13/N4</f>
        <v>1.2409047585838157E-2</v>
      </c>
      <c r="E13" s="86">
        <v>12.3903</v>
      </c>
      <c r="F13" s="87">
        <v>6.3899999999999998E-2</v>
      </c>
      <c r="G13" s="86">
        <v>3.00323E-3</v>
      </c>
      <c r="H13" s="89">
        <v>1.54E-4</v>
      </c>
      <c r="I13" s="90">
        <f t="shared" si="0"/>
        <v>3.15723E-3</v>
      </c>
      <c r="J13" s="48">
        <f t="shared" si="1"/>
        <v>4.8776934211318151E-2</v>
      </c>
    </row>
    <row r="14" spans="1:14" ht="15" thickBot="1" x14ac:dyDescent="0.35">
      <c r="A14" s="108"/>
      <c r="B14" s="46" t="s">
        <v>200</v>
      </c>
      <c r="C14" s="91">
        <v>11.8734</v>
      </c>
      <c r="D14" s="92">
        <f>C14/N5</f>
        <v>0.14747916382019402</v>
      </c>
      <c r="E14" s="91">
        <v>26.611599999999999</v>
      </c>
      <c r="F14" s="92">
        <v>0.1033</v>
      </c>
      <c r="G14" s="91">
        <v>9.9724500000000008E-3</v>
      </c>
      <c r="H14" s="93">
        <v>2.17503E-2</v>
      </c>
      <c r="I14" s="94">
        <f t="shared" si="0"/>
        <v>3.1722750000000001E-2</v>
      </c>
      <c r="J14" s="48">
        <f t="shared" si="1"/>
        <v>0.68563727923966233</v>
      </c>
    </row>
  </sheetData>
  <mergeCells count="6">
    <mergeCell ref="G1:I1"/>
    <mergeCell ref="A3:A6"/>
    <mergeCell ref="A7:A10"/>
    <mergeCell ref="A11:A14"/>
    <mergeCell ref="C1:D1"/>
    <mergeCell ref="E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resultados</vt:lpstr>
      <vt:lpstr>resultados (2)</vt:lpstr>
      <vt:lpstr>eliminación de puntos 1</vt:lpstr>
      <vt:lpstr>eliminación de puntos 2</vt:lpstr>
      <vt:lpstr>Resultados validación</vt:lpstr>
      <vt:lpstr>eliminación de puntos 3</vt:lpstr>
      <vt:lpstr>Resultados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Fernanda Folch Díaz</cp:lastModifiedBy>
  <dcterms:created xsi:type="dcterms:W3CDTF">2026-04-23T18:01:54Z</dcterms:created>
  <dcterms:modified xsi:type="dcterms:W3CDTF">2026-05-07T20:49:33Z</dcterms:modified>
</cp:coreProperties>
</file>