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414_103701\"/>
    </mc:Choice>
  </mc:AlternateContent>
  <xr:revisionPtr revIDLastSave="0" documentId="13_ncr:1_{B3C8379E-B58D-4033-87FD-1CD98FF0BE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S8" i="1"/>
  <c r="T8" i="1"/>
  <c r="U8" i="1"/>
  <c r="V8" i="1"/>
  <c r="W8" i="1"/>
  <c r="X8" i="1"/>
  <c r="Y8" i="1"/>
  <c r="Z8" i="1"/>
  <c r="AA8" i="1"/>
  <c r="AB8" i="1"/>
  <c r="AC8" i="1"/>
  <c r="AD8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Q9" i="1"/>
  <c r="Q8" i="1"/>
</calcChain>
</file>

<file path=xl/sharedStrings.xml><?xml version="1.0" encoding="utf-8"?>
<sst xmlns="http://schemas.openxmlformats.org/spreadsheetml/2006/main" count="60" uniqueCount="55">
  <si>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</si>
  <si>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</si>
  <si>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</si>
  <si>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</si>
  <si>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</si>
  <si>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</si>
  <si>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</si>
  <si>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</si>
  <si>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</si>
  <si>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</si>
  <si>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</si>
  <si>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</si>
  <si>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</si>
  <si>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</si>
  <si>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</si>
  <si>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</si>
  <si>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</si>
  <si>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</si>
  <si>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</si>
  <si>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</si>
  <si>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</si>
  <si>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</si>
  <si>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</si>
  <si>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</si>
  <si>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</si>
  <si>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</si>
  <si>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</si>
  <si>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</si>
  <si>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</si>
  <si>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</si>
  <si>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2026-04-14 15:45:16</t>
  </si>
  <si>
    <t>1,2,3,5,6,7,9,10,12,13,15,16</t>
  </si>
  <si>
    <t>4,8,11,14</t>
  </si>
  <si>
    <t>Data CS 24 EL BOLDO estanque 30.xlsx | Data CS 24 LOU estanque 54.xlsx | Data CS 25 EL BOLDO estanque 55.xlsx | Data SY 24 LOU+VAL+FN estanque 36.xlsx | Data SY 24 VAL+STARAQ estanque 56.xlsx | Data SY 24 LOU estanque 62.xlsx | Data ME 25 Q. AGUA estanque 85.xlsx | Data ME 24 QAGUA estanque 54.xlsx | Data ME 25 STA MARTA estanque 62.xlsx | Data CA 24 VAL estanque 31.xlsx | Data CA 24 VAL estanque 62.xlsx | Data CA 25 F.N. estanque 68.xlsx</t>
  </si>
  <si>
    <t>Data CS 25 LOU estanque 61.xlsx | Data SY 25 LOU estanque 30.xlsx | Data ME 25 AURORA + STA MARTA estanque 57.xlsx | Data CA 24 VAL estanque 59.xlsx</t>
  </si>
  <si>
    <t>2026-04-14 12:59:30</t>
  </si>
  <si>
    <t>1,2,4,5,6,8,9,10,11,12,14,15</t>
  </si>
  <si>
    <t>3,7,13,16</t>
  </si>
  <si>
    <t>Data CS 24 EL BOLDO estanque 30.xlsx | Data CS 24 LOU estanque 54.xlsx | Data CS 25 LOU estanque 61.xlsx | Data SY 24 LOU+VAL+FN estanque 36.xlsx | Data SY 24 VAL+STARAQ estanque 56.xlsx | Data SY 25 LOU estanque 30.xlsx | Data ME 25 Q. AGUA estanque 85.xlsx | Data ME 24 QAGUA estanque 54.xlsx | Data ME 25 AURORA + STA MARTA estanque 57.xlsx | Data ME 25 STA MARTA estanque 62.xlsx | Data CA 24 VAL estanque 59.xlsx | Data CA 24 VAL estanque 62.xlsx</t>
  </si>
  <si>
    <t>Data CS 25 EL BOLDO estanque 55.xlsx | Data SY 24 LOU estanque 62.xlsx | Data CA 24 VAL estanque 31.xlsx | Data CA 25 F.N. estanque 68.xlsx</t>
  </si>
  <si>
    <t>2026-04-14 15:51:05</t>
  </si>
  <si>
    <t>1,2,3,4,5,6,9,10,13,14,15,16</t>
  </si>
  <si>
    <t>7,8,11,12</t>
  </si>
  <si>
    <t>Data CS 24 EL BOLDO estanque 30.xlsx | Data CS 24 LOU estanque 54.xlsx | Data CS 25 EL BOLDO estanque 55.xlsx | Data CS 25 LOU estanque 61.xlsx | Data SY 24 LOU+VAL+FN estanque 36.xlsx | Data SY 24 VAL+STARAQ estanque 56.xlsx | Data ME 25 Q. AGUA estanque 85.xlsx | Data ME 24 QAGUA estanque 54.xlsx | Data CA 24 VAL estanque 31.xlsx | Data CA 24 VAL estanque 59.xlsx | Data CA 24 VAL estanque 62.xlsx | Data CA 25 F.N. estanque 68.xlsx</t>
  </si>
  <si>
    <t>Data SY 24 LOU estanque 62.xlsx | Data SY 25 LOU estanque 30.xlsx | Data ME 25 AURORA + STA MARTA estanque 57.xlsx | Data ME 25 STA MARTA estanque 62.xlsx</t>
  </si>
  <si>
    <t>2026-04-14 14:51:47</t>
  </si>
  <si>
    <t>2,3,4,6,8,9,10,11,12,13,15,16</t>
  </si>
  <si>
    <t>1,5,7,14</t>
  </si>
  <si>
    <t>Data CS 24 LOU estanque 54.xlsx | Data CS 25 EL BOLDO estanque 55.xlsx | Data CS 25 LOU estanque 61.xlsx | Data SY 24 VAL+STARAQ estanque 56.xlsx | Data SY 25 LOU estanque 30.xlsx | Data ME 25 Q. AGUA estanque 85.xlsx | Data ME 24 QAGUA estanque 54.xlsx | Data ME 25 AURORA + STA MARTA estanque 57.xlsx | Data ME 25 STA MARTA estanque 62.xlsx | Data CA 24 VAL estanque 31.xlsx | Data CA 24 VAL estanque 62.xlsx | Data CA 25 F.N. estanque 68.xlsx</t>
  </si>
  <si>
    <t>Data CS 24 EL BOLDO estanque 30.xlsx | Data SY 24 LOU+VAL+FN estanque 36.xlsx | Data SY 24 LOU estanque 62.xlsx | Data CA 24 VAL estanque 59.xlsx</t>
  </si>
  <si>
    <t>2026-04-14 17:32:36</t>
  </si>
  <si>
    <t>1,3,4,6,7,10,11,12,13,14,15,16</t>
  </si>
  <si>
    <t>2,5,8,9</t>
  </si>
  <si>
    <t>Data CS 24 EL BOLDO estanque 30.xlsx | Data CS 25 EL BOLDO estanque 55.xlsx | Data CS 25 LOU estanque 61.xlsx | Data SY 24 VAL+STARAQ estanque 56.xlsx | Data SY 24 LOU estanque 62.xlsx | Data ME 24 QAGUA estanque 54.xlsx | Data ME 25 AURORA + STA MARTA estanque 57.xlsx | Data ME 25 STA MARTA estanque 62.xlsx | Data CA 24 VAL estanque 31.xlsx | Data CA 24 VAL estanque 59.xlsx | Data CA 24 VAL estanque 62.xlsx | Data CA 25 F.N. estanque 68.xlsx</t>
  </si>
  <si>
    <t>Data CS 24 LOU estanque 54.xlsx | Data SY 24 LOU+VAL+FN estanque 36.xlsx | Data SY 25 LOU estanque 30.xlsx | Data ME 25 Q. AGUA estanque 85.xlsx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</si>
</sst>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I1" workbookViewId="0">
      <selection activeCell="Y16" sqref="Y16"/>
    </sheetView>
  </sheetViews>
  <sheetFormatPr baseColWidth="10" defaultColWidth="8.88671875" defaultRowHeight="14.4" x14ac:dyDescent="0.3"/>
  <cols>
    <col min="9" max="9" width="12" bestFit="1" customWidth="1"/>
    <col min="10" max="10" width="15.109375" bestFit="1" customWidth="1"/>
    <col min="11" max="11" width="12" bestFit="1" customWidth="1"/>
    <col min="14" max="14" width="9.441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18482.49663160001</v>
      </c>
      <c r="D2">
        <v>308.04161052666677</v>
      </c>
      <c r="E2" t="s">
        <v>31</v>
      </c>
      <c r="F2" t="s">
        <v>32</v>
      </c>
      <c r="G2" t="s">
        <v>33</v>
      </c>
      <c r="H2" t="s">
        <v>34</v>
      </c>
      <c r="I2">
        <v>0.49890626895935758</v>
      </c>
      <c r="J2">
        <v>0.22688409463049611</v>
      </c>
      <c r="K2">
        <v>0.72579036358985372</v>
      </c>
      <c r="L2" t="s">
        <v>15</v>
      </c>
      <c r="M2">
        <v>1001</v>
      </c>
      <c r="N2" s="2">
        <v>1.196135549990708E-4</v>
      </c>
      <c r="O2">
        <v>1.0000000000000001E-5</v>
      </c>
      <c r="P2">
        <v>1000</v>
      </c>
      <c r="Q2">
        <v>0.41052235674604087</v>
      </c>
      <c r="R2">
        <v>2.9003566019408038</v>
      </c>
      <c r="S2">
        <v>4.8366937090889426</v>
      </c>
      <c r="T2">
        <v>9.6469999999999993E-3</v>
      </c>
      <c r="U2">
        <v>8.5518540000000005</v>
      </c>
      <c r="V2">
        <v>7.1656500000000003</v>
      </c>
      <c r="W2">
        <v>44.150669999999998</v>
      </c>
      <c r="X2">
        <v>42.528283999999999</v>
      </c>
      <c r="Y2">
        <v>1E-4</v>
      </c>
      <c r="Z2">
        <v>1.00677665249298</v>
      </c>
      <c r="AA2">
        <v>4.8359598923167226</v>
      </c>
      <c r="AB2">
        <v>1.6426339999999999</v>
      </c>
      <c r="AC2">
        <v>0.25414003843693428</v>
      </c>
      <c r="AD2">
        <v>0.72206528981394558</v>
      </c>
    </row>
    <row r="3" spans="1:30" x14ac:dyDescent="0.3">
      <c r="A3">
        <v>2</v>
      </c>
      <c r="B3" t="s">
        <v>35</v>
      </c>
      <c r="C3">
        <v>8535.9657578000042</v>
      </c>
      <c r="D3">
        <v>142.26609596333341</v>
      </c>
      <c r="E3" t="s">
        <v>36</v>
      </c>
      <c r="F3" t="s">
        <v>37</v>
      </c>
      <c r="G3" t="s">
        <v>38</v>
      </c>
      <c r="H3" t="s">
        <v>39</v>
      </c>
      <c r="I3">
        <v>0.37951195434678858</v>
      </c>
      <c r="J3">
        <v>0.32743789279084812</v>
      </c>
      <c r="K3">
        <v>0.70694984713763676</v>
      </c>
      <c r="L3" t="s">
        <v>15</v>
      </c>
      <c r="M3">
        <v>435</v>
      </c>
      <c r="N3" s="2">
        <v>9.5273321926073033E-6</v>
      </c>
      <c r="O3">
        <v>1.0000000000000001E-5</v>
      </c>
      <c r="P3">
        <v>1000</v>
      </c>
      <c r="Q3">
        <v>0.60810864159160583</v>
      </c>
      <c r="R3">
        <v>1.183320819911688</v>
      </c>
      <c r="S3">
        <v>2.6027478390063399</v>
      </c>
      <c r="T3">
        <v>9.6469999999999993E-3</v>
      </c>
      <c r="U3">
        <v>8.5518540000000005</v>
      </c>
      <c r="V3">
        <v>7.1656500000000003</v>
      </c>
      <c r="W3">
        <v>44.150669999999998</v>
      </c>
      <c r="X3">
        <v>42.528283999999999</v>
      </c>
      <c r="Y3">
        <v>1E-4</v>
      </c>
      <c r="Z3">
        <v>2.553943375750602</v>
      </c>
      <c r="AA3">
        <v>1.719813183296425</v>
      </c>
      <c r="AB3">
        <v>1.6426339999999999</v>
      </c>
      <c r="AC3">
        <v>0.25344155862633611</v>
      </c>
      <c r="AD3">
        <v>0.75307804124342159</v>
      </c>
    </row>
    <row r="4" spans="1:30" x14ac:dyDescent="0.3">
      <c r="A4">
        <v>3</v>
      </c>
      <c r="B4" t="s">
        <v>40</v>
      </c>
      <c r="C4">
        <v>18831.103866300011</v>
      </c>
      <c r="D4">
        <v>313.85173110500011</v>
      </c>
      <c r="E4" t="s">
        <v>41</v>
      </c>
      <c r="F4" t="s">
        <v>42</v>
      </c>
      <c r="G4" t="s">
        <v>43</v>
      </c>
      <c r="H4" t="s">
        <v>44</v>
      </c>
      <c r="I4">
        <v>0.47068355076400659</v>
      </c>
      <c r="J4">
        <v>0.28394150735864998</v>
      </c>
      <c r="K4">
        <v>0.75462505812265657</v>
      </c>
      <c r="L4" t="s">
        <v>15</v>
      </c>
      <c r="M4">
        <v>1001</v>
      </c>
      <c r="N4" s="2">
        <v>4.0937750717948151E-5</v>
      </c>
      <c r="O4">
        <v>1.0000000000000001E-5</v>
      </c>
      <c r="P4">
        <v>1000</v>
      </c>
      <c r="Q4">
        <v>0.39698580888271962</v>
      </c>
      <c r="R4">
        <v>2.7193396683130899</v>
      </c>
      <c r="S4">
        <v>5.9705916705232571</v>
      </c>
      <c r="T4">
        <v>9.6469999999999993E-3</v>
      </c>
      <c r="U4">
        <v>8.5518540000000005</v>
      </c>
      <c r="V4">
        <v>7.1656500000000003</v>
      </c>
      <c r="W4">
        <v>44.150669999999998</v>
      </c>
      <c r="X4">
        <v>42.528283999999999</v>
      </c>
      <c r="Y4">
        <v>1E-4</v>
      </c>
      <c r="Z4">
        <v>0.85478927377161484</v>
      </c>
      <c r="AA4">
        <v>4.8092715287629906</v>
      </c>
      <c r="AB4">
        <v>1.6426339999999999</v>
      </c>
      <c r="AC4">
        <v>0.2330603265538734</v>
      </c>
      <c r="AD4">
        <v>0.70989683226843703</v>
      </c>
    </row>
    <row r="5" spans="1:30" s="3" customFormat="1" x14ac:dyDescent="0.3">
      <c r="A5" s="3">
        <v>4</v>
      </c>
      <c r="B5" s="3" t="s">
        <v>45</v>
      </c>
      <c r="C5" s="3">
        <v>15272.9557086</v>
      </c>
      <c r="D5" s="3">
        <v>254.54926180999999</v>
      </c>
      <c r="E5" s="3" t="s">
        <v>46</v>
      </c>
      <c r="F5" s="3" t="s">
        <v>47</v>
      </c>
      <c r="G5" s="3" t="s">
        <v>48</v>
      </c>
      <c r="H5" s="3" t="s">
        <v>49</v>
      </c>
      <c r="I5" s="3">
        <v>0.39218025088825642</v>
      </c>
      <c r="J5" s="3">
        <v>6.1504760896387678E-2</v>
      </c>
      <c r="K5" s="3">
        <v>0.45368501178464399</v>
      </c>
      <c r="L5" s="3" t="s">
        <v>15</v>
      </c>
      <c r="M5" s="3">
        <v>859</v>
      </c>
      <c r="N5" s="4">
        <v>7.5040327282909996E-6</v>
      </c>
      <c r="O5" s="3">
        <v>1.0000000000000001E-5</v>
      </c>
      <c r="P5" s="3">
        <v>1000</v>
      </c>
      <c r="Q5" s="3">
        <v>0.1100313550319488</v>
      </c>
      <c r="R5" s="3">
        <v>0.99728640664977386</v>
      </c>
      <c r="S5" s="3">
        <v>7.7190590150807337</v>
      </c>
      <c r="T5" s="3">
        <v>9.6469999999999993E-3</v>
      </c>
      <c r="U5" s="3">
        <v>8.5518540000000005</v>
      </c>
      <c r="V5" s="3">
        <v>7.1656500000000003</v>
      </c>
      <c r="W5" s="3">
        <v>44.150669999999998</v>
      </c>
      <c r="X5" s="3">
        <v>42.528283999999999</v>
      </c>
      <c r="Y5" s="3">
        <v>1E-4</v>
      </c>
      <c r="Z5" s="3">
        <v>2.9128571231637221</v>
      </c>
      <c r="AA5" s="3">
        <v>5.7084299533350329</v>
      </c>
      <c r="AB5" s="3">
        <v>1.6426339999999999</v>
      </c>
      <c r="AC5" s="3">
        <v>0.39927456995238991</v>
      </c>
      <c r="AD5" s="3">
        <v>0.46370418086821202</v>
      </c>
    </row>
    <row r="6" spans="1:30" x14ac:dyDescent="0.3">
      <c r="A6">
        <v>5</v>
      </c>
      <c r="B6" t="s">
        <v>50</v>
      </c>
      <c r="C6">
        <v>24922.199553599999</v>
      </c>
      <c r="D6">
        <v>415.36999256000013</v>
      </c>
      <c r="E6" t="s">
        <v>51</v>
      </c>
      <c r="F6" t="s">
        <v>52</v>
      </c>
      <c r="G6" t="s">
        <v>53</v>
      </c>
      <c r="H6" t="s">
        <v>54</v>
      </c>
      <c r="I6">
        <v>0.33504904549974079</v>
      </c>
      <c r="J6">
        <v>0.1896441558920359</v>
      </c>
      <c r="K6">
        <v>0.52469320139177666</v>
      </c>
      <c r="L6" t="s">
        <v>15</v>
      </c>
      <c r="M6">
        <v>1001</v>
      </c>
      <c r="N6" s="2">
        <v>4.9059097458778473E-5</v>
      </c>
      <c r="O6">
        <v>1.0000000000000001E-5</v>
      </c>
      <c r="P6">
        <v>1000</v>
      </c>
      <c r="Q6">
        <v>0.37472312338963593</v>
      </c>
      <c r="R6">
        <v>1.639174627538962</v>
      </c>
      <c r="S6">
        <v>1.6982422589273221</v>
      </c>
      <c r="T6">
        <v>9.6469999999999993E-3</v>
      </c>
      <c r="U6">
        <v>8.5518540000000005</v>
      </c>
      <c r="V6">
        <v>7.1656500000000003</v>
      </c>
      <c r="W6">
        <v>44.150669999999998</v>
      </c>
      <c r="X6">
        <v>42.528283999999999</v>
      </c>
      <c r="Y6">
        <v>1E-4</v>
      </c>
      <c r="Z6">
        <v>3.005309520273697</v>
      </c>
      <c r="AA6">
        <v>9.9999849261741218</v>
      </c>
      <c r="AB6">
        <v>1.6426339999999999</v>
      </c>
      <c r="AC6">
        <v>0.39037313121464851</v>
      </c>
      <c r="AD6">
        <v>0.43603389560567318</v>
      </c>
    </row>
    <row r="8" spans="1:30" x14ac:dyDescent="0.3">
      <c r="Q8">
        <f>AVERAGE(Q2:Q6)</f>
        <v>0.38007425712839021</v>
      </c>
      <c r="R8">
        <f t="shared" ref="R8:AD8" si="0">AVERAGE(R2:R6)</f>
        <v>1.8878956248708636</v>
      </c>
      <c r="S8">
        <f t="shared" si="0"/>
        <v>4.5654668985253197</v>
      </c>
      <c r="T8">
        <f t="shared" si="0"/>
        <v>9.6469999999999993E-3</v>
      </c>
      <c r="U8">
        <f t="shared" si="0"/>
        <v>8.5518540000000005</v>
      </c>
      <c r="V8">
        <f t="shared" si="0"/>
        <v>7.1656500000000012</v>
      </c>
      <c r="W8">
        <f t="shared" si="0"/>
        <v>44.150669999999998</v>
      </c>
      <c r="X8">
        <f t="shared" si="0"/>
        <v>42.528283999999999</v>
      </c>
      <c r="Y8">
        <f t="shared" si="0"/>
        <v>1E-4</v>
      </c>
      <c r="Z8">
        <f t="shared" si="0"/>
        <v>2.0667351890905232</v>
      </c>
      <c r="AA8">
        <f t="shared" si="0"/>
        <v>5.4146918967770592</v>
      </c>
      <c r="AB8">
        <f t="shared" si="0"/>
        <v>1.6426339999999999</v>
      </c>
      <c r="AC8">
        <f t="shared" si="0"/>
        <v>0.30605792495683648</v>
      </c>
      <c r="AD8">
        <f t="shared" si="0"/>
        <v>0.61695564795993785</v>
      </c>
    </row>
    <row r="9" spans="1:30" x14ac:dyDescent="0.3">
      <c r="Q9">
        <f>STDEVA(Q2:Q6)</f>
        <v>0.17759826255874642</v>
      </c>
      <c r="R9">
        <f t="shared" ref="R9:AD9" si="1">STDEVA(R2:R6)</f>
        <v>0.87576380910357265</v>
      </c>
      <c r="S9">
        <f t="shared" si="1"/>
        <v>2.4528720964294162</v>
      </c>
      <c r="T9">
        <f t="shared" si="1"/>
        <v>0</v>
      </c>
      <c r="U9">
        <f t="shared" si="1"/>
        <v>0</v>
      </c>
      <c r="V9">
        <f t="shared" si="1"/>
        <v>9.9301366129890925E-16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1.0519673142009345</v>
      </c>
      <c r="AA9">
        <f t="shared" si="1"/>
        <v>2.9776159706060574</v>
      </c>
      <c r="AB9">
        <f t="shared" si="1"/>
        <v>0</v>
      </c>
      <c r="AC9">
        <f t="shared" si="1"/>
        <v>8.1533728035769776E-2</v>
      </c>
      <c r="AD9">
        <f t="shared" si="1"/>
        <v>0.15365065826841737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2026-04-14T21:32:37Z</dcterms:created>
  <dcterms:modified xsi:type="dcterms:W3CDTF">2026-04-15T20:34:29Z</dcterms:modified>
</cp:coreProperties>
</file>