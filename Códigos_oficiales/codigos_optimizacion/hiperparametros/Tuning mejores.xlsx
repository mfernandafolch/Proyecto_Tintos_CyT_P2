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p-mfolch\Documents\Proyecto_Tintos_CyT\Códigos_oficiales\codigos_optimizacion\hiperparametros\"/>
    </mc:Choice>
  </mc:AlternateContent>
  <xr:revisionPtr revIDLastSave="0" documentId="13_ncr:1_{5EF73960-4B8D-4897-8041-1157BD5B8E1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Hoja1" sheetId="1" r:id="rId1"/>
  </sheets>
  <definedNames>
    <definedName name="_xlnm._FilterDatabase" localSheetId="0" hidden="1">Hoja1!$A$1:$P$1</definedName>
    <definedName name="_xlchart.v1.0" hidden="1">Hoja1!$B$12</definedName>
    <definedName name="_xlchart.v1.1" hidden="1">Hoja1!$B$17</definedName>
    <definedName name="_xlchart.v1.10" hidden="1">Hoja1!$B$2</definedName>
    <definedName name="_xlchart.v1.11" hidden="1">Hoja1!$B$7</definedName>
    <definedName name="_xlchart.v1.12" hidden="1">Hoja1!$K$12:$K$16</definedName>
    <definedName name="_xlchart.v1.13" hidden="1">Hoja1!$K$17:$K$21</definedName>
    <definedName name="_xlchart.v1.14" hidden="1">Hoja1!$K$2:$K$6</definedName>
    <definedName name="_xlchart.v1.15" hidden="1">Hoja1!$K$7:$K$11</definedName>
    <definedName name="_xlchart.v1.16" hidden="1">Hoja1!$B$2</definedName>
    <definedName name="_xlchart.v1.17" hidden="1">Hoja1!$B$7</definedName>
    <definedName name="_xlchart.v1.18" hidden="1">Hoja1!$L$2:$L$6</definedName>
    <definedName name="_xlchart.v1.19" hidden="1">Hoja1!$L$7:$L$11</definedName>
    <definedName name="_xlchart.v1.2" hidden="1">Hoja1!$B$2</definedName>
    <definedName name="_xlchart.v1.3" hidden="1">Hoja1!$B$7</definedName>
    <definedName name="_xlchart.v1.4" hidden="1">Hoja1!$L$12:$L$16</definedName>
    <definedName name="_xlchart.v1.5" hidden="1">Hoja1!$L$17:$L$21</definedName>
    <definedName name="_xlchart.v1.6" hidden="1">Hoja1!$L$2:$L$6</definedName>
    <definedName name="_xlchart.v1.7" hidden="1">Hoja1!$L$7:$L$11</definedName>
    <definedName name="_xlchart.v1.8" hidden="1">Hoja1!$B$12</definedName>
    <definedName name="_xlchart.v1.9" hidden="1">Hoja1!$B$17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3" i="1" l="1"/>
  <c r="O14" i="1"/>
  <c r="O15" i="1"/>
  <c r="O16" i="1"/>
  <c r="O17" i="1"/>
  <c r="O18" i="1"/>
  <c r="O19" i="1"/>
  <c r="O20" i="1"/>
  <c r="O21" i="1"/>
  <c r="O12" i="1"/>
  <c r="N10" i="1"/>
  <c r="N12" i="1"/>
  <c r="N13" i="1"/>
  <c r="N14" i="1"/>
  <c r="N15" i="1"/>
  <c r="N16" i="1"/>
  <c r="N17" i="1"/>
  <c r="N18" i="1"/>
  <c r="N19" i="1"/>
  <c r="N20" i="1"/>
  <c r="N21" i="1"/>
  <c r="O11" i="1"/>
  <c r="N11" i="1"/>
  <c r="O10" i="1"/>
  <c r="O9" i="1"/>
  <c r="N9" i="1"/>
  <c r="O8" i="1"/>
  <c r="N8" i="1"/>
  <c r="O7" i="1"/>
  <c r="N7" i="1"/>
  <c r="O6" i="1"/>
  <c r="N6" i="1"/>
  <c r="O5" i="1"/>
  <c r="N5" i="1"/>
  <c r="O4" i="1"/>
  <c r="N4" i="1"/>
  <c r="O3" i="1"/>
  <c r="N3" i="1"/>
  <c r="O2" i="1"/>
  <c r="N2" i="1"/>
</calcChain>
</file>

<file path=xl/sharedStrings.xml><?xml version="1.0" encoding="utf-8"?>
<sst xmlns="http://schemas.openxmlformats.org/spreadsheetml/2006/main" count="77" uniqueCount="47">
  <si>
    <t>Pasada</t>
  </si>
  <si>
    <t>[1, 2, 3, 4]</t>
  </si>
  <si>
    <t>["Data SY 24 LOU+VAL+FN estanque 36", "Data ME 24 QAGUA estanque 54", "Data CA 25 F.N. estanque 68", "Data CS 25 LOU estanque 61"]</t>
  </si>
  <si>
    <t>[0.05665757199294358, 3.9582942248067345, 8.418486942606204, 0.7990569966959513, 6.812728256349691, 0.36376837073733376, 0.5142789879424162]</t>
  </si>
  <si>
    <t>[0, 2, 3, 4]</t>
  </si>
  <si>
    <t>["Data CS 24 LOU estanque 54", "Data ME 24 QAGUA estanque 54", "Data CA 25 F.N. estanque 68", "Data CS 25 LOU estanque 61"]</t>
  </si>
  <si>
    <t>[0.5870113107590044, 3.57976405031716, 7.440439283351584, 0.791103671135938, 8.445084003404185, 0.33615148500257813, 0.6001408073176521]</t>
  </si>
  <si>
    <t>[0, 1, 3, 4]</t>
  </si>
  <si>
    <t>["Data CS 24 LOU estanque 54", "Data SY 24 LOU+VAL+FN estanque 36", "Data CA 25 F.N. estanque 68", "Data CS 25 LOU estanque 61"]</t>
  </si>
  <si>
    <t>[0.11772264332810184, 2.4149478469698713, 1.4032126608391797, 3.192442081100003, 3.6462705375568354, 0.6492435886379532, 0.21330113454530467]</t>
  </si>
  <si>
    <t>[0, 1, 2, 4]</t>
  </si>
  <si>
    <t>["Data CS 24 LOU estanque 54", "Data SY 24 LOU+VAL+FN estanque 36", "Data ME 24 QAGUA estanque 54", "Data CS 25 LOU estanque 61"]</t>
  </si>
  <si>
    <t>[0.06935926993907962, 3.7330726553280433, 6.615994702679708, 0.9144091011239442, 9.298304991427202, 0.288891727792399, 0.7303538405222991]</t>
  </si>
  <si>
    <t>[0, 1, 2, 3]</t>
  </si>
  <si>
    <t>["Data CS 24 LOU estanque 54", "Data SY 24 LOU+VAL+FN estanque 36", "Data ME 24 QAGUA estanque 54", "Data CA 25 F.N. estanque 68"]</t>
  </si>
  <si>
    <t>[0.17176506892797863, 2.950158421226937, 4.070288411798075, 1.5646787611362598, 8.943313138233941, 0.5126615613081309, 0.37582161330395997]</t>
  </si>
  <si>
    <t>combo_id</t>
  </si>
  <si>
    <t>fold_id</t>
  </si>
  <si>
    <t>c1</t>
  </si>
  <si>
    <t>c2</t>
  </si>
  <si>
    <t>w</t>
  </si>
  <si>
    <t>pop_size</t>
  </si>
  <si>
    <t>train_indices</t>
  </si>
  <si>
    <t>val_index</t>
  </si>
  <si>
    <t>train_names</t>
  </si>
  <si>
    <t>train_cost_total</t>
  </si>
  <si>
    <t>val_cost</t>
  </si>
  <si>
    <t>elapsed_seconds</t>
  </si>
  <si>
    <t>minutos</t>
  </si>
  <si>
    <t>horas</t>
  </si>
  <si>
    <t>best_theta_free</t>
  </si>
  <si>
    <t>[0.07205597548001921, 3.051877264102989, 3.230187207065939, 2.0293511084741787, 9.081750374904342, 0.37918899928163563, 0.5030664137977054]</t>
  </si>
  <si>
    <t>[0.05714589536289872, 3.9662531634666447, 3.6578009767113504, 1.6902733958149718, 9.984612163977024, 0.39162945808218885, 0.5129467498349135]</t>
  </si>
  <si>
    <t>[0.07347494330352035, 2.4142837097344505, 3.297382438802873, 2.2453303906828554, 6.128206830974596, 0.3161071296279448, 0.6259710055953972]</t>
  </si>
  <si>
    <t>[0.06977672055062382, 3.7131190553941864, 3.0007492983748087, 1.8163926767552743, 7.3960941625977865, 0.37885161103168097, 0.589625567485847]</t>
  </si>
  <si>
    <t>[0.14254475134895114, 1.8578834871965104, 4.251571930754905, 2.1228646737242363, 9.235883179404887, 0.3569854701730564, 0.5530379098151066]</t>
  </si>
  <si>
    <t>[0.07854336552591289, 3.0727619921284317, 3.834472325681301, 1.7461217673209009, 5.824113159915618, 0.46532286746417867, 0.37393749550771815]</t>
  </si>
  <si>
    <t>[0.06269607951279238, 2.9104567690495142, 4.552765076830157, 1.6312023896890047, 9.994372201913059, 0.28664897060286487, 0.6554638376168843]</t>
  </si>
  <si>
    <t>[0.0814995208714864, 2.019430182057838, 6.228741266892429, 1.6807462164685634, 6.360236082917102, 0.3746358178411428, 0.48520812470065106]</t>
  </si>
  <si>
    <t>[0.12896891661407636, 1.018176864741461, 3.8003654145550305, 3.6170725211446237, 8.884354236077385, 0.48913661355811194, 0.4217332376255598]</t>
  </si>
  <si>
    <t>[0.09865472988309662, 1.0654971103750654, 3.8384278652291544, 3.010445643152782, 9.99954192130967, 0.21863691636654195, 0.7238377685354879]</t>
  </si>
  <si>
    <t>[0.07648258622951502, 2.443991228405736, 3.1414590859301716, 2.3661239336117497, 9.69483503631664, 0.3537499682102337, 0.5195050290497976]</t>
  </si>
  <si>
    <t>[0.41697673755716563, 2.8837413151782934, 4.298582502623035, 1.4187767556519835, 9.033018619276712, 0.5219009248548779, 0.37205588508218307]</t>
  </si>
  <si>
    <t>[0.050013900543220094, 1.0295998751733668, 7.512094384792979, 1.2650906890502067, 9.955480905499133, 0.10032111220236292, 0.8625758280120953]</t>
  </si>
  <si>
    <t>[0.09664801703521655, 2.171933400461211, 1.3916278867230867, 4.017046407866764, 8.864847060050982, 0.4001248864194999, 0.5670602719432624]</t>
  </si>
  <si>
    <t>[0.06114453564150825, 3.3809491562628313, 6.01784032138103, 1.2618755718218826, 9.803336525597858, 0.3588261712613979, 0.5311565836080284]</t>
  </si>
  <si>
    <t>Lo mejor es w=0,5, c1=1,5,c2=1,5 y pop_size=25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</si>
</sst>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0" borderId="0" xfId="0" applyFont="1"/>
    <xf numFmtId="0" fontId="1" fillId="0" borderId="9" xfId="0" applyFont="1" applyBorder="1"/>
    <xf numFmtId="0" fontId="2" fillId="0" borderId="10" xfId="0" applyFont="1" applyBorder="1" applyAlignment="1">
      <alignment horizontal="center" vertical="top"/>
    </xf>
    <xf numFmtId="0" fontId="2" fillId="0" borderId="11" xfId="0" applyFont="1" applyBorder="1" applyAlignment="1">
      <alignment horizontal="center" vertical="top"/>
    </xf>
    <xf numFmtId="164" fontId="0" fillId="0" borderId="2" xfId="0" applyNumberFormat="1" applyBorder="1"/>
    <xf numFmtId="164" fontId="0" fillId="0" borderId="7" xfId="0" applyNumberFormat="1" applyBorder="1"/>
    <xf numFmtId="164" fontId="0" fillId="0" borderId="0" xfId="0" applyNumberFormat="1"/>
    <xf numFmtId="0" fontId="0" fillId="0" borderId="0" xfId="0" applyBorder="1"/>
    <xf numFmtId="0" fontId="0" fillId="0" borderId="12" xfId="0" applyFill="1" applyBorder="1"/>
    <xf numFmtId="0" fontId="0" fillId="0" borderId="13" xfId="0" applyFill="1" applyBorder="1"/>
    <xf numFmtId="0" fontId="0" fillId="0" borderId="14" xfId="0" applyFill="1" applyBorder="1"/>
    <xf numFmtId="0" fontId="0" fillId="0" borderId="0" xfId="0" applyFill="1" applyBorder="1"/>
    <xf numFmtId="164" fontId="0" fillId="0" borderId="0" xfId="0" applyNumberFormat="1" applyBorder="1"/>
    <xf numFmtId="0" fontId="0" fillId="0" borderId="2" xfId="0" applyFill="1" applyBorder="1"/>
    <xf numFmtId="0" fontId="0" fillId="0" borderId="7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_xlchart.v1.14</cx:f>
      </cx:numDim>
    </cx:data>
    <cx:data id="1">
      <cx:numDim type="val">
        <cx:f>_xlchart.v1.15</cx:f>
      </cx:numDim>
    </cx:data>
    <cx:data id="2">
      <cx:numDim type="val">
        <cx:f>_xlchart.v1.12</cx:f>
      </cx:numDim>
    </cx:data>
    <cx:data id="3">
      <cx:numDim type="val">
        <cx:f>_xlchart.v1.13</cx:f>
      </cx:numDim>
    </cx:data>
  </cx:chartData>
  <cx:chart>
    <cx:title pos="t" align="ctr" overlay="0">
      <cx:tx>
        <cx:txData>
          <cx:v>Train cost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Train cost</a:t>
          </a:r>
        </a:p>
      </cx:txPr>
    </cx:title>
    <cx:plotArea>
      <cx:plotAreaRegion>
        <cx:series layoutId="boxWhisker" uniqueId="{00000003-AA3B-4A18-8CC3-D729F744C287}">
          <cx:tx>
            <cx:txData>
              <cx:f>_xlchart.v1.10</cx:f>
              <cx:v>5</cx:v>
            </cx:txData>
          </cx:tx>
          <cx:dataId val="0"/>
          <cx:layoutPr>
            <cx:statistics quartileMethod="exclusive"/>
          </cx:layoutPr>
        </cx:series>
        <cx:series layoutId="boxWhisker" uniqueId="{00000004-AA3B-4A18-8CC3-D729F744C287}">
          <cx:tx>
            <cx:txData>
              <cx:f>_xlchart.v1.11</cx:f>
              <cx:v>6</cx:v>
            </cx:txData>
          </cx:tx>
          <cx:dataId val="1"/>
          <cx:layoutPr>
            <cx:statistics quartileMethod="exclusive"/>
          </cx:layoutPr>
        </cx:series>
        <cx:series layoutId="boxWhisker" uniqueId="{00000000-8085-4B6E-8592-E61E243B7778}">
          <cx:tx>
            <cx:txData>
              <cx:f>_xlchart.v1.8</cx:f>
              <cx:v>1</cx:v>
            </cx:txData>
          </cx:tx>
          <cx:dataId val="2"/>
          <cx:layoutPr>
            <cx:statistics quartileMethod="exclusive"/>
          </cx:layoutPr>
        </cx:series>
        <cx:series layoutId="boxWhisker" uniqueId="{00000001-8085-4B6E-8592-E61E243B7778}">
          <cx:tx>
            <cx:txData>
              <cx:f>_xlchart.v1.9</cx:f>
              <cx:v>2</cx:v>
            </cx:txData>
          </cx:tx>
          <cx:dataId val="3"/>
          <cx:layoutPr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  <cx:numFmt formatCode="0,00" sourceLinked="0"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_xlchart.v1.6</cx:f>
      </cx:numDim>
    </cx:data>
    <cx:data id="1">
      <cx:numDim type="val">
        <cx:f>_xlchart.v1.7</cx:f>
      </cx:numDim>
    </cx:data>
    <cx:data id="2">
      <cx:numDim type="val">
        <cx:f>_xlchart.v1.4</cx:f>
      </cx:numDim>
    </cx:data>
    <cx:data id="3">
      <cx:numDim type="val">
        <cx:f>_xlchart.v1.5</cx:f>
      </cx:numDim>
    </cx:data>
  </cx:chartData>
  <cx:chart>
    <cx:title pos="t" align="ctr" overlay="0">
      <cx:tx>
        <cx:txData>
          <cx:v>Validation cost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Validation cost</a:t>
          </a:r>
        </a:p>
      </cx:txPr>
    </cx:title>
    <cx:plotArea>
      <cx:plotAreaRegion>
        <cx:series layoutId="boxWhisker" uniqueId="{00000003-AA3B-4A18-8CC3-D729F744C287}" formatIdx="0">
          <cx:tx>
            <cx:txData>
              <cx:f>_xlchart.v1.2</cx:f>
              <cx:v>5</cx:v>
            </cx:txData>
          </cx:tx>
          <cx:dataId val="0"/>
          <cx:layoutPr>
            <cx:statistics quartileMethod="exclusive"/>
          </cx:layoutPr>
        </cx:series>
        <cx:series layoutId="boxWhisker" uniqueId="{00000004-AA3B-4A18-8CC3-D729F744C287}" formatIdx="1">
          <cx:tx>
            <cx:txData>
              <cx:f>_xlchart.v1.3</cx:f>
              <cx:v>6</cx:v>
            </cx:txData>
          </cx:tx>
          <cx:dataId val="1"/>
          <cx:layoutPr>
            <cx:statistics quartileMethod="exclusive"/>
          </cx:layoutPr>
        </cx:series>
        <cx:series layoutId="boxWhisker" uniqueId="{00000000-4C3F-42CE-BB71-E07C611EAF59}">
          <cx:tx>
            <cx:txData>
              <cx:f>_xlchart.v1.0</cx:f>
              <cx:v>1</cx:v>
            </cx:txData>
          </cx:tx>
          <cx:dataId val="2"/>
          <cx:layoutPr>
            <cx:statistics quartileMethod="exclusive"/>
          </cx:layoutPr>
        </cx:series>
        <cx:series layoutId="boxWhisker" uniqueId="{00000001-4C3F-42CE-BB71-E07C611EAF59}">
          <cx:tx>
            <cx:txData>
              <cx:f>_xlchart.v1.1</cx:f>
              <cx:v>2</cx:v>
            </cx:txData>
          </cx:tx>
          <cx:dataId val="3"/>
          <cx:layoutPr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  <cx:numFmt formatCode="0,000" sourceLinked="0"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670560</xdr:colOff>
      <xdr:row>23</xdr:row>
      <xdr:rowOff>87630</xdr:rowOff>
    </xdr:from>
    <xdr:to>
      <xdr:col>15</xdr:col>
      <xdr:colOff>1303020</xdr:colOff>
      <xdr:row>38</xdr:row>
      <xdr:rowOff>87630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B0CB3775-CA7B-B397-FE59-B3AC798EB16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671560" y="433197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15</xdr:col>
      <xdr:colOff>1409700</xdr:colOff>
      <xdr:row>23</xdr:row>
      <xdr:rowOff>114300</xdr:rowOff>
    </xdr:from>
    <xdr:to>
      <xdr:col>15</xdr:col>
      <xdr:colOff>5981700</xdr:colOff>
      <xdr:row>38</xdr:row>
      <xdr:rowOff>114300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3C287B92-C69D-48C4-9C81-725990343B8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350240" y="435864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4"/>
  <sheetViews>
    <sheetView tabSelected="1" workbookViewId="0">
      <selection activeCell="B25" sqref="B25"/>
    </sheetView>
  </sheetViews>
  <sheetFormatPr baseColWidth="10" defaultColWidth="8.88671875" defaultRowHeight="14.4" x14ac:dyDescent="0.3"/>
  <cols>
    <col min="2" max="2" width="13.88671875" bestFit="1" customWidth="1"/>
    <col min="3" max="3" width="11.33203125" bestFit="1" customWidth="1"/>
    <col min="4" max="5" width="7.33203125" bestFit="1" customWidth="1"/>
    <col min="6" max="6" width="6.88671875" bestFit="1" customWidth="1"/>
    <col min="7" max="7" width="12.77734375" bestFit="1" customWidth="1"/>
    <col min="8" max="8" width="16.109375" bestFit="1" customWidth="1"/>
    <col min="9" max="9" width="13.44140625" bestFit="1" customWidth="1"/>
    <col min="10" max="10" width="116.33203125" hidden="1" customWidth="1"/>
    <col min="11" max="11" width="18.6640625" bestFit="1" customWidth="1"/>
    <col min="12" max="12" width="13.44140625" bestFit="1" customWidth="1"/>
    <col min="13" max="13" width="19.6640625" bestFit="1" customWidth="1"/>
    <col min="14" max="14" width="12.33203125" bestFit="1" customWidth="1"/>
    <col min="15" max="15" width="12" bestFit="1" customWidth="1"/>
    <col min="16" max="16" width="134.21875" bestFit="1" customWidth="1"/>
  </cols>
  <sheetData>
    <row r="1" spans="1:16" s="9" customFormat="1" ht="15" thickBot="1" x14ac:dyDescent="0.35">
      <c r="A1" s="10" t="s">
        <v>0</v>
      </c>
      <c r="B1" s="11" t="s">
        <v>16</v>
      </c>
      <c r="C1" s="11" t="s">
        <v>17</v>
      </c>
      <c r="D1" s="11" t="s">
        <v>18</v>
      </c>
      <c r="E1" s="11" t="s">
        <v>19</v>
      </c>
      <c r="F1" s="11" t="s">
        <v>20</v>
      </c>
      <c r="G1" s="11" t="s">
        <v>21</v>
      </c>
      <c r="H1" s="11" t="s">
        <v>22</v>
      </c>
      <c r="I1" s="11" t="s">
        <v>23</v>
      </c>
      <c r="J1" s="11" t="s">
        <v>24</v>
      </c>
      <c r="K1" s="11" t="s">
        <v>25</v>
      </c>
      <c r="L1" s="11" t="s">
        <v>26</v>
      </c>
      <c r="M1" s="11" t="s">
        <v>27</v>
      </c>
      <c r="N1" s="11" t="s">
        <v>28</v>
      </c>
      <c r="O1" s="11" t="s">
        <v>29</v>
      </c>
      <c r="P1" s="12" t="s">
        <v>30</v>
      </c>
    </row>
    <row r="2" spans="1:16" x14ac:dyDescent="0.3">
      <c r="A2" s="1">
        <v>2</v>
      </c>
      <c r="B2" s="1">
        <v>5</v>
      </c>
      <c r="C2" s="2">
        <v>1</v>
      </c>
      <c r="D2" s="2">
        <v>1.5</v>
      </c>
      <c r="E2" s="2">
        <v>1.5</v>
      </c>
      <c r="F2" s="2">
        <v>0.5</v>
      </c>
      <c r="G2" s="2">
        <v>25</v>
      </c>
      <c r="H2" s="2" t="s">
        <v>1</v>
      </c>
      <c r="I2" s="2">
        <v>0</v>
      </c>
      <c r="J2" s="2" t="s">
        <v>2</v>
      </c>
      <c r="K2" s="13">
        <v>4.5608199354003433E-2</v>
      </c>
      <c r="L2" s="13">
        <v>1.4230563740411991E-3</v>
      </c>
      <c r="M2" s="2">
        <v>235.0503550001886</v>
      </c>
      <c r="N2" s="2">
        <f t="shared" ref="N2:N11" si="0">M2/60</f>
        <v>3.9175059166698101</v>
      </c>
      <c r="O2" s="2">
        <f t="shared" ref="O2:O11" si="1">M2/3600</f>
        <v>6.5291765277830163E-2</v>
      </c>
      <c r="P2" s="3" t="s">
        <v>3</v>
      </c>
    </row>
    <row r="3" spans="1:16" x14ac:dyDescent="0.3">
      <c r="A3" s="4">
        <v>2</v>
      </c>
      <c r="B3" s="4">
        <v>5</v>
      </c>
      <c r="C3">
        <v>2</v>
      </c>
      <c r="D3">
        <v>1.5</v>
      </c>
      <c r="E3">
        <v>1.5</v>
      </c>
      <c r="F3">
        <v>0.5</v>
      </c>
      <c r="G3">
        <v>25</v>
      </c>
      <c r="H3" t="s">
        <v>4</v>
      </c>
      <c r="I3">
        <v>1</v>
      </c>
      <c r="J3" t="s">
        <v>5</v>
      </c>
      <c r="K3" s="15">
        <v>5.4571198489538723E-2</v>
      </c>
      <c r="L3" s="15">
        <v>1.751868723559423E-2</v>
      </c>
      <c r="M3">
        <v>332.16300010005938</v>
      </c>
      <c r="N3">
        <f t="shared" si="0"/>
        <v>5.5360500016676566</v>
      </c>
      <c r="O3">
        <f t="shared" si="1"/>
        <v>9.2267500027794269E-2</v>
      </c>
      <c r="P3" s="5" t="s">
        <v>6</v>
      </c>
    </row>
    <row r="4" spans="1:16" x14ac:dyDescent="0.3">
      <c r="A4" s="4">
        <v>2</v>
      </c>
      <c r="B4" s="4">
        <v>5</v>
      </c>
      <c r="C4">
        <v>3</v>
      </c>
      <c r="D4">
        <v>1.5</v>
      </c>
      <c r="E4">
        <v>1.5</v>
      </c>
      <c r="F4">
        <v>0.5</v>
      </c>
      <c r="G4">
        <v>25</v>
      </c>
      <c r="H4" t="s">
        <v>7</v>
      </c>
      <c r="I4">
        <v>2</v>
      </c>
      <c r="J4" t="s">
        <v>8</v>
      </c>
      <c r="K4" s="15">
        <v>3.742670869175764E-2</v>
      </c>
      <c r="L4" s="15">
        <v>7.6020497194364727E-3</v>
      </c>
      <c r="M4">
        <v>366.00808679987682</v>
      </c>
      <c r="N4">
        <f t="shared" si="0"/>
        <v>6.1001347799979468</v>
      </c>
      <c r="O4">
        <f t="shared" si="1"/>
        <v>0.10166891299996578</v>
      </c>
      <c r="P4" s="5" t="s">
        <v>9</v>
      </c>
    </row>
    <row r="5" spans="1:16" x14ac:dyDescent="0.3">
      <c r="A5" s="4">
        <v>2</v>
      </c>
      <c r="B5" s="4">
        <v>5</v>
      </c>
      <c r="C5">
        <v>4</v>
      </c>
      <c r="D5">
        <v>1.5</v>
      </c>
      <c r="E5">
        <v>1.5</v>
      </c>
      <c r="F5">
        <v>0.5</v>
      </c>
      <c r="G5">
        <v>25</v>
      </c>
      <c r="H5" t="s">
        <v>10</v>
      </c>
      <c r="I5">
        <v>3</v>
      </c>
      <c r="J5" t="s">
        <v>11</v>
      </c>
      <c r="K5" s="15">
        <v>2.859601369462747E-2</v>
      </c>
      <c r="L5" s="15">
        <v>2.1292026621170669E-2</v>
      </c>
      <c r="M5">
        <v>685.64448380004615</v>
      </c>
      <c r="N5">
        <f t="shared" si="0"/>
        <v>11.427408063334102</v>
      </c>
      <c r="O5">
        <f t="shared" si="1"/>
        <v>0.19045680105556836</v>
      </c>
      <c r="P5" s="5" t="s">
        <v>12</v>
      </c>
    </row>
    <row r="6" spans="1:16" ht="15" thickBot="1" x14ac:dyDescent="0.35">
      <c r="A6" s="6">
        <v>2</v>
      </c>
      <c r="B6" s="6">
        <v>5</v>
      </c>
      <c r="C6" s="7">
        <v>5</v>
      </c>
      <c r="D6" s="7">
        <v>1.5</v>
      </c>
      <c r="E6" s="7">
        <v>1.5</v>
      </c>
      <c r="F6" s="7">
        <v>0.5</v>
      </c>
      <c r="G6" s="7">
        <v>25</v>
      </c>
      <c r="H6" s="7" t="s">
        <v>13</v>
      </c>
      <c r="I6" s="7">
        <v>4</v>
      </c>
      <c r="J6" s="7" t="s">
        <v>14</v>
      </c>
      <c r="K6" s="14">
        <v>2.9459338938626241E-2</v>
      </c>
      <c r="L6" s="14">
        <v>1.984571948740271E-2</v>
      </c>
      <c r="M6" s="7">
        <v>482.81823460012669</v>
      </c>
      <c r="N6" s="7">
        <f t="shared" si="0"/>
        <v>8.0469705766687785</v>
      </c>
      <c r="O6" s="7">
        <f t="shared" si="1"/>
        <v>0.13411617627781297</v>
      </c>
      <c r="P6" s="8" t="s">
        <v>15</v>
      </c>
    </row>
    <row r="7" spans="1:16" x14ac:dyDescent="0.3">
      <c r="A7" s="1">
        <v>2</v>
      </c>
      <c r="B7" s="1">
        <v>6</v>
      </c>
      <c r="C7" s="2">
        <v>1</v>
      </c>
      <c r="D7" s="2">
        <v>1.5</v>
      </c>
      <c r="E7" s="2">
        <v>1.7</v>
      </c>
      <c r="F7" s="2">
        <v>0.5</v>
      </c>
      <c r="G7" s="2">
        <v>25</v>
      </c>
      <c r="H7" s="2" t="s">
        <v>1</v>
      </c>
      <c r="I7" s="2">
        <v>0</v>
      </c>
      <c r="J7" s="2" t="s">
        <v>2</v>
      </c>
      <c r="K7" s="13">
        <v>3.4742811620766187E-2</v>
      </c>
      <c r="L7" s="13">
        <v>4.1385414215135644E-3</v>
      </c>
      <c r="M7" s="2">
        <v>683.99086550017819</v>
      </c>
      <c r="N7" s="2">
        <f t="shared" si="0"/>
        <v>11.399847758336303</v>
      </c>
      <c r="O7" s="2">
        <f t="shared" si="1"/>
        <v>0.18999746263893838</v>
      </c>
      <c r="P7" s="3" t="s">
        <v>31</v>
      </c>
    </row>
    <row r="8" spans="1:16" x14ac:dyDescent="0.3">
      <c r="A8" s="4">
        <v>2</v>
      </c>
      <c r="B8" s="4">
        <v>6</v>
      </c>
      <c r="C8">
        <v>2</v>
      </c>
      <c r="D8">
        <v>1.5</v>
      </c>
      <c r="E8">
        <v>1.7</v>
      </c>
      <c r="F8">
        <v>0.5</v>
      </c>
      <c r="G8">
        <v>25</v>
      </c>
      <c r="H8" t="s">
        <v>4</v>
      </c>
      <c r="I8">
        <v>1</v>
      </c>
      <c r="J8" t="s">
        <v>5</v>
      </c>
      <c r="K8" s="15">
        <v>3.5675836612744739E-2</v>
      </c>
      <c r="L8" s="15">
        <v>1.423254109849246E-2</v>
      </c>
      <c r="M8">
        <v>200.97759769996631</v>
      </c>
      <c r="N8">
        <f t="shared" si="0"/>
        <v>3.3496266283327718</v>
      </c>
      <c r="O8">
        <f t="shared" si="1"/>
        <v>5.5827110472212865E-2</v>
      </c>
      <c r="P8" s="5" t="s">
        <v>32</v>
      </c>
    </row>
    <row r="9" spans="1:16" x14ac:dyDescent="0.3">
      <c r="A9" s="4">
        <v>2</v>
      </c>
      <c r="B9" s="4">
        <v>6</v>
      </c>
      <c r="C9">
        <v>3</v>
      </c>
      <c r="D9">
        <v>1.5</v>
      </c>
      <c r="E9">
        <v>1.7</v>
      </c>
      <c r="F9">
        <v>0.5</v>
      </c>
      <c r="G9">
        <v>25</v>
      </c>
      <c r="H9" t="s">
        <v>7</v>
      </c>
      <c r="I9">
        <v>2</v>
      </c>
      <c r="J9" t="s">
        <v>8</v>
      </c>
      <c r="K9" s="15">
        <v>3.6552919023631419E-2</v>
      </c>
      <c r="L9" s="15">
        <v>2.2825901633905959E-3</v>
      </c>
      <c r="M9">
        <v>923.69259009999223</v>
      </c>
      <c r="N9">
        <f t="shared" si="0"/>
        <v>15.394876501666538</v>
      </c>
      <c r="O9">
        <f t="shared" si="1"/>
        <v>0.25658127502777561</v>
      </c>
      <c r="P9" s="5" t="s">
        <v>33</v>
      </c>
    </row>
    <row r="10" spans="1:16" x14ac:dyDescent="0.3">
      <c r="A10" s="4">
        <v>2</v>
      </c>
      <c r="B10" s="4">
        <v>6</v>
      </c>
      <c r="C10">
        <v>4</v>
      </c>
      <c r="D10">
        <v>1.5</v>
      </c>
      <c r="E10">
        <v>1.7</v>
      </c>
      <c r="F10">
        <v>0.5</v>
      </c>
      <c r="G10">
        <v>25</v>
      </c>
      <c r="H10" t="s">
        <v>10</v>
      </c>
      <c r="I10">
        <v>3</v>
      </c>
      <c r="J10" t="s">
        <v>11</v>
      </c>
      <c r="K10" s="15">
        <v>1.382351984256739E-2</v>
      </c>
      <c r="L10" s="15">
        <v>3.4278093764252678E-2</v>
      </c>
      <c r="M10">
        <v>519.28815250005573</v>
      </c>
      <c r="N10">
        <f>M10/60</f>
        <v>8.6548025416675962</v>
      </c>
      <c r="O10">
        <f t="shared" si="1"/>
        <v>0.14424670902779327</v>
      </c>
      <c r="P10" s="5" t="s">
        <v>34</v>
      </c>
    </row>
    <row r="11" spans="1:16" ht="15" thickBot="1" x14ac:dyDescent="0.35">
      <c r="A11" s="6">
        <v>2</v>
      </c>
      <c r="B11" s="4">
        <v>6</v>
      </c>
      <c r="C11" s="16">
        <v>5</v>
      </c>
      <c r="D11" s="16">
        <v>1.5</v>
      </c>
      <c r="E11" s="16">
        <v>1.7</v>
      </c>
      <c r="F11" s="16">
        <v>0.5</v>
      </c>
      <c r="G11" s="16">
        <v>25</v>
      </c>
      <c r="H11" s="16" t="s">
        <v>13</v>
      </c>
      <c r="I11" s="16">
        <v>4</v>
      </c>
      <c r="J11" s="16" t="s">
        <v>14</v>
      </c>
      <c r="K11" s="21">
        <v>2.05229941077067E-2</v>
      </c>
      <c r="L11" s="21">
        <v>2.9840657480593009E-2</v>
      </c>
      <c r="M11" s="16">
        <v>1578.1970834999811</v>
      </c>
      <c r="N11" s="16">
        <f t="shared" si="0"/>
        <v>26.303284724999685</v>
      </c>
      <c r="O11" s="16">
        <f t="shared" si="1"/>
        <v>0.43838807874999475</v>
      </c>
      <c r="P11" s="5" t="s">
        <v>35</v>
      </c>
    </row>
    <row r="12" spans="1:16" x14ac:dyDescent="0.3">
      <c r="A12" s="17">
        <v>3</v>
      </c>
      <c r="B12" s="1">
        <v>1</v>
      </c>
      <c r="C12" s="2">
        <v>1</v>
      </c>
      <c r="D12" s="2">
        <v>1.5</v>
      </c>
      <c r="E12" s="2">
        <v>1.5</v>
      </c>
      <c r="F12" s="2">
        <v>0.7</v>
      </c>
      <c r="G12" s="2">
        <v>25</v>
      </c>
      <c r="H12" s="2" t="s">
        <v>1</v>
      </c>
      <c r="I12" s="2">
        <v>0</v>
      </c>
      <c r="J12" s="2" t="s">
        <v>2</v>
      </c>
      <c r="K12" s="13">
        <v>3.6102106059594671E-2</v>
      </c>
      <c r="L12" s="13">
        <v>4.4746418264825939E-3</v>
      </c>
      <c r="M12" s="2">
        <v>688.07731979992241</v>
      </c>
      <c r="N12" s="22">
        <f>M12/60</f>
        <v>11.467955329998707</v>
      </c>
      <c r="O12" s="2">
        <f>M12/3600</f>
        <v>0.19113258883331177</v>
      </c>
      <c r="P12" s="3" t="s">
        <v>36</v>
      </c>
    </row>
    <row r="13" spans="1:16" x14ac:dyDescent="0.3">
      <c r="A13" s="18">
        <v>3</v>
      </c>
      <c r="B13" s="4">
        <v>1</v>
      </c>
      <c r="C13" s="16">
        <v>2</v>
      </c>
      <c r="D13" s="16">
        <v>1.5</v>
      </c>
      <c r="E13" s="16">
        <v>1.5</v>
      </c>
      <c r="F13" s="16">
        <v>0.7</v>
      </c>
      <c r="G13" s="16">
        <v>25</v>
      </c>
      <c r="H13" s="16" t="s">
        <v>4</v>
      </c>
      <c r="I13" s="16">
        <v>1</v>
      </c>
      <c r="J13" s="16" t="s">
        <v>5</v>
      </c>
      <c r="K13" s="21">
        <v>3.6140015426741529E-2</v>
      </c>
      <c r="L13" s="21">
        <v>1.1762136731325531E-2</v>
      </c>
      <c r="M13" s="16">
        <v>279.19162469985889</v>
      </c>
      <c r="N13" s="20">
        <f t="shared" ref="N13:N21" si="2">M13/60</f>
        <v>4.6531937449976484</v>
      </c>
      <c r="O13" s="16">
        <f t="shared" ref="O13:O21" si="3">M13/3600</f>
        <v>7.7553229083294137E-2</v>
      </c>
      <c r="P13" s="5" t="s">
        <v>37</v>
      </c>
    </row>
    <row r="14" spans="1:16" x14ac:dyDescent="0.3">
      <c r="A14" s="18">
        <v>3</v>
      </c>
      <c r="B14" s="4">
        <v>1</v>
      </c>
      <c r="C14" s="16">
        <v>3</v>
      </c>
      <c r="D14" s="16">
        <v>1.5</v>
      </c>
      <c r="E14" s="16">
        <v>1.5</v>
      </c>
      <c r="F14" s="16">
        <v>0.7</v>
      </c>
      <c r="G14" s="16">
        <v>25</v>
      </c>
      <c r="H14" s="16" t="s">
        <v>7</v>
      </c>
      <c r="I14" s="16">
        <v>2</v>
      </c>
      <c r="J14" s="16" t="s">
        <v>8</v>
      </c>
      <c r="K14" s="21">
        <v>3.6362696049238051E-2</v>
      </c>
      <c r="L14" s="21">
        <v>4.3581664033486523E-3</v>
      </c>
      <c r="M14" s="16">
        <v>500.43288689991459</v>
      </c>
      <c r="N14" s="20">
        <f t="shared" si="2"/>
        <v>8.3405481149985761</v>
      </c>
      <c r="O14" s="16">
        <f t="shared" si="3"/>
        <v>0.13900913524997627</v>
      </c>
      <c r="P14" s="5" t="s">
        <v>38</v>
      </c>
    </row>
    <row r="15" spans="1:16" x14ac:dyDescent="0.3">
      <c r="A15" s="18">
        <v>3</v>
      </c>
      <c r="B15" s="4">
        <v>1</v>
      </c>
      <c r="C15" s="16">
        <v>4</v>
      </c>
      <c r="D15" s="16">
        <v>1.5</v>
      </c>
      <c r="E15" s="16">
        <v>1.5</v>
      </c>
      <c r="F15" s="16">
        <v>0.7</v>
      </c>
      <c r="G15" s="16">
        <v>25</v>
      </c>
      <c r="H15" s="16" t="s">
        <v>10</v>
      </c>
      <c r="I15" s="16">
        <v>3</v>
      </c>
      <c r="J15" s="16" t="s">
        <v>11</v>
      </c>
      <c r="K15" s="21">
        <v>1.281453147188211E-2</v>
      </c>
      <c r="L15" s="21">
        <v>4.155380038366778E-2</v>
      </c>
      <c r="M15" s="16">
        <v>1765.3752510999329</v>
      </c>
      <c r="N15" s="20">
        <f t="shared" si="2"/>
        <v>29.422920851665548</v>
      </c>
      <c r="O15" s="16">
        <f t="shared" si="3"/>
        <v>0.49038201419442584</v>
      </c>
      <c r="P15" s="5" t="s">
        <v>39</v>
      </c>
    </row>
    <row r="16" spans="1:16" ht="15" thickBot="1" x14ac:dyDescent="0.35">
      <c r="A16" s="19">
        <v>3</v>
      </c>
      <c r="B16" s="6">
        <v>1</v>
      </c>
      <c r="C16" s="7">
        <v>5</v>
      </c>
      <c r="D16" s="7">
        <v>1.5</v>
      </c>
      <c r="E16" s="7">
        <v>1.5</v>
      </c>
      <c r="F16" s="7">
        <v>0.7</v>
      </c>
      <c r="G16" s="7">
        <v>25</v>
      </c>
      <c r="H16" s="7" t="s">
        <v>13</v>
      </c>
      <c r="I16" s="7">
        <v>4</v>
      </c>
      <c r="J16" s="7" t="s">
        <v>14</v>
      </c>
      <c r="K16" s="14">
        <v>1.0589859911840801E-2</v>
      </c>
      <c r="L16" s="14">
        <v>3.6420267736647451E-2</v>
      </c>
      <c r="M16" s="7">
        <v>849.98632079991512</v>
      </c>
      <c r="N16" s="23">
        <f t="shared" si="2"/>
        <v>14.166438679998585</v>
      </c>
      <c r="O16" s="7">
        <f t="shared" si="3"/>
        <v>0.23610731133330976</v>
      </c>
      <c r="P16" s="8" t="s">
        <v>40</v>
      </c>
    </row>
    <row r="17" spans="1:16" x14ac:dyDescent="0.3">
      <c r="A17" s="17">
        <v>3</v>
      </c>
      <c r="B17" s="1">
        <v>2</v>
      </c>
      <c r="C17" s="2">
        <v>1</v>
      </c>
      <c r="D17" s="2">
        <v>1.5</v>
      </c>
      <c r="E17" s="2">
        <v>1.7</v>
      </c>
      <c r="F17" s="2">
        <v>0.7</v>
      </c>
      <c r="G17" s="2">
        <v>25</v>
      </c>
      <c r="H17" s="2" t="s">
        <v>1</v>
      </c>
      <c r="I17" s="2">
        <v>0</v>
      </c>
      <c r="J17" s="2" t="s">
        <v>2</v>
      </c>
      <c r="K17" s="13">
        <v>3.3510623056888407E-2</v>
      </c>
      <c r="L17" s="13">
        <v>6.0274314663375768E-3</v>
      </c>
      <c r="M17" s="2">
        <v>465.91654959996231</v>
      </c>
      <c r="N17" s="22">
        <f t="shared" si="2"/>
        <v>7.7652758266660387</v>
      </c>
      <c r="O17" s="2">
        <f t="shared" si="3"/>
        <v>0.1294212637777673</v>
      </c>
      <c r="P17" s="3" t="s">
        <v>41</v>
      </c>
    </row>
    <row r="18" spans="1:16" x14ac:dyDescent="0.3">
      <c r="A18" s="18">
        <v>3</v>
      </c>
      <c r="B18" s="4">
        <v>2</v>
      </c>
      <c r="C18" s="16">
        <v>2</v>
      </c>
      <c r="D18" s="16">
        <v>1.5</v>
      </c>
      <c r="E18" s="16">
        <v>1.7</v>
      </c>
      <c r="F18" s="16">
        <v>0.7</v>
      </c>
      <c r="G18" s="16">
        <v>25</v>
      </c>
      <c r="H18" s="16" t="s">
        <v>4</v>
      </c>
      <c r="I18" s="16">
        <v>1</v>
      </c>
      <c r="J18" s="16" t="s">
        <v>5</v>
      </c>
      <c r="K18" s="21">
        <v>4.9475221686729777E-2</v>
      </c>
      <c r="L18" s="21">
        <v>1.330156233550344E-2</v>
      </c>
      <c r="M18" s="16">
        <v>451.07118889992131</v>
      </c>
      <c r="N18" s="20">
        <f t="shared" si="2"/>
        <v>7.5178531483320219</v>
      </c>
      <c r="O18" s="16">
        <f t="shared" si="3"/>
        <v>0.12529755247220037</v>
      </c>
      <c r="P18" s="5" t="s">
        <v>42</v>
      </c>
    </row>
    <row r="19" spans="1:16" x14ac:dyDescent="0.3">
      <c r="A19" s="18">
        <v>3</v>
      </c>
      <c r="B19" s="4">
        <v>2</v>
      </c>
      <c r="C19" s="16">
        <v>3</v>
      </c>
      <c r="D19" s="16">
        <v>1.5</v>
      </c>
      <c r="E19" s="16">
        <v>1.7</v>
      </c>
      <c r="F19" s="16">
        <v>0.7</v>
      </c>
      <c r="G19" s="16">
        <v>25</v>
      </c>
      <c r="H19" s="16" t="s">
        <v>7</v>
      </c>
      <c r="I19" s="16">
        <v>2</v>
      </c>
      <c r="J19" s="16" t="s">
        <v>8</v>
      </c>
      <c r="K19" s="21">
        <v>3.4526965111119128E-2</v>
      </c>
      <c r="L19" s="21">
        <v>3.2857354920381797E-2</v>
      </c>
      <c r="M19" s="16">
        <v>397.93010830017738</v>
      </c>
      <c r="N19" s="20">
        <f t="shared" si="2"/>
        <v>6.6321684716696234</v>
      </c>
      <c r="O19" s="16">
        <f t="shared" si="3"/>
        <v>0.11053614119449372</v>
      </c>
      <c r="P19" s="5" t="s">
        <v>43</v>
      </c>
    </row>
    <row r="20" spans="1:16" x14ac:dyDescent="0.3">
      <c r="A20" s="18">
        <v>3</v>
      </c>
      <c r="B20" s="4">
        <v>2</v>
      </c>
      <c r="C20" s="16">
        <v>4</v>
      </c>
      <c r="D20" s="16">
        <v>1.5</v>
      </c>
      <c r="E20" s="16">
        <v>1.7</v>
      </c>
      <c r="F20" s="16">
        <v>0.7</v>
      </c>
      <c r="G20" s="16">
        <v>25</v>
      </c>
      <c r="H20" s="16" t="s">
        <v>10</v>
      </c>
      <c r="I20" s="16">
        <v>3</v>
      </c>
      <c r="J20" s="16" t="s">
        <v>11</v>
      </c>
      <c r="K20" s="21">
        <v>1.10128713901312E-2</v>
      </c>
      <c r="L20" s="21">
        <v>4.0370788188432483E-2</v>
      </c>
      <c r="M20" s="16">
        <v>1905.5208133999261</v>
      </c>
      <c r="N20" s="20">
        <f t="shared" si="2"/>
        <v>31.7586802233321</v>
      </c>
      <c r="O20" s="16">
        <f t="shared" si="3"/>
        <v>0.52931133705553501</v>
      </c>
      <c r="P20" s="5" t="s">
        <v>44</v>
      </c>
    </row>
    <row r="21" spans="1:16" ht="15" thickBot="1" x14ac:dyDescent="0.35">
      <c r="A21" s="19">
        <v>3</v>
      </c>
      <c r="B21" s="6">
        <v>2</v>
      </c>
      <c r="C21" s="7">
        <v>5</v>
      </c>
      <c r="D21" s="7">
        <v>1.5</v>
      </c>
      <c r="E21" s="7">
        <v>1.7</v>
      </c>
      <c r="F21" s="7">
        <v>0.7</v>
      </c>
      <c r="G21" s="7">
        <v>25</v>
      </c>
      <c r="H21" s="7" t="s">
        <v>13</v>
      </c>
      <c r="I21" s="7">
        <v>4</v>
      </c>
      <c r="J21" s="7" t="s">
        <v>14</v>
      </c>
      <c r="K21" s="14">
        <v>2.0308943682727891E-2</v>
      </c>
      <c r="L21" s="14">
        <v>2.3179331749495991E-2</v>
      </c>
      <c r="M21" s="7">
        <v>999.56100159999914</v>
      </c>
      <c r="N21" s="23">
        <f t="shared" si="2"/>
        <v>16.659350026666651</v>
      </c>
      <c r="O21" s="7">
        <f t="shared" si="3"/>
        <v>0.27765583377777753</v>
      </c>
      <c r="P21" s="8" t="s">
        <v>45</v>
      </c>
    </row>
    <row r="24" spans="1:16" x14ac:dyDescent="0.3">
      <c r="B24" t="s">
        <v>46</v>
      </c>
    </row>
  </sheetData>
  <autoFilter ref="A1:P1" xr:uid="{00000000-0001-0000-0000-000000000000}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FERNANDA FOLCH</dc:creator>
  <cp:lastModifiedBy>MARIA FERNANDA FOLCH</cp:lastModifiedBy>
  <dcterms:created xsi:type="dcterms:W3CDTF">2015-06-05T18:19:34Z</dcterms:created>
  <dcterms:modified xsi:type="dcterms:W3CDTF">2026-04-11T18:03:59Z</dcterms:modified>
</cp:coreProperties>
</file>