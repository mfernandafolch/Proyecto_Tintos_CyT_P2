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\codigos_optimizacion\hiperparametros\resultados_cv_pso_20260410_125509\"/>
    </mc:Choice>
  </mc:AlternateContent>
  <xr:revisionPtr revIDLastSave="0" documentId="13_ncr:1_{AA992039-271E-4729-867F-D13E7B27833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Sheet1!$A$1:$O$1</definedName>
    <definedName name="_xlchart.v1.0" hidden="1">Hoja1!$D$12:$D$16</definedName>
    <definedName name="_xlchart.v1.1" hidden="1">Hoja1!$D$17:$D$21</definedName>
    <definedName name="_xlchart.v1.10" hidden="1">Hoja1!$F$2</definedName>
    <definedName name="_xlchart.v1.11" hidden="1">Hoja1!$F$3</definedName>
    <definedName name="_xlchart.v1.12" hidden="1">Hoja1!$F$4</definedName>
    <definedName name="_xlchart.v1.13" hidden="1">Hoja1!$F$5</definedName>
    <definedName name="_xlchart.v1.14" hidden="1">Hoja1!$F$6</definedName>
    <definedName name="_xlchart.v1.15" hidden="1">Hoja1!$F$7</definedName>
    <definedName name="_xlchart.v1.16" hidden="1">Hoja1!$F$8</definedName>
    <definedName name="_xlchart.v1.17" hidden="1">Hoja1!$F$9</definedName>
    <definedName name="_xlchart.v1.18" hidden="1">Hoja1!$B$12:$B$16</definedName>
    <definedName name="_xlchart.v1.19" hidden="1">Hoja1!$B$17:$B$21</definedName>
    <definedName name="_xlchart.v1.2" hidden="1">Hoja1!$D$22:$D$26</definedName>
    <definedName name="_xlchart.v1.20" hidden="1">Hoja1!$B$22:$B$26</definedName>
    <definedName name="_xlchart.v1.21" hidden="1">Hoja1!$B$27:$B$31</definedName>
    <definedName name="_xlchart.v1.22" hidden="1">Hoja1!$B$2:$B$6</definedName>
    <definedName name="_xlchart.v1.23" hidden="1">Hoja1!$B$32:$B$36</definedName>
    <definedName name="_xlchart.v1.24" hidden="1">Hoja1!$B$37:$B$41</definedName>
    <definedName name="_xlchart.v1.25" hidden="1">Hoja1!$B$42:$B$46</definedName>
    <definedName name="_xlchart.v1.26" hidden="1">Hoja1!$B$7:$B$11</definedName>
    <definedName name="_xlchart.v1.27" hidden="1">Hoja1!$F$10</definedName>
    <definedName name="_xlchart.v1.28" hidden="1">Hoja1!$F$2</definedName>
    <definedName name="_xlchart.v1.29" hidden="1">Hoja1!$F$3</definedName>
    <definedName name="_xlchart.v1.3" hidden="1">Hoja1!$D$27:$D$31</definedName>
    <definedName name="_xlchart.v1.30" hidden="1">Hoja1!$F$4</definedName>
    <definedName name="_xlchart.v1.31" hidden="1">Hoja1!$F$5</definedName>
    <definedName name="_xlchart.v1.32" hidden="1">Hoja1!$F$6</definedName>
    <definedName name="_xlchart.v1.33" hidden="1">Hoja1!$F$7</definedName>
    <definedName name="_xlchart.v1.34" hidden="1">Hoja1!$F$8</definedName>
    <definedName name="_xlchart.v1.35" hidden="1">Hoja1!$F$9</definedName>
    <definedName name="_xlchart.v1.36" hidden="1">Hoja1!$M$19</definedName>
    <definedName name="_xlchart.v1.37" hidden="1">Hoja1!$C$12:$C$16</definedName>
    <definedName name="_xlchart.v1.38" hidden="1">Hoja1!$C$17:$C$21</definedName>
    <definedName name="_xlchart.v1.39" hidden="1">Hoja1!$C$22:$C$26</definedName>
    <definedName name="_xlchart.v1.4" hidden="1">Hoja1!$D$2:$D$6</definedName>
    <definedName name="_xlchart.v1.40" hidden="1">Hoja1!$C$27:$C$31</definedName>
    <definedName name="_xlchart.v1.41" hidden="1">Hoja1!$C$2:$C$6</definedName>
    <definedName name="_xlchart.v1.42" hidden="1">Hoja1!$C$32:$C$36</definedName>
    <definedName name="_xlchart.v1.43" hidden="1">Hoja1!$C$37:$C$41</definedName>
    <definedName name="_xlchart.v1.44" hidden="1">Hoja1!$C$42:$C$46</definedName>
    <definedName name="_xlchart.v1.45" hidden="1">Hoja1!$C$7:$C$11</definedName>
    <definedName name="_xlchart.v1.46" hidden="1">Hoja1!$D$12:$D$16</definedName>
    <definedName name="_xlchart.v1.47" hidden="1">Hoja1!$D$17:$D$21</definedName>
    <definedName name="_xlchart.v1.48" hidden="1">Hoja1!$D$22:$D$26</definedName>
    <definedName name="_xlchart.v1.49" hidden="1">Hoja1!$D$27:$D$31</definedName>
    <definedName name="_xlchart.v1.5" hidden="1">Hoja1!$D$32:$D$36</definedName>
    <definedName name="_xlchart.v1.50" hidden="1">Hoja1!$D$2:$D$6</definedName>
    <definedName name="_xlchart.v1.51" hidden="1">Hoja1!$D$32:$D$36</definedName>
    <definedName name="_xlchart.v1.52" hidden="1">Hoja1!$D$37:$D$41</definedName>
    <definedName name="_xlchart.v1.53" hidden="1">Hoja1!$D$42:$D$46</definedName>
    <definedName name="_xlchart.v1.54" hidden="1">Hoja1!$D$7:$D$11</definedName>
    <definedName name="_xlchart.v1.55" hidden="1">Hoja1!$M$19</definedName>
    <definedName name="_xlchart.v1.56" hidden="1">Hoja1!$C$12:$C$16</definedName>
    <definedName name="_xlchart.v1.57" hidden="1">Hoja1!$C$17:$C$21</definedName>
    <definedName name="_xlchart.v1.58" hidden="1">Hoja1!$C$22:$C$26</definedName>
    <definedName name="_xlchart.v1.59" hidden="1">Hoja1!$C$27:$C$31</definedName>
    <definedName name="_xlchart.v1.6" hidden="1">Hoja1!$D$37:$D$41</definedName>
    <definedName name="_xlchart.v1.60" hidden="1">Hoja1!$C$2:$C$6</definedName>
    <definedName name="_xlchart.v1.61" hidden="1">Hoja1!$C$32:$C$36</definedName>
    <definedName name="_xlchart.v1.62" hidden="1">Hoja1!$C$37:$C$41</definedName>
    <definedName name="_xlchart.v1.63" hidden="1">Hoja1!$C$42:$C$46</definedName>
    <definedName name="_xlchart.v1.64" hidden="1">Hoja1!$C$7:$C$11</definedName>
    <definedName name="_xlchart.v1.65" hidden="1">Hoja1!$D$12:$D$16</definedName>
    <definedName name="_xlchart.v1.66" hidden="1">Hoja1!$D$17:$D$21</definedName>
    <definedName name="_xlchart.v1.67" hidden="1">Hoja1!$D$22:$D$26</definedName>
    <definedName name="_xlchart.v1.68" hidden="1">Hoja1!$D$27:$D$31</definedName>
    <definedName name="_xlchart.v1.69" hidden="1">Hoja1!$D$2:$D$6</definedName>
    <definedName name="_xlchart.v1.7" hidden="1">Hoja1!$D$42:$D$46</definedName>
    <definedName name="_xlchart.v1.70" hidden="1">Hoja1!$D$32:$D$36</definedName>
    <definedName name="_xlchart.v1.71" hidden="1">Hoja1!$D$37:$D$41</definedName>
    <definedName name="_xlchart.v1.72" hidden="1">Hoja1!$D$42:$D$46</definedName>
    <definedName name="_xlchart.v1.73" hidden="1">Hoja1!$D$7:$D$11</definedName>
    <definedName name="_xlchart.v1.74" hidden="1">Hoja1!$M$19</definedName>
    <definedName name="_xlchart.v1.8" hidden="1">Hoja1!$D$7:$D$11</definedName>
    <definedName name="_xlchart.v1.9" hidden="1">Hoja1!$F$10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I10" i="2"/>
  <c r="I9" i="2"/>
  <c r="I8" i="2"/>
  <c r="I7" i="2"/>
  <c r="I6" i="2"/>
  <c r="I5" i="2"/>
  <c r="I4" i="2"/>
  <c r="I3" i="2"/>
  <c r="I2" i="2"/>
  <c r="H10" i="2"/>
  <c r="H9" i="2"/>
  <c r="H8" i="2"/>
  <c r="H7" i="2"/>
  <c r="H6" i="2"/>
  <c r="H5" i="2"/>
  <c r="H4" i="2"/>
  <c r="H3" i="2"/>
  <c r="H2" i="2"/>
  <c r="G10" i="2"/>
  <c r="G9" i="2"/>
  <c r="G8" i="2"/>
  <c r="G7" i="2"/>
  <c r="G6" i="2"/>
  <c r="G5" i="2"/>
  <c r="G4" i="2"/>
  <c r="G3" i="2"/>
  <c r="G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2" i="2"/>
  <c r="M13" i="1"/>
  <c r="N13" i="1"/>
  <c r="M14" i="1"/>
  <c r="N14" i="1"/>
  <c r="M15" i="1"/>
  <c r="N15" i="1"/>
  <c r="M16" i="1"/>
  <c r="N16" i="1"/>
  <c r="M7" i="1"/>
  <c r="N7" i="1"/>
  <c r="M8" i="1"/>
  <c r="N8" i="1"/>
  <c r="M9" i="1"/>
  <c r="N9" i="1"/>
  <c r="M10" i="1"/>
  <c r="N10" i="1"/>
  <c r="M11" i="1"/>
  <c r="N1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2" i="1"/>
  <c r="N2" i="1"/>
  <c r="M3" i="1"/>
  <c r="N3" i="1"/>
  <c r="M4" i="1"/>
  <c r="N4" i="1"/>
  <c r="M5" i="1"/>
  <c r="N5" i="1"/>
  <c r="M6" i="1"/>
  <c r="N6" i="1"/>
  <c r="M42" i="1"/>
  <c r="N42" i="1"/>
  <c r="M43" i="1"/>
  <c r="N43" i="1"/>
  <c r="M44" i="1"/>
  <c r="N44" i="1"/>
  <c r="M45" i="1"/>
  <c r="N45" i="1"/>
  <c r="M46" i="1"/>
  <c r="N46" i="1"/>
  <c r="M37" i="1"/>
  <c r="N37" i="1"/>
  <c r="M38" i="1"/>
  <c r="N38" i="1"/>
  <c r="M39" i="1"/>
  <c r="N39" i="1"/>
  <c r="M40" i="1"/>
  <c r="N40" i="1"/>
  <c r="M41" i="1"/>
  <c r="N41" i="1"/>
  <c r="M17" i="1"/>
  <c r="N17" i="1"/>
  <c r="M18" i="1"/>
  <c r="N18" i="1"/>
  <c r="M19" i="1"/>
  <c r="N19" i="1"/>
  <c r="M20" i="1"/>
  <c r="N20" i="1"/>
  <c r="M21" i="1"/>
  <c r="N21" i="1"/>
  <c r="M32" i="1"/>
  <c r="N32" i="1"/>
  <c r="M33" i="1"/>
  <c r="N33" i="1"/>
  <c r="M34" i="1"/>
  <c r="N34" i="1"/>
  <c r="M35" i="1"/>
  <c r="N35" i="1"/>
  <c r="M36" i="1"/>
  <c r="N36" i="1"/>
  <c r="N12" i="1"/>
  <c r="M12" i="1"/>
</calcChain>
</file>

<file path=xl/sharedStrings.xml><?xml version="1.0" encoding="utf-8"?>
<sst xmlns="http://schemas.openxmlformats.org/spreadsheetml/2006/main" count="159" uniqueCount="75">
  <si>
    <t>combo_id</t>
  </si>
  <si>
    <t>fold_id</t>
  </si>
  <si>
    <t>c1</t>
  </si>
  <si>
    <t>c2</t>
  </si>
  <si>
    <t>w</t>
  </si>
  <si>
    <t>pop_size</t>
  </si>
  <si>
    <t>train_indices</t>
  </si>
  <si>
    <t>val_index</t>
  </si>
  <si>
    <t>train_names</t>
  </si>
  <si>
    <t>train_cost_total</t>
  </si>
  <si>
    <t>val_cost</t>
  </si>
  <si>
    <t>elapsed_seconds</t>
  </si>
  <si>
    <t>best_theta_free</t>
  </si>
  <si>
    <t>[1, 2, 3, 4]</t>
  </si>
  <si>
    <t>["Data SY 24 LOU+VAL+FN estanque 36", "Data ME 24 QAGUA estanque 54", "Data CA 25 F.N. estanque 68", "Data CS 25 LOU estanque 61"]</t>
  </si>
  <si>
    <t>[0.05743006496982955, 3.4057274992017055, 2.5477100529217287, 2.6543294511296702, 8.047752559407249, 0.3495668850032425, 0.5666150236660455]</t>
  </si>
  <si>
    <t>[0, 2, 3, 4]</t>
  </si>
  <si>
    <t>["Data CS 24 LOU estanque 54", "Data ME 24 QAGUA estanque 54", "Data CA 25 F.N. estanque 68", "Data CS 25 LOU estanque 61"]</t>
  </si>
  <si>
    <t>[0.04686268807193122, 4.7211663949055644, 3.0589576788455703, 2.2912270174507943, 8.444370776811583, 0.36391132426841255, 0.5699844378804247]</t>
  </si>
  <si>
    <t>[0, 1, 3, 4]</t>
  </si>
  <si>
    <t>["Data CS 24 LOU estanque 54", "Data SY 24 LOU+VAL+FN estanque 36", "Data CA 25 F.N. estanque 68", "Data CS 25 LOU estanque 61"]</t>
  </si>
  <si>
    <t>[0.5739020225939767, 0.6019819815264078, 2.3516177277632377, 3.789627125221867, 2.6736579641670835, 0.21065210753197144, 0.7484170471929342]</t>
  </si>
  <si>
    <t>[0, 1, 2, 4]</t>
  </si>
  <si>
    <t>["Data CS 24 LOU estanque 54", "Data SY 24 LOU+VAL+FN estanque 36", "Data ME 24 QAGUA estanque 54", "Data CS 25 LOU estanque 61"]</t>
  </si>
  <si>
    <t>[0.06650695167325772, 3.8390389566077254, 3.6515999469223925, 1.5378566677902277, 9.962684471059008, 0.3637977959998839, 0.61314356607098]</t>
  </si>
  <si>
    <t>[0, 1, 2, 3]</t>
  </si>
  <si>
    <t>["Data CS 24 LOU estanque 54", "Data SY 24 LOU+VAL+FN estanque 36", "Data ME 24 QAGUA estanque 54", "Data CA 25 F.N. estanque 68"]</t>
  </si>
  <si>
    <t>[0.08441519225468921, 4.246242275621194, 3.8131011126891057, 1.3472714065590037, 5.200651846916482, 0.6177994006750661, 0.26904634418548645]</t>
  </si>
  <si>
    <t>[0.060710530373351515, 3.1593260672092995, 5.159113163574376, 1.349804778785431, 9.906752869692694, 0.21944036282335153, 3.250416163030855]</t>
  </si>
  <si>
    <t>[0.527697816942632, 4.271990606594147, 6.562691982441858, 0.7950394064765819, 9.943136946989531, 0.4144654299732662, 0.492174805715944]</t>
  </si>
  <si>
    <t>[0.07496810340405702, 3.091867584549169, 2.4002086457061815, 2.3080205035421235, 1.879172311680058, 0.46405858528391064, 0.4017410848186288]</t>
  </si>
  <si>
    <t>[0.11624461337745781, 3.3434254817638736, 5.2355809937674795, 1.1093712678136307, 9.790383368262663, 0.34440166520400306, 0.5789908728016602]</t>
  </si>
  <si>
    <t>[0.08745369778057689, 1.955500892586054, 4.732936814608457, 1.994982713271479, 9.484437762605884, 0.28546537957996776, 0.6518693276180557]</t>
  </si>
  <si>
    <t>[0.05665757199294358, 3.9582942248067345, 8.418486942606204, 0.7990569966959513, 6.812728256349691, 0.36376837073733376, 0.5142789879424162]</t>
  </si>
  <si>
    <t>[0.5870113107590044, 3.57976405031716, 7.440439283351584, 0.791103671135938, 8.445084003404185, 0.33615148500257813, 0.6001408073176521]</t>
  </si>
  <si>
    <t>[0.11772264332810184, 2.4149478469698713, 1.4032126608391797, 3.192442081100003, 3.6462705375568354, 0.6492435886379532, 0.21330113454530467]</t>
  </si>
  <si>
    <t>[0.06935926993907962, 3.7330726553280433, 6.615994702679708, 0.9144091011239442, 9.298304991427202, 0.288891727792399, 0.7303538405222991]</t>
  </si>
  <si>
    <t>[0.17176506892797863, 2.950158421226937, 4.070288411798075, 1.5646787611362598, 8.943313138233941, 0.5126615613081309, 0.37582161330395997]</t>
  </si>
  <si>
    <t>[0.07205597548001921, 3.051877264102989, 3.230187207065939, 2.0293511084741787, 9.081750374904342, 0.37918899928163563, 0.5030664137977054]</t>
  </si>
  <si>
    <t>[0.05714589536289872, 3.9662531634666447, 3.6578009767113504, 1.6902733958149718, 9.984612163977024, 0.39162945808218885, 0.5129467498349135]</t>
  </si>
  <si>
    <t>[0.07347494330352035, 2.4142837097344505, 3.297382438802873, 2.2453303906828554, 6.128206830974596, 0.3161071296279448, 0.6259710055953972]</t>
  </si>
  <si>
    <t>[0.06977672055062382, 3.7131190553941864, 3.0007492983748087, 1.8163926767552743, 7.3960941625977865, 0.37885161103168097, 0.589625567485847]</t>
  </si>
  <si>
    <t>[0.14254475134895114, 1.8578834871965104, 4.251571930754905, 2.1228646737242363, 9.235883179404887, 0.3569854701730564, 0.5530379098151066]</t>
  </si>
  <si>
    <t>[0.3085279512777794, 2.7362480795931683, 4.823986447826843, 1.2658583955658005, 8.241785633889288, 0.33023390122870216, 0.6655644348812042]</t>
  </si>
  <si>
    <t>[0.05416749288458604, 3.014751892070803, 4.284866089427147, 1.8428008306622066, 7.742606367110312, 0.27263882497100445, 0.6843555282000545]</t>
  </si>
  <si>
    <t>[0.13401622779920142, 1.747954094180493, 0.4818126051955068, 5.8566404242107035, 3.4061559651337183, 0.6898742314458853, 0.14684178122427946]</t>
  </si>
  <si>
    <t>[0.07173633857894947, 3.4554804879499432, 3.023025317935525, 1.905654554875205, 8.256279934462533, 0.3653195589974322, 0.6153176117462813]</t>
  </si>
  <si>
    <t>[0.057139328146371696, 4.695079085159542, 5.108450044559915, 1.1371681630123394, 9.04897871430463, 0.4886649140948586, 0.37920164612936696]</t>
  </si>
  <si>
    <t>[0.07431625538212566, 1.9059965698749621, 3.8630589833413653, 2.2967101128845164, 9.080634684118207, 0.26157688165762566, 0.6356176060587955]</t>
  </si>
  <si>
    <t>[0.06428232912379701, 2.0969004037864263, 5.7418068941917415, 1.5077275686244473, 6.655600486029244, 0.21368913479103874, 0.7198028119072272]</t>
  </si>
  <si>
    <t>[0.08682316105269508, 0.4942209817761904, 1.8657511682105687, 5.508974857210432, 3.7047583825729946, 0.11763431222401972, 0.940879886608291]</t>
  </si>
  <si>
    <t>[0.09268857942383078, 1.892440953082372, 2.0234555600810635, 3.255428167710991, 8.257060841286245, 0.31209708860819757, 0.7140514125320374]</t>
  </si>
  <si>
    <t>[0.07798053779777611, 2.483932798966776, 5.562539626326873, 1.606308147457887, 7.767282033370105, 0.3209851203366269, 0.5891601224942361]</t>
  </si>
  <si>
    <t>[0.06112246495659726, 1.8267681944219272, 7.532479710634868, 1.27514146739539, 9.936791476305435, 0.18280088647935666, 0.7009935752359749]</t>
  </si>
  <si>
    <t>[0.060094633258673424, 3.537609403450545, 5.559334059772325, 1.2548569564062997, 9.048314351064853, 0.3358640045384066, 0.5597919140459587]</t>
  </si>
  <si>
    <t>[0.07492493889139631, 4.141390436501611, 3.1951291335343033, 1.447635801852923, 7.01093721447117, 0.5726919441818668, 0.27723435662523066]</t>
  </si>
  <si>
    <t>[0.10752724450989873, 1.791216460600451, 5.24149371323581, 1.4044216527685798, 7.106942744879555, 0.20716842564581808, 0.8276999273355253]</t>
  </si>
  <si>
    <t>[0.08484703141258537, 2.702703159396398, 3.941505849799656, 1.9710171564439796, 8.905336093377025, 0.41752289639621964, 0.4709459209781018]</t>
  </si>
  <si>
    <t>[0.0653074040039418, 2.104943347497967, 5.225654610973291, 1.7048725138568401, 8.953383589354212, 0.23249142350423363, 0.6709375985186917]</t>
  </si>
  <si>
    <t>[0.04817908813198697, 3.958686136053911, 4.381997504658312, 1.6693230324037713, 9.218327261044125, 0.30378972231125134, 0.6458085646055676]</t>
  </si>
  <si>
    <t>[0.12338063889076542, 2.7485287939557037, 1.4532389259495964, 2.609490144670575, 2.3236879262308414, 0.7741936607914873, 0.15437436490281276]</t>
  </si>
  <si>
    <t>[0.06963851613892225, 3.7293253903926766, 3.1626742057080697, 1.7387747075152726, 8.414251260490161, 0.37786344687368634, 0.5815985557588309]</t>
  </si>
  <si>
    <t>[0.06926838205015994, 2.4525309015438452, 4.334277868562505, 1.9119231293899024, 9.588601408064255, 0.3113001693735336, 0.6003014294257706]</t>
  </si>
  <si>
    <t>[0.08370949537751937, 1.5123362400945874, 2.876725617298136, 3.158168128861585, 9.978679979260383, 0.2366280672313779, 0.7090171196259584]</t>
  </si>
  <si>
    <t>[0.07789840527495813, 2.55707494507697, 5.931163396069752, 1.6483455637765674, 9.040060297501325, 0.4276288827573977, 0.4319319033230369]</t>
  </si>
  <si>
    <t>[0.14151644132039098, 0.9658049296368345, 2.4924814348237834, 4.823119111570964, 3.058924141960141, 0.4601930543720412, 0.4322313118316226]</t>
  </si>
  <si>
    <t>[0.0684810758506317, 3.714167736890422, 3.0278309338353684, 1.8287110334828445, 6.732724245038302, 0.376321295027149, 0.5906145269957239]</t>
  </si>
  <si>
    <t>[0.06923664500862761, 2.9555287101793644, 4.198227369977157, 1.7725375752252308, 8.735950354376255, 0.3699486926028834, 0.5236070623199838]</t>
  </si>
  <si>
    <t>minutos</t>
  </si>
  <si>
    <t>horas</t>
  </si>
  <si>
    <t>ave_cost</t>
  </si>
  <si>
    <t>train_prom</t>
  </si>
  <si>
    <t>train_std</t>
  </si>
  <si>
    <t>val_prom</t>
  </si>
  <si>
    <t>val_std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</si>
</sst>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00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1" fillId="0" borderId="14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0" fontId="3" fillId="0" borderId="16" xfId="0" applyFont="1" applyBorder="1" applyAlignment="1">
      <alignment horizontal="center" vertical="top"/>
    </xf>
    <xf numFmtId="164" fontId="0" fillId="0" borderId="4" xfId="0" applyNumberFormat="1" applyBorder="1"/>
    <xf numFmtId="164" fontId="0" fillId="0" borderId="0" xfId="0" applyNumberFormat="1"/>
    <xf numFmtId="164" fontId="0" fillId="0" borderId="9" xfId="0" applyNumberFormat="1" applyBorder="1"/>
    <xf numFmtId="165" fontId="0" fillId="0" borderId="0" xfId="0" applyNumberFormat="1"/>
    <xf numFmtId="165" fontId="0" fillId="0" borderId="4" xfId="0" applyNumberFormat="1" applyBorder="1"/>
    <xf numFmtId="165" fontId="0" fillId="0" borderId="9" xfId="0" applyNumberFormat="1" applyBorder="1"/>
    <xf numFmtId="0" fontId="0" fillId="2" borderId="3" xfId="0" applyFill="1" applyBorder="1"/>
    <xf numFmtId="164" fontId="0" fillId="2" borderId="4" xfId="0" applyNumberFormat="1" applyFill="1" applyBorder="1"/>
    <xf numFmtId="165" fontId="0" fillId="2" borderId="0" xfId="0" applyNumberFormat="1" applyFill="1"/>
    <xf numFmtId="165" fontId="0" fillId="2" borderId="4" xfId="0" applyNumberFormat="1" applyFill="1" applyBorder="1"/>
    <xf numFmtId="0" fontId="0" fillId="2" borderId="6" xfId="0" applyFill="1" applyBorder="1"/>
    <xf numFmtId="164" fontId="0" fillId="2" borderId="0" xfId="0" applyNumberFormat="1" applyFill="1"/>
    <xf numFmtId="0" fontId="0" fillId="2" borderId="8" xfId="0" applyFill="1" applyBorder="1"/>
    <xf numFmtId="164" fontId="0" fillId="2" borderId="9" xfId="0" applyNumberFormat="1" applyFill="1" applyBorder="1"/>
    <xf numFmtId="165" fontId="0" fillId="2" borderId="9" xfId="0" applyNumberFormat="1" applyFill="1" applyBorder="1"/>
    <xf numFmtId="0" fontId="0" fillId="3" borderId="3" xfId="0" applyFill="1" applyBorder="1"/>
    <xf numFmtId="164" fontId="0" fillId="3" borderId="4" xfId="0" applyNumberFormat="1" applyFill="1" applyBorder="1"/>
    <xf numFmtId="165" fontId="0" fillId="3" borderId="0" xfId="0" applyNumberFormat="1" applyFill="1"/>
    <xf numFmtId="165" fontId="0" fillId="3" borderId="4" xfId="0" applyNumberFormat="1" applyFill="1" applyBorder="1"/>
    <xf numFmtId="0" fontId="0" fillId="3" borderId="6" xfId="0" applyFill="1" applyBorder="1"/>
    <xf numFmtId="164" fontId="0" fillId="3" borderId="0" xfId="0" applyNumberFormat="1" applyFill="1"/>
    <xf numFmtId="0" fontId="0" fillId="3" borderId="8" xfId="0" applyFill="1" applyBorder="1"/>
    <xf numFmtId="164" fontId="0" fillId="3" borderId="9" xfId="0" applyNumberFormat="1" applyFill="1" applyBorder="1"/>
    <xf numFmtId="165" fontId="0" fillId="3" borderId="9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  <cx:data id="1">
      <cx:numDim type="val">
        <cx:f>_xlchart.v1.26</cx:f>
      </cx:numDim>
    </cx:data>
    <cx:data id="2">
      <cx:numDim type="val">
        <cx:f>_xlchart.v1.18</cx:f>
      </cx:numDim>
    </cx:data>
    <cx:data id="3">
      <cx:numDim type="val">
        <cx:f>_xlchart.v1.19</cx:f>
      </cx:numDim>
    </cx:data>
    <cx:data id="4">
      <cx:numDim type="val">
        <cx:f>_xlchart.v1.20</cx:f>
      </cx:numDim>
    </cx:data>
    <cx:data id="5">
      <cx:numDim type="val">
        <cx:f>_xlchart.v1.21</cx:f>
      </cx:numDim>
    </cx:data>
    <cx:data id="6">
      <cx:numDim type="val">
        <cx:f>_xlchart.v1.23</cx:f>
      </cx:numDim>
    </cx:data>
    <cx:data id="7">
      <cx:numDim type="val">
        <cx:f>_xlchart.v1.24</cx:f>
      </cx:numDim>
    </cx:data>
    <cx:data id="8">
      <cx:numDim type="val">
        <cx:f>_xlchart.v1.25</cx:f>
      </cx:numDim>
    </cx:data>
  </cx:chartData>
  <cx:chart>
    <cx:title pos="t" align="ctr" overlay="0">
      <cx:tx>
        <cx:txData>
          <cx:v>Train cost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Train cost</a:t>
          </a:r>
        </a:p>
      </cx:txPr>
    </cx:title>
    <cx:plotArea>
      <cx:plotAreaRegion>
        <cx:series layoutId="boxWhisker" uniqueId="{00000001-ABD9-44B0-9997-5991F7E3E07A}" formatIdx="1">
          <cx:tx>
            <cx:txData>
              <cx:f>_xlchart.v1.28</cx:f>
              <cx:v>1</cx:v>
            </cx:txData>
          </cx:tx>
          <cx:dataId val="0"/>
          <cx:layoutPr>
            <cx:statistics quartileMethod="exclusive"/>
          </cx:layoutPr>
        </cx:series>
        <cx:series layoutId="boxWhisker" uniqueId="{00000002-ABD9-44B0-9997-5991F7E3E07A}" formatIdx="2">
          <cx:tx>
            <cx:txData>
              <cx:f>_xlchart.v1.29</cx:f>
              <cx:v>2</cx:v>
            </cx:txData>
          </cx:tx>
          <cx:dataId val="1"/>
          <cx:layoutPr>
            <cx:statistics quartileMethod="exclusive"/>
          </cx:layoutPr>
        </cx:series>
        <cx:series layoutId="boxWhisker" uniqueId="{00000003-ABD9-44B0-9997-5991F7E3E07A}">
          <cx:tx>
            <cx:txData>
              <cx:f>_xlchart.v1.30</cx:f>
              <cx:v>3</cx:v>
            </cx:txData>
          </cx:tx>
          <cx:dataId val="2"/>
          <cx:layoutPr>
            <cx:statistics quartileMethod="exclusive"/>
          </cx:layoutPr>
        </cx:series>
        <cx:series layoutId="boxWhisker" uniqueId="{00000004-ABD9-44B0-9997-5991F7E3E07A}">
          <cx:tx>
            <cx:txData>
              <cx:f>_xlchart.v1.31</cx:f>
              <cx:v>4</cx:v>
            </cx:txData>
          </cx:tx>
          <cx:dataId val="3"/>
          <cx:layoutPr>
            <cx:statistics quartileMethod="exclusive"/>
          </cx:layoutPr>
        </cx:series>
        <cx:series layoutId="boxWhisker" uniqueId="{00000005-ABD9-44B0-9997-5991F7E3E07A}">
          <cx:tx>
            <cx:txData>
              <cx:f>_xlchart.v1.32</cx:f>
              <cx:v>5</cx:v>
            </cx:txData>
          </cx:tx>
          <cx:dataId val="4"/>
          <cx:layoutPr>
            <cx:statistics quartileMethod="exclusive"/>
          </cx:layoutPr>
        </cx:series>
        <cx:series layoutId="boxWhisker" uniqueId="{00000006-ABD9-44B0-9997-5991F7E3E07A}">
          <cx:tx>
            <cx:txData>
              <cx:f>_xlchart.v1.33</cx:f>
              <cx:v>6</cx:v>
            </cx:txData>
          </cx:tx>
          <cx:dataId val="5"/>
          <cx:layoutPr>
            <cx:statistics quartileMethod="exclusive"/>
          </cx:layoutPr>
        </cx:series>
        <cx:series layoutId="boxWhisker" uniqueId="{00000007-ABD9-44B0-9997-5991F7E3E07A}">
          <cx:tx>
            <cx:txData>
              <cx:f>_xlchart.v1.34</cx:f>
              <cx:v>7</cx:v>
            </cx:txData>
          </cx:tx>
          <cx:dataId val="6"/>
          <cx:layoutPr>
            <cx:statistics quartileMethod="exclusive"/>
          </cx:layoutPr>
        </cx:series>
        <cx:series layoutId="boxWhisker" uniqueId="{00000008-ABD9-44B0-9997-5991F7E3E07A}">
          <cx:tx>
            <cx:txData>
              <cx:f>_xlchart.v1.35</cx:f>
              <cx:v>8</cx:v>
            </cx:txData>
          </cx:tx>
          <cx:dataId val="7"/>
          <cx:layoutPr>
            <cx:statistics quartileMethod="exclusive"/>
          </cx:layoutPr>
        </cx:series>
        <cx:series layoutId="boxWhisker" uniqueId="{00000009-ABD9-44B0-9997-5991F7E3E07A}">
          <cx:tx>
            <cx:txData>
              <cx:f>_xlchart.v1.27</cx:f>
              <cx:v>9</cx:v>
            </cx:txData>
          </cx:tx>
          <cx:dataId val="8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0,00" sourceLinked="0"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_xlchart.v1.8</cx:f>
      </cx:numDim>
    </cx:data>
    <cx:data id="2">
      <cx:numDim type="val">
        <cx:f>_xlchart.v1.0</cx:f>
      </cx:numDim>
    </cx:data>
    <cx:data id="3">
      <cx:numDim type="val">
        <cx:f>_xlchart.v1.1</cx:f>
      </cx:numDim>
    </cx:data>
    <cx:data id="4">
      <cx:numDim type="val">
        <cx:f>_xlchart.v1.2</cx:f>
      </cx:numDim>
    </cx:data>
    <cx:data id="5">
      <cx:numDim type="val">
        <cx:f>_xlchart.v1.3</cx:f>
      </cx:numDim>
    </cx:data>
    <cx:data id="6">
      <cx:numDim type="val">
        <cx:f>_xlchart.v1.5</cx:f>
      </cx:numDim>
    </cx:data>
    <cx:data id="7">
      <cx:numDim type="val">
        <cx:f>_xlchart.v1.6</cx:f>
      </cx:numDim>
    </cx:data>
    <cx:data id="8">
      <cx:numDim type="val">
        <cx:f>_xlchart.v1.7</cx:f>
      </cx:numDim>
    </cx:data>
  </cx:chartData>
  <cx:chart>
    <cx:title pos="t" align="ctr" overlay="0">
      <cx:tx>
        <cx:txData>
          <cx:v>Validation cost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Validation cost</a:t>
          </a:r>
        </a:p>
      </cx:txPr>
    </cx:title>
    <cx:plotArea>
      <cx:plotAreaRegion>
        <cx:series layoutId="boxWhisker" uniqueId="{00000001-ABD9-44B0-9997-5991F7E3E07A}" formatIdx="1">
          <cx:tx>
            <cx:txData>
              <cx:f>_xlchart.v1.10</cx:f>
              <cx:v>1</cx:v>
            </cx:txData>
          </cx:tx>
          <cx:dataId val="0"/>
          <cx:layoutPr>
            <cx:statistics quartileMethod="exclusive"/>
          </cx:layoutPr>
        </cx:series>
        <cx:series layoutId="boxWhisker" uniqueId="{00000002-ABD9-44B0-9997-5991F7E3E07A}" formatIdx="2">
          <cx:tx>
            <cx:txData>
              <cx:f>_xlchart.v1.11</cx:f>
              <cx:v>2</cx:v>
            </cx:txData>
          </cx:tx>
          <cx:dataId val="1"/>
          <cx:layoutPr>
            <cx:statistics quartileMethod="exclusive"/>
          </cx:layoutPr>
        </cx:series>
        <cx:series layoutId="boxWhisker" uniqueId="{00000003-ABD9-44B0-9997-5991F7E3E07A}">
          <cx:tx>
            <cx:txData>
              <cx:f>_xlchart.v1.12</cx:f>
              <cx:v>3</cx:v>
            </cx:txData>
          </cx:tx>
          <cx:dataId val="2"/>
          <cx:layoutPr>
            <cx:statistics quartileMethod="exclusive"/>
          </cx:layoutPr>
        </cx:series>
        <cx:series layoutId="boxWhisker" uniqueId="{00000004-ABD9-44B0-9997-5991F7E3E07A}">
          <cx:tx>
            <cx:txData>
              <cx:f>_xlchart.v1.13</cx:f>
              <cx:v>4</cx:v>
            </cx:txData>
          </cx:tx>
          <cx:dataId val="3"/>
          <cx:layoutPr>
            <cx:statistics quartileMethod="exclusive"/>
          </cx:layoutPr>
        </cx:series>
        <cx:series layoutId="boxWhisker" uniqueId="{00000005-ABD9-44B0-9997-5991F7E3E07A}">
          <cx:tx>
            <cx:txData>
              <cx:f>_xlchart.v1.14</cx:f>
              <cx:v>5</cx:v>
            </cx:txData>
          </cx:tx>
          <cx:dataId val="4"/>
          <cx:layoutPr>
            <cx:statistics quartileMethod="exclusive"/>
          </cx:layoutPr>
        </cx:series>
        <cx:series layoutId="boxWhisker" uniqueId="{00000006-ABD9-44B0-9997-5991F7E3E07A}">
          <cx:tx>
            <cx:txData>
              <cx:f>_xlchart.v1.15</cx:f>
              <cx:v>6</cx:v>
            </cx:txData>
          </cx:tx>
          <cx:dataId val="5"/>
          <cx:layoutPr>
            <cx:statistics quartileMethod="exclusive"/>
          </cx:layoutPr>
        </cx:series>
        <cx:series layoutId="boxWhisker" uniqueId="{00000007-ABD9-44B0-9997-5991F7E3E07A}">
          <cx:tx>
            <cx:txData>
              <cx:f>_xlchart.v1.16</cx:f>
              <cx:v>7</cx:v>
            </cx:txData>
          </cx:tx>
          <cx:dataId val="6"/>
          <cx:layoutPr>
            <cx:statistics quartileMethod="exclusive"/>
          </cx:layoutPr>
        </cx:series>
        <cx:series layoutId="boxWhisker" uniqueId="{00000008-ABD9-44B0-9997-5991F7E3E07A}">
          <cx:tx>
            <cx:txData>
              <cx:f>_xlchart.v1.17</cx:f>
              <cx:v>8</cx:v>
            </cx:txData>
          </cx:tx>
          <cx:dataId val="7"/>
          <cx:layoutPr>
            <cx:statistics quartileMethod="exclusive"/>
          </cx:layoutPr>
        </cx:series>
        <cx:series layoutId="boxWhisker" uniqueId="{00000009-ABD9-44B0-9997-5991F7E3E07A}">
          <cx:tx>
            <cx:txData>
              <cx:f>_xlchart.v1.9</cx:f>
              <cx:v>9</cx:v>
            </cx:txData>
          </cx:tx>
          <cx:dataId val="8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0.040000000000000008"/>
        <cx:majorGridlines/>
        <cx:tickLabels/>
        <cx:numFmt formatCode="0,000" sourceLinked="0"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_xlchart.v1.50</cx:f>
      </cx:numDim>
    </cx:data>
    <cx:data id="2">
      <cx:numDim type="val">
        <cx:f>_xlchart.v1.45</cx:f>
      </cx:numDim>
    </cx:data>
    <cx:data id="3">
      <cx:numDim type="val">
        <cx:f>_xlchart.v1.54</cx:f>
      </cx:numDim>
    </cx:data>
    <cx:data id="4">
      <cx:numDim type="val">
        <cx:f>_xlchart.v1.37</cx:f>
      </cx:numDim>
    </cx:data>
    <cx:data id="5">
      <cx:numDim type="val">
        <cx:f>_xlchart.v1.46</cx:f>
      </cx:numDim>
    </cx:data>
    <cx:data id="6">
      <cx:numDim type="val">
        <cx:f>_xlchart.v1.38</cx:f>
      </cx:numDim>
    </cx:data>
    <cx:data id="7">
      <cx:numDim type="val">
        <cx:f>_xlchart.v1.47</cx:f>
      </cx:numDim>
    </cx:data>
    <cx:data id="8">
      <cx:numDim type="val">
        <cx:f>_xlchart.v1.39</cx:f>
      </cx:numDim>
    </cx:data>
    <cx:data id="9">
      <cx:numDim type="val">
        <cx:f>_xlchart.v1.48</cx:f>
      </cx:numDim>
    </cx:data>
    <cx:data id="10">
      <cx:numDim type="val">
        <cx:f>_xlchart.v1.40</cx:f>
      </cx:numDim>
    </cx:data>
    <cx:data id="11">
      <cx:numDim type="val">
        <cx:f>_xlchart.v1.49</cx:f>
      </cx:numDim>
    </cx:data>
    <cx:data id="12">
      <cx:numDim type="val">
        <cx:f>_xlchart.v1.42</cx:f>
      </cx:numDim>
    </cx:data>
    <cx:data id="13">
      <cx:numDim type="val">
        <cx:f>_xlchart.v1.51</cx:f>
      </cx:numDim>
    </cx:data>
    <cx:data id="14">
      <cx:numDim type="val">
        <cx:f>_xlchart.v1.43</cx:f>
      </cx:numDim>
    </cx:data>
    <cx:data id="15">
      <cx:numDim type="val">
        <cx:f>_xlchart.v1.52</cx:f>
      </cx:numDim>
    </cx:data>
    <cx:data id="16">
      <cx:numDim type="val">
        <cx:f>_xlchart.v1.44</cx:f>
      </cx:numDim>
    </cx:data>
    <cx:data id="17">
      <cx:numDim type="val">
        <cx:f>_xlchart.v1.53</cx:f>
      </cx:numDim>
    </cx:data>
  </cx:chartData>
  <cx:chart>
    <cx:title pos="t" align="ctr" overlay="0"/>
    <cx:plotArea>
      <cx:plotAreaRegion>
        <cx:series layoutId="boxWhisker" uniqueId="{1801D75C-2FD6-4A43-B32D-40831D46013D}">
          <cx:tx>
            <cx:txData>
              <cx:v>train cost 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E00-45E3-BCDA-FE3A558046F7}">
          <cx:tx>
            <cx:txData>
              <cx:v>val cost 1</cx:v>
            </cx:txData>
          </cx:tx>
          <cx:dataId val="1"/>
          <cx:layoutPr>
            <cx:statistics quartileMethod="exclusive"/>
          </cx:layoutPr>
        </cx:series>
        <cx:series layoutId="boxWhisker" uniqueId="{00000002-9E00-45E3-BCDA-FE3A558046F7}">
          <cx:tx>
            <cx:txData>
              <cx:v>train cost 2</cx:v>
            </cx:txData>
          </cx:tx>
          <cx:dataId val="2"/>
          <cx:layoutPr>
            <cx:statistics quartileMethod="exclusive"/>
          </cx:layoutPr>
        </cx:series>
        <cx:series layoutId="boxWhisker" uniqueId="{00000003-9E00-45E3-BCDA-FE3A558046F7}">
          <cx:tx>
            <cx:txData>
              <cx:v>val cost 2</cx:v>
            </cx:txData>
          </cx:tx>
          <cx:dataId val="3"/>
          <cx:layoutPr>
            <cx:statistics quartileMethod="exclusive"/>
          </cx:layoutPr>
        </cx:series>
        <cx:series layoutId="boxWhisker" uniqueId="{00000004-9E00-45E3-BCDA-FE3A558046F7}">
          <cx:tx>
            <cx:txData>
              <cx:v>train cost 3</cx:v>
            </cx:txData>
          </cx:tx>
          <cx:dataId val="4"/>
          <cx:layoutPr>
            <cx:statistics quartileMethod="exclusive"/>
          </cx:layoutPr>
        </cx:series>
        <cx:series layoutId="boxWhisker" uniqueId="{00000005-9E00-45E3-BCDA-FE3A558046F7}">
          <cx:tx>
            <cx:txData>
              <cx:v>val cost 3</cx:v>
            </cx:txData>
          </cx:tx>
          <cx:dataId val="5"/>
          <cx:layoutPr>
            <cx:statistics quartileMethod="exclusive"/>
          </cx:layoutPr>
        </cx:series>
        <cx:series layoutId="boxWhisker" uniqueId="{00000006-9E00-45E3-BCDA-FE3A558046F7}">
          <cx:tx>
            <cx:txData>
              <cx:v>train cost 4</cx:v>
            </cx:txData>
          </cx:tx>
          <cx:dataId val="6"/>
          <cx:layoutPr>
            <cx:statistics quartileMethod="exclusive"/>
          </cx:layoutPr>
        </cx:series>
        <cx:series layoutId="boxWhisker" uniqueId="{00000007-9E00-45E3-BCDA-FE3A558046F7}">
          <cx:tx>
            <cx:txData>
              <cx:v>val cost 4</cx:v>
            </cx:txData>
          </cx:tx>
          <cx:dataId val="7"/>
          <cx:layoutPr>
            <cx:statistics quartileMethod="exclusive"/>
          </cx:layoutPr>
        </cx:series>
        <cx:series layoutId="boxWhisker" uniqueId="{00000008-9E00-45E3-BCDA-FE3A558046F7}">
          <cx:tx>
            <cx:txData>
              <cx:v>train cost 5</cx:v>
            </cx:txData>
          </cx:tx>
          <cx:dataId val="8"/>
          <cx:layoutPr>
            <cx:statistics quartileMethod="exclusive"/>
          </cx:layoutPr>
        </cx:series>
        <cx:series layoutId="boxWhisker" uniqueId="{00000009-9E00-45E3-BCDA-FE3A558046F7}">
          <cx:tx>
            <cx:txData>
              <cx:v>val cost 5</cx:v>
            </cx:txData>
          </cx:tx>
          <cx:dataId val="9"/>
          <cx:layoutPr>
            <cx:statistics quartileMethod="exclusive"/>
          </cx:layoutPr>
        </cx:series>
        <cx:series layoutId="boxWhisker" uniqueId="{0000000A-9E00-45E3-BCDA-FE3A558046F7}">
          <cx:tx>
            <cx:txData>
              <cx:v>train cost 6</cx:v>
            </cx:txData>
          </cx:tx>
          <cx:dataId val="10"/>
          <cx:layoutPr>
            <cx:statistics quartileMethod="exclusive"/>
          </cx:layoutPr>
        </cx:series>
        <cx:series layoutId="boxWhisker" uniqueId="{0000000B-9E00-45E3-BCDA-FE3A558046F7}">
          <cx:tx>
            <cx:txData>
              <cx:v>val cost 6</cx:v>
            </cx:txData>
          </cx:tx>
          <cx:dataId val="11"/>
          <cx:layoutPr>
            <cx:statistics quartileMethod="exclusive"/>
          </cx:layoutPr>
        </cx:series>
        <cx:series layoutId="boxWhisker" uniqueId="{0000000C-9E00-45E3-BCDA-FE3A558046F7}">
          <cx:tx>
            <cx:txData>
              <cx:v>train cost 7</cx:v>
            </cx:txData>
          </cx:tx>
          <cx:dataId val="12"/>
          <cx:layoutPr>
            <cx:statistics quartileMethod="exclusive"/>
          </cx:layoutPr>
        </cx:series>
        <cx:series layoutId="boxWhisker" uniqueId="{0000000D-9E00-45E3-BCDA-FE3A558046F7}">
          <cx:tx>
            <cx:txData>
              <cx:v>val cost 7</cx:v>
            </cx:txData>
          </cx:tx>
          <cx:dataId val="13"/>
          <cx:layoutPr>
            <cx:statistics quartileMethod="exclusive"/>
          </cx:layoutPr>
        </cx:series>
        <cx:series layoutId="boxWhisker" uniqueId="{0000000E-9E00-45E3-BCDA-FE3A558046F7}">
          <cx:tx>
            <cx:txData>
              <cx:v>train cost 8</cx:v>
            </cx:txData>
          </cx:tx>
          <cx:dataId val="14"/>
          <cx:layoutPr>
            <cx:statistics quartileMethod="exclusive"/>
          </cx:layoutPr>
        </cx:series>
        <cx:series layoutId="boxWhisker" uniqueId="{0000000F-9E00-45E3-BCDA-FE3A558046F7}">
          <cx:tx>
            <cx:txData>
              <cx:v>val cost 8</cx:v>
            </cx:txData>
          </cx:tx>
          <cx:dataId val="15"/>
          <cx:layoutPr>
            <cx:statistics quartileMethod="exclusive"/>
          </cx:layoutPr>
        </cx:series>
        <cx:series layoutId="boxWhisker" uniqueId="{00000010-9E00-45E3-BCDA-FE3A558046F7}">
          <cx:tx>
            <cx:txData>
              <cx:v>train cost 9</cx:v>
            </cx:txData>
          </cx:tx>
          <cx:dataId val="16"/>
          <cx:layoutPr>
            <cx:statistics quartileMethod="exclusive"/>
          </cx:layoutPr>
        </cx:series>
        <cx:series layoutId="boxWhisker" uniqueId="{00000011-9E00-45E3-BCDA-FE3A558046F7}">
          <cx:tx>
            <cx:txData>
              <cx:v>val cost 9</cx:v>
            </cx:txData>
          </cx:tx>
          <cx:dataId val="17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General" sourceLinked="0"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789017</xdr:colOff>
      <xdr:row>12</xdr:row>
      <xdr:rowOff>65463</xdr:rowOff>
    </xdr:from>
    <xdr:to>
      <xdr:col>11</xdr:col>
      <xdr:colOff>354677</xdr:colOff>
      <xdr:row>28</xdr:row>
      <xdr:rowOff>92133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90B0E00-7805-9585-3975-8AF044A622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07577" y="2282883"/>
              <a:ext cx="5113020" cy="2975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29</xdr:row>
      <xdr:rowOff>0</xdr:rowOff>
    </xdr:from>
    <xdr:to>
      <xdr:col>11</xdr:col>
      <xdr:colOff>358140</xdr:colOff>
      <xdr:row>45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2AC256C7-EBB2-4FFA-8106-059805870C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1040" y="5349240"/>
              <a:ext cx="5113020" cy="2975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640773</xdr:colOff>
      <xdr:row>13</xdr:row>
      <xdr:rowOff>31172</xdr:rowOff>
    </xdr:from>
    <xdr:to>
      <xdr:col>19</xdr:col>
      <xdr:colOff>360217</xdr:colOff>
      <xdr:row>32</xdr:row>
      <xdr:rowOff>138544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BEC0A399-04E3-15C0-C300-62644B4C50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8682" y="2414154"/>
              <a:ext cx="6037117" cy="3584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opLeftCell="A9" workbookViewId="0">
      <selection activeCell="Q33" sqref="Q33"/>
    </sheetView>
  </sheetViews>
  <sheetFormatPr baseColWidth="10" defaultColWidth="8.88671875" defaultRowHeight="14.4" x14ac:dyDescent="0.3"/>
  <cols>
    <col min="1" max="1" width="11.6640625" customWidth="1"/>
    <col min="2" max="2" width="9.21875" customWidth="1"/>
    <col min="3" max="4" width="7.33203125" bestFit="1" customWidth="1"/>
    <col min="5" max="5" width="6.88671875" bestFit="1" customWidth="1"/>
    <col min="6" max="6" width="12.77734375" bestFit="1" customWidth="1"/>
    <col min="7" max="7" width="14.21875" customWidth="1"/>
    <col min="8" max="8" width="13.44140625" bestFit="1" customWidth="1"/>
    <col min="9" max="9" width="116.33203125" customWidth="1"/>
    <col min="10" max="10" width="18.6640625" bestFit="1" customWidth="1"/>
    <col min="11" max="11" width="12.33203125" bestFit="1" customWidth="1"/>
    <col min="12" max="12" width="16.33203125" customWidth="1"/>
    <col min="15" max="15" width="134.21875" bestFit="1" customWidth="1"/>
  </cols>
  <sheetData>
    <row r="1" spans="1:15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68</v>
      </c>
      <c r="N1" s="1" t="s">
        <v>69</v>
      </c>
      <c r="O1" s="2" t="s">
        <v>12</v>
      </c>
    </row>
    <row r="2" spans="1:15" x14ac:dyDescent="0.3">
      <c r="A2" s="3">
        <v>1</v>
      </c>
      <c r="B2" s="4">
        <v>1</v>
      </c>
      <c r="C2" s="4">
        <v>1.3</v>
      </c>
      <c r="D2" s="4">
        <v>1.3</v>
      </c>
      <c r="E2" s="4">
        <v>0.5</v>
      </c>
      <c r="F2" s="4">
        <v>25</v>
      </c>
      <c r="G2" s="4" t="s">
        <v>13</v>
      </c>
      <c r="H2" s="4">
        <v>0</v>
      </c>
      <c r="I2" s="4" t="s">
        <v>14</v>
      </c>
      <c r="J2" s="4">
        <v>5.9809873388761703E-2</v>
      </c>
      <c r="K2" s="4">
        <v>1.368211066079977E-3</v>
      </c>
      <c r="L2" s="4">
        <v>287.34429100016132</v>
      </c>
      <c r="M2" s="4">
        <f t="shared" ref="M2:M46" si="0">L2/60</f>
        <v>4.7890715166693552</v>
      </c>
      <c r="N2" s="4">
        <f t="shared" ref="N2:N46" si="1">L2/3600</f>
        <v>7.9817858611155923E-2</v>
      </c>
      <c r="O2" s="5" t="s">
        <v>43</v>
      </c>
    </row>
    <row r="3" spans="1:15" x14ac:dyDescent="0.3">
      <c r="A3" s="6">
        <v>1</v>
      </c>
      <c r="B3">
        <v>2</v>
      </c>
      <c r="C3">
        <v>1.3</v>
      </c>
      <c r="D3">
        <v>1.3</v>
      </c>
      <c r="E3">
        <v>0.5</v>
      </c>
      <c r="F3">
        <v>25</v>
      </c>
      <c r="G3" t="s">
        <v>16</v>
      </c>
      <c r="H3">
        <v>1</v>
      </c>
      <c r="I3" t="s">
        <v>17</v>
      </c>
      <c r="J3">
        <v>3.6537832345779869E-2</v>
      </c>
      <c r="K3">
        <v>1.308584634016563E-2</v>
      </c>
      <c r="L3">
        <v>186.97507159993981</v>
      </c>
      <c r="M3">
        <f t="shared" si="0"/>
        <v>3.1162511933323302</v>
      </c>
      <c r="N3">
        <f t="shared" si="1"/>
        <v>5.1937519888872172E-2</v>
      </c>
      <c r="O3" s="7" t="s">
        <v>44</v>
      </c>
    </row>
    <row r="4" spans="1:15" x14ac:dyDescent="0.3">
      <c r="A4" s="6">
        <v>1</v>
      </c>
      <c r="B4">
        <v>3</v>
      </c>
      <c r="C4">
        <v>1.3</v>
      </c>
      <c r="D4">
        <v>1.3</v>
      </c>
      <c r="E4">
        <v>0.5</v>
      </c>
      <c r="F4">
        <v>25</v>
      </c>
      <c r="G4" t="s">
        <v>19</v>
      </c>
      <c r="H4">
        <v>2</v>
      </c>
      <c r="I4" t="s">
        <v>20</v>
      </c>
      <c r="J4">
        <v>3.9416017633434573E-2</v>
      </c>
      <c r="K4">
        <v>1.259852099258449E-2</v>
      </c>
      <c r="L4">
        <v>2589.4539303998458</v>
      </c>
      <c r="M4">
        <f t="shared" si="0"/>
        <v>43.157565506664099</v>
      </c>
      <c r="N4">
        <f t="shared" si="1"/>
        <v>0.71929275844440166</v>
      </c>
      <c r="O4" s="7" t="s">
        <v>45</v>
      </c>
    </row>
    <row r="5" spans="1:15" x14ac:dyDescent="0.3">
      <c r="A5" s="6">
        <v>1</v>
      </c>
      <c r="B5">
        <v>4</v>
      </c>
      <c r="C5">
        <v>1.3</v>
      </c>
      <c r="D5">
        <v>1.3</v>
      </c>
      <c r="E5">
        <v>0.5</v>
      </c>
      <c r="F5">
        <v>25</v>
      </c>
      <c r="G5" t="s">
        <v>22</v>
      </c>
      <c r="H5">
        <v>3</v>
      </c>
      <c r="I5" t="s">
        <v>23</v>
      </c>
      <c r="J5">
        <v>1.4024011753696041E-2</v>
      </c>
      <c r="K5">
        <v>3.2205856090402857E-2</v>
      </c>
      <c r="L5">
        <v>560.13612320018001</v>
      </c>
      <c r="M5">
        <f t="shared" si="0"/>
        <v>9.3356020533363342</v>
      </c>
      <c r="N5">
        <f t="shared" si="1"/>
        <v>0.15559336755560557</v>
      </c>
      <c r="O5" s="7" t="s">
        <v>46</v>
      </c>
    </row>
    <row r="6" spans="1:15" ht="15" thickBot="1" x14ac:dyDescent="0.35">
      <c r="A6" s="8">
        <v>1</v>
      </c>
      <c r="B6" s="9">
        <v>5</v>
      </c>
      <c r="C6" s="9">
        <v>1.3</v>
      </c>
      <c r="D6" s="9">
        <v>1.3</v>
      </c>
      <c r="E6" s="9">
        <v>0.5</v>
      </c>
      <c r="F6" s="9">
        <v>25</v>
      </c>
      <c r="G6" s="9" t="s">
        <v>25</v>
      </c>
      <c r="H6" s="9">
        <v>4</v>
      </c>
      <c r="I6" s="9" t="s">
        <v>26</v>
      </c>
      <c r="J6" s="9">
        <v>2.3523040715522341E-2</v>
      </c>
      <c r="K6" s="9">
        <v>2.0331737013582971E-2</v>
      </c>
      <c r="L6" s="9">
        <v>385.48144989996217</v>
      </c>
      <c r="M6" s="9">
        <f t="shared" si="0"/>
        <v>6.4246908316660365</v>
      </c>
      <c r="N6" s="9">
        <f t="shared" si="1"/>
        <v>0.10707818052776727</v>
      </c>
      <c r="O6" s="10" t="s">
        <v>47</v>
      </c>
    </row>
    <row r="7" spans="1:15" x14ac:dyDescent="0.3">
      <c r="A7" s="3">
        <v>2</v>
      </c>
      <c r="B7" s="4">
        <v>1</v>
      </c>
      <c r="C7" s="4">
        <v>1.3</v>
      </c>
      <c r="D7" s="4">
        <v>1.5</v>
      </c>
      <c r="E7" s="4">
        <v>0.5</v>
      </c>
      <c r="F7" s="4">
        <v>25</v>
      </c>
      <c r="G7" s="4" t="s">
        <v>13</v>
      </c>
      <c r="H7" s="4">
        <v>0</v>
      </c>
      <c r="I7" s="4" t="s">
        <v>14</v>
      </c>
      <c r="J7" s="4">
        <v>0.11014093419269839</v>
      </c>
      <c r="K7" s="4">
        <v>1.336312596285079E-2</v>
      </c>
      <c r="L7" s="4">
        <v>234.73196580004881</v>
      </c>
      <c r="M7" s="4">
        <f t="shared" si="0"/>
        <v>3.9121994300008134</v>
      </c>
      <c r="N7" s="4">
        <f t="shared" si="1"/>
        <v>6.5203323833346899E-2</v>
      </c>
      <c r="O7" s="5" t="s">
        <v>28</v>
      </c>
    </row>
    <row r="8" spans="1:15" x14ac:dyDescent="0.3">
      <c r="A8" s="6">
        <v>2</v>
      </c>
      <c r="B8">
        <v>2</v>
      </c>
      <c r="C8">
        <v>1.3</v>
      </c>
      <c r="D8">
        <v>1.5</v>
      </c>
      <c r="E8">
        <v>0.5</v>
      </c>
      <c r="F8">
        <v>25</v>
      </c>
      <c r="G8" t="s">
        <v>16</v>
      </c>
      <c r="H8">
        <v>1</v>
      </c>
      <c r="I8" t="s">
        <v>17</v>
      </c>
      <c r="J8">
        <v>5.2181290412349673E-2</v>
      </c>
      <c r="K8">
        <v>1.8345142741211962E-2</v>
      </c>
      <c r="L8">
        <v>353.27594480011612</v>
      </c>
      <c r="M8">
        <f t="shared" si="0"/>
        <v>5.8879324133352684</v>
      </c>
      <c r="N8">
        <f t="shared" si="1"/>
        <v>9.8132206888921145E-2</v>
      </c>
      <c r="O8" s="7" t="s">
        <v>29</v>
      </c>
    </row>
    <row r="9" spans="1:15" x14ac:dyDescent="0.3">
      <c r="A9" s="6">
        <v>2</v>
      </c>
      <c r="B9">
        <v>3</v>
      </c>
      <c r="C9">
        <v>1.3</v>
      </c>
      <c r="D9">
        <v>1.5</v>
      </c>
      <c r="E9">
        <v>0.5</v>
      </c>
      <c r="F9">
        <v>25</v>
      </c>
      <c r="G9" t="s">
        <v>19</v>
      </c>
      <c r="H9">
        <v>2</v>
      </c>
      <c r="I9" t="s">
        <v>20</v>
      </c>
      <c r="J9">
        <v>3.8115069327132912E-2</v>
      </c>
      <c r="K9">
        <v>3.6107962121198068E-3</v>
      </c>
      <c r="L9">
        <v>198.84488649992269</v>
      </c>
      <c r="M9">
        <f t="shared" si="0"/>
        <v>3.3140814416653783</v>
      </c>
      <c r="N9">
        <f t="shared" si="1"/>
        <v>5.5234690694422973E-2</v>
      </c>
      <c r="O9" s="7" t="s">
        <v>30</v>
      </c>
    </row>
    <row r="10" spans="1:15" x14ac:dyDescent="0.3">
      <c r="A10" s="6">
        <v>2</v>
      </c>
      <c r="B10">
        <v>4</v>
      </c>
      <c r="C10">
        <v>1.3</v>
      </c>
      <c r="D10">
        <v>1.5</v>
      </c>
      <c r="E10">
        <v>0.5</v>
      </c>
      <c r="F10">
        <v>25</v>
      </c>
      <c r="G10" t="s">
        <v>22</v>
      </c>
      <c r="H10">
        <v>3</v>
      </c>
      <c r="I10" t="s">
        <v>23</v>
      </c>
      <c r="J10">
        <v>2.6843485796550531E-2</v>
      </c>
      <c r="K10">
        <v>2.3917191535657481E-2</v>
      </c>
      <c r="L10">
        <v>671.33372580003925</v>
      </c>
      <c r="M10">
        <f t="shared" si="0"/>
        <v>11.188895430000654</v>
      </c>
      <c r="N10">
        <f t="shared" si="1"/>
        <v>0.1864815905000109</v>
      </c>
      <c r="O10" s="7" t="s">
        <v>31</v>
      </c>
    </row>
    <row r="11" spans="1:15" ht="15" thickBot="1" x14ac:dyDescent="0.35">
      <c r="A11" s="8">
        <v>2</v>
      </c>
      <c r="B11" s="9">
        <v>5</v>
      </c>
      <c r="C11" s="9">
        <v>1.3</v>
      </c>
      <c r="D11" s="9">
        <v>1.5</v>
      </c>
      <c r="E11" s="9">
        <v>0.5</v>
      </c>
      <c r="F11" s="9">
        <v>25</v>
      </c>
      <c r="G11" s="9" t="s">
        <v>25</v>
      </c>
      <c r="H11" s="9">
        <v>4</v>
      </c>
      <c r="I11" s="9" t="s">
        <v>26</v>
      </c>
      <c r="J11" s="9">
        <v>1.471339601635227E-2</v>
      </c>
      <c r="K11" s="9">
        <v>3.2118686996010851E-2</v>
      </c>
      <c r="L11" s="9">
        <v>462.58200139994727</v>
      </c>
      <c r="M11" s="9">
        <f t="shared" si="0"/>
        <v>7.7097000233324549</v>
      </c>
      <c r="N11" s="9">
        <f t="shared" si="1"/>
        <v>0.12849500038887424</v>
      </c>
      <c r="O11" s="10" t="s">
        <v>32</v>
      </c>
    </row>
    <row r="12" spans="1:15" x14ac:dyDescent="0.3">
      <c r="A12" s="3">
        <v>3</v>
      </c>
      <c r="B12" s="4">
        <v>1</v>
      </c>
      <c r="C12" s="4">
        <v>1.3</v>
      </c>
      <c r="D12" s="4">
        <v>1.7</v>
      </c>
      <c r="E12" s="4">
        <v>0.5</v>
      </c>
      <c r="F12" s="4">
        <v>25</v>
      </c>
      <c r="G12" s="4" t="s">
        <v>13</v>
      </c>
      <c r="H12" s="4">
        <v>0</v>
      </c>
      <c r="I12" s="4" t="s">
        <v>14</v>
      </c>
      <c r="J12" s="4">
        <v>4.2683591451956618E-2</v>
      </c>
      <c r="K12" s="4">
        <v>4.6186971706321271E-3</v>
      </c>
      <c r="L12" s="4">
        <v>149.4523718999699</v>
      </c>
      <c r="M12" s="4">
        <f t="shared" si="0"/>
        <v>2.4908728649994982</v>
      </c>
      <c r="N12" s="4">
        <f t="shared" si="1"/>
        <v>4.1514547749991637E-2</v>
      </c>
      <c r="O12" s="5" t="s">
        <v>15</v>
      </c>
    </row>
    <row r="13" spans="1:15" x14ac:dyDescent="0.3">
      <c r="A13" s="6">
        <v>3</v>
      </c>
      <c r="B13">
        <v>2</v>
      </c>
      <c r="C13">
        <v>1.3</v>
      </c>
      <c r="D13">
        <v>1.7</v>
      </c>
      <c r="E13">
        <v>0.5</v>
      </c>
      <c r="F13">
        <v>25</v>
      </c>
      <c r="G13" t="s">
        <v>16</v>
      </c>
      <c r="H13">
        <v>1</v>
      </c>
      <c r="I13" t="s">
        <v>17</v>
      </c>
      <c r="J13">
        <v>3.5331717659637427E-2</v>
      </c>
      <c r="K13">
        <v>1.6248414327385208E-2</v>
      </c>
      <c r="L13">
        <v>156.09834220004271</v>
      </c>
      <c r="M13">
        <f t="shared" si="0"/>
        <v>2.6016390366673785</v>
      </c>
      <c r="N13">
        <f t="shared" si="1"/>
        <v>4.3360650611122972E-2</v>
      </c>
      <c r="O13" s="7" t="s">
        <v>18</v>
      </c>
    </row>
    <row r="14" spans="1:15" x14ac:dyDescent="0.3">
      <c r="A14" s="6">
        <v>3</v>
      </c>
      <c r="B14">
        <v>3</v>
      </c>
      <c r="C14">
        <v>1.3</v>
      </c>
      <c r="D14">
        <v>1.7</v>
      </c>
      <c r="E14">
        <v>0.5</v>
      </c>
      <c r="F14">
        <v>25</v>
      </c>
      <c r="G14" t="s">
        <v>19</v>
      </c>
      <c r="H14">
        <v>2</v>
      </c>
      <c r="I14" t="s">
        <v>20</v>
      </c>
      <c r="J14">
        <v>5.4878510592963572E-2</v>
      </c>
      <c r="K14">
        <v>3.3224908453318033E-2</v>
      </c>
      <c r="L14">
        <v>834.15126130008139</v>
      </c>
      <c r="M14">
        <f t="shared" si="0"/>
        <v>13.902521021668024</v>
      </c>
      <c r="N14">
        <f t="shared" si="1"/>
        <v>0.23170868369446707</v>
      </c>
      <c r="O14" s="7" t="s">
        <v>21</v>
      </c>
    </row>
    <row r="15" spans="1:15" x14ac:dyDescent="0.3">
      <c r="A15" s="6">
        <v>3</v>
      </c>
      <c r="B15">
        <v>4</v>
      </c>
      <c r="C15">
        <v>1.3</v>
      </c>
      <c r="D15">
        <v>1.7</v>
      </c>
      <c r="E15">
        <v>0.5</v>
      </c>
      <c r="F15">
        <v>25</v>
      </c>
      <c r="G15" t="s">
        <v>22</v>
      </c>
      <c r="H15">
        <v>3</v>
      </c>
      <c r="I15" t="s">
        <v>23</v>
      </c>
      <c r="J15">
        <v>1.567739019244211E-2</v>
      </c>
      <c r="K15">
        <v>3.0472114134155289E-2</v>
      </c>
      <c r="L15">
        <v>320.52095089992508</v>
      </c>
      <c r="M15">
        <f t="shared" si="0"/>
        <v>5.3420158483320845</v>
      </c>
      <c r="N15">
        <f t="shared" si="1"/>
        <v>8.9033597472201409E-2</v>
      </c>
      <c r="O15" s="7" t="s">
        <v>24</v>
      </c>
    </row>
    <row r="16" spans="1:15" ht="15" thickBot="1" x14ac:dyDescent="0.35">
      <c r="A16" s="8">
        <v>3</v>
      </c>
      <c r="B16" s="9">
        <v>5</v>
      </c>
      <c r="C16" s="9">
        <v>1.3</v>
      </c>
      <c r="D16" s="9">
        <v>1.7</v>
      </c>
      <c r="E16" s="9">
        <v>0.5</v>
      </c>
      <c r="F16" s="9">
        <v>25</v>
      </c>
      <c r="G16" s="9" t="s">
        <v>25</v>
      </c>
      <c r="H16" s="9">
        <v>4</v>
      </c>
      <c r="I16" s="9" t="s">
        <v>26</v>
      </c>
      <c r="J16" s="9">
        <v>2.487960547072279E-2</v>
      </c>
      <c r="K16" s="9">
        <v>1.804443773671098E-2</v>
      </c>
      <c r="L16" s="9">
        <v>366.88351369998418</v>
      </c>
      <c r="M16" s="9">
        <f t="shared" si="0"/>
        <v>6.1147252283330698</v>
      </c>
      <c r="N16" s="9">
        <f t="shared" si="1"/>
        <v>0.1019120871388845</v>
      </c>
      <c r="O16" s="10" t="s">
        <v>27</v>
      </c>
    </row>
    <row r="17" spans="1:15" x14ac:dyDescent="0.3">
      <c r="A17" s="3">
        <v>4</v>
      </c>
      <c r="B17" s="4">
        <v>1</v>
      </c>
      <c r="C17" s="4">
        <v>1.5</v>
      </c>
      <c r="D17" s="4">
        <v>1.3</v>
      </c>
      <c r="E17" s="4">
        <v>0.5</v>
      </c>
      <c r="F17" s="4">
        <v>25</v>
      </c>
      <c r="G17" s="4" t="s">
        <v>13</v>
      </c>
      <c r="H17" s="4">
        <v>0</v>
      </c>
      <c r="I17" s="4" t="s">
        <v>14</v>
      </c>
      <c r="J17" s="4">
        <v>3.5840821263049612E-2</v>
      </c>
      <c r="K17" s="4">
        <v>6.0415756264380139E-3</v>
      </c>
      <c r="L17" s="4">
        <v>264.46626320015639</v>
      </c>
      <c r="M17" s="4">
        <f t="shared" si="0"/>
        <v>4.4077710533359395</v>
      </c>
      <c r="N17" s="4">
        <f t="shared" si="1"/>
        <v>7.3462850888932327E-2</v>
      </c>
      <c r="O17" s="5" t="s">
        <v>58</v>
      </c>
    </row>
    <row r="18" spans="1:15" x14ac:dyDescent="0.3">
      <c r="A18" s="6">
        <v>4</v>
      </c>
      <c r="B18">
        <v>2</v>
      </c>
      <c r="C18">
        <v>1.5</v>
      </c>
      <c r="D18">
        <v>1.3</v>
      </c>
      <c r="E18">
        <v>0.5</v>
      </c>
      <c r="F18">
        <v>25</v>
      </c>
      <c r="G18" t="s">
        <v>16</v>
      </c>
      <c r="H18">
        <v>1</v>
      </c>
      <c r="I18" t="s">
        <v>17</v>
      </c>
      <c r="J18">
        <v>3.5700784375061183E-2</v>
      </c>
      <c r="K18">
        <v>1.5727368058033792E-2</v>
      </c>
      <c r="L18">
        <v>2241.0164568000469</v>
      </c>
      <c r="M18">
        <f t="shared" si="0"/>
        <v>37.350274280000782</v>
      </c>
      <c r="N18">
        <f t="shared" si="1"/>
        <v>0.62250457133334636</v>
      </c>
      <c r="O18" s="7" t="s">
        <v>59</v>
      </c>
    </row>
    <row r="19" spans="1:15" x14ac:dyDescent="0.3">
      <c r="A19" s="6">
        <v>4</v>
      </c>
      <c r="B19">
        <v>3</v>
      </c>
      <c r="C19">
        <v>1.5</v>
      </c>
      <c r="D19">
        <v>1.3</v>
      </c>
      <c r="E19">
        <v>0.5</v>
      </c>
      <c r="F19">
        <v>25</v>
      </c>
      <c r="G19" t="s">
        <v>19</v>
      </c>
      <c r="H19">
        <v>2</v>
      </c>
      <c r="I19" t="s">
        <v>20</v>
      </c>
      <c r="J19">
        <v>3.8713233936280372E-2</v>
      </c>
      <c r="K19">
        <v>1.1468046946065919E-2</v>
      </c>
      <c r="L19">
        <v>6144.3154174000956</v>
      </c>
      <c r="M19">
        <f t="shared" si="0"/>
        <v>102.40525695666825</v>
      </c>
      <c r="N19">
        <f t="shared" si="1"/>
        <v>1.7067542826111377</v>
      </c>
      <c r="O19" s="7" t="s">
        <v>60</v>
      </c>
    </row>
    <row r="20" spans="1:15" x14ac:dyDescent="0.3">
      <c r="A20" s="6">
        <v>4</v>
      </c>
      <c r="B20">
        <v>4</v>
      </c>
      <c r="C20">
        <v>1.5</v>
      </c>
      <c r="D20">
        <v>1.3</v>
      </c>
      <c r="E20">
        <v>0.5</v>
      </c>
      <c r="F20">
        <v>25</v>
      </c>
      <c r="G20" t="s">
        <v>22</v>
      </c>
      <c r="H20">
        <v>3</v>
      </c>
      <c r="I20" t="s">
        <v>23</v>
      </c>
      <c r="J20">
        <v>1.4103679291452559E-2</v>
      </c>
      <c r="K20">
        <v>3.2247774478268688E-2</v>
      </c>
      <c r="L20">
        <v>164.20901639992371</v>
      </c>
      <c r="M20">
        <f t="shared" si="0"/>
        <v>2.7368169399987283</v>
      </c>
      <c r="N20">
        <f t="shared" si="1"/>
        <v>4.5613615666645478E-2</v>
      </c>
      <c r="O20" s="7" t="s">
        <v>61</v>
      </c>
    </row>
    <row r="21" spans="1:15" ht="15" thickBot="1" x14ac:dyDescent="0.35">
      <c r="A21" s="8">
        <v>4</v>
      </c>
      <c r="B21" s="9">
        <v>5</v>
      </c>
      <c r="C21" s="9">
        <v>1.5</v>
      </c>
      <c r="D21" s="9">
        <v>1.3</v>
      </c>
      <c r="E21" s="9">
        <v>0.5</v>
      </c>
      <c r="F21" s="9">
        <v>25</v>
      </c>
      <c r="G21" s="9" t="s">
        <v>25</v>
      </c>
      <c r="H21" s="9">
        <v>4</v>
      </c>
      <c r="I21" s="9" t="s">
        <v>26</v>
      </c>
      <c r="J21" s="9">
        <v>2.091163242815821E-2</v>
      </c>
      <c r="K21" s="9">
        <v>2.0743365246711071E-2</v>
      </c>
      <c r="L21" s="9">
        <v>181.8829920000862</v>
      </c>
      <c r="M21" s="9">
        <f t="shared" si="0"/>
        <v>3.0313832000014367</v>
      </c>
      <c r="N21" s="9">
        <f t="shared" si="1"/>
        <v>5.0523053333357278E-2</v>
      </c>
      <c r="O21" s="10" t="s">
        <v>62</v>
      </c>
    </row>
    <row r="22" spans="1:15" x14ac:dyDescent="0.3">
      <c r="A22" s="3">
        <v>5</v>
      </c>
      <c r="B22" s="4">
        <v>1</v>
      </c>
      <c r="C22" s="4">
        <v>1.5</v>
      </c>
      <c r="D22" s="4">
        <v>1.5</v>
      </c>
      <c r="E22" s="4">
        <v>0.5</v>
      </c>
      <c r="F22" s="4">
        <v>25</v>
      </c>
      <c r="G22" s="4" t="s">
        <v>13</v>
      </c>
      <c r="H22" s="4">
        <v>0</v>
      </c>
      <c r="I22" s="4" t="s">
        <v>14</v>
      </c>
      <c r="J22" s="4">
        <v>4.5608199354003433E-2</v>
      </c>
      <c r="K22" s="4">
        <v>1.4230563740411991E-3</v>
      </c>
      <c r="L22" s="4">
        <v>235.0503550001886</v>
      </c>
      <c r="M22" s="4">
        <f t="shared" si="0"/>
        <v>3.9175059166698101</v>
      </c>
      <c r="N22" s="4">
        <f t="shared" si="1"/>
        <v>6.5291765277830163E-2</v>
      </c>
      <c r="O22" s="5" t="s">
        <v>33</v>
      </c>
    </row>
    <row r="23" spans="1:15" x14ac:dyDescent="0.3">
      <c r="A23" s="6">
        <v>5</v>
      </c>
      <c r="B23">
        <v>2</v>
      </c>
      <c r="C23">
        <v>1.5</v>
      </c>
      <c r="D23">
        <v>1.5</v>
      </c>
      <c r="E23">
        <v>0.5</v>
      </c>
      <c r="F23">
        <v>25</v>
      </c>
      <c r="G23" t="s">
        <v>16</v>
      </c>
      <c r="H23">
        <v>1</v>
      </c>
      <c r="I23" t="s">
        <v>17</v>
      </c>
      <c r="J23">
        <v>5.4571198489538723E-2</v>
      </c>
      <c r="K23">
        <v>1.751868723559423E-2</v>
      </c>
      <c r="L23">
        <v>332.16300010005938</v>
      </c>
      <c r="M23">
        <f t="shared" si="0"/>
        <v>5.5360500016676566</v>
      </c>
      <c r="N23">
        <f t="shared" si="1"/>
        <v>9.2267500027794269E-2</v>
      </c>
      <c r="O23" s="7" t="s">
        <v>34</v>
      </c>
    </row>
    <row r="24" spans="1:15" x14ac:dyDescent="0.3">
      <c r="A24" s="6">
        <v>5</v>
      </c>
      <c r="B24">
        <v>3</v>
      </c>
      <c r="C24">
        <v>1.5</v>
      </c>
      <c r="D24">
        <v>1.5</v>
      </c>
      <c r="E24">
        <v>0.5</v>
      </c>
      <c r="F24">
        <v>25</v>
      </c>
      <c r="G24" t="s">
        <v>19</v>
      </c>
      <c r="H24">
        <v>2</v>
      </c>
      <c r="I24" t="s">
        <v>20</v>
      </c>
      <c r="J24">
        <v>3.742670869175764E-2</v>
      </c>
      <c r="K24">
        <v>7.6020497194364727E-3</v>
      </c>
      <c r="L24">
        <v>366.00808679987682</v>
      </c>
      <c r="M24">
        <f t="shared" si="0"/>
        <v>6.1001347799979468</v>
      </c>
      <c r="N24">
        <f t="shared" si="1"/>
        <v>0.10166891299996578</v>
      </c>
      <c r="O24" s="7" t="s">
        <v>35</v>
      </c>
    </row>
    <row r="25" spans="1:15" x14ac:dyDescent="0.3">
      <c r="A25" s="6">
        <v>5</v>
      </c>
      <c r="B25">
        <v>4</v>
      </c>
      <c r="C25">
        <v>1.5</v>
      </c>
      <c r="D25">
        <v>1.5</v>
      </c>
      <c r="E25">
        <v>0.5</v>
      </c>
      <c r="F25">
        <v>25</v>
      </c>
      <c r="G25" t="s">
        <v>22</v>
      </c>
      <c r="H25">
        <v>3</v>
      </c>
      <c r="I25" t="s">
        <v>23</v>
      </c>
      <c r="J25">
        <v>2.859601369462747E-2</v>
      </c>
      <c r="K25">
        <v>2.1292026621170669E-2</v>
      </c>
      <c r="L25">
        <v>685.64448380004615</v>
      </c>
      <c r="M25">
        <f t="shared" si="0"/>
        <v>11.427408063334102</v>
      </c>
      <c r="N25">
        <f t="shared" si="1"/>
        <v>0.19045680105556836</v>
      </c>
      <c r="O25" s="7" t="s">
        <v>36</v>
      </c>
    </row>
    <row r="26" spans="1:15" ht="15" thickBot="1" x14ac:dyDescent="0.35">
      <c r="A26" s="8">
        <v>5</v>
      </c>
      <c r="B26" s="9">
        <v>5</v>
      </c>
      <c r="C26" s="9">
        <v>1.5</v>
      </c>
      <c r="D26" s="9">
        <v>1.5</v>
      </c>
      <c r="E26" s="9">
        <v>0.5</v>
      </c>
      <c r="F26" s="9">
        <v>25</v>
      </c>
      <c r="G26" s="9" t="s">
        <v>25</v>
      </c>
      <c r="H26" s="9">
        <v>4</v>
      </c>
      <c r="I26" s="9" t="s">
        <v>26</v>
      </c>
      <c r="J26" s="9">
        <v>2.9459338938626241E-2</v>
      </c>
      <c r="K26" s="9">
        <v>1.984571948740271E-2</v>
      </c>
      <c r="L26" s="9">
        <v>482.81823460012669</v>
      </c>
      <c r="M26" s="9">
        <f t="shared" si="0"/>
        <v>8.0469705766687785</v>
      </c>
      <c r="N26" s="9">
        <f t="shared" si="1"/>
        <v>0.13411617627781297</v>
      </c>
      <c r="O26" s="10" t="s">
        <v>37</v>
      </c>
    </row>
    <row r="27" spans="1:15" x14ac:dyDescent="0.3">
      <c r="A27" s="3">
        <v>6</v>
      </c>
      <c r="B27" s="4">
        <v>1</v>
      </c>
      <c r="C27" s="4">
        <v>1.5</v>
      </c>
      <c r="D27" s="4">
        <v>1.7</v>
      </c>
      <c r="E27" s="4">
        <v>0.5</v>
      </c>
      <c r="F27" s="4">
        <v>25</v>
      </c>
      <c r="G27" s="4" t="s">
        <v>13</v>
      </c>
      <c r="H27" s="4">
        <v>0</v>
      </c>
      <c r="I27" s="4" t="s">
        <v>14</v>
      </c>
      <c r="J27" s="4">
        <v>3.4742811620766187E-2</v>
      </c>
      <c r="K27" s="4">
        <v>4.1385414215135644E-3</v>
      </c>
      <c r="L27" s="4">
        <v>683.99086550017819</v>
      </c>
      <c r="M27" s="4">
        <f t="shared" si="0"/>
        <v>11.399847758336303</v>
      </c>
      <c r="N27" s="4">
        <f t="shared" si="1"/>
        <v>0.18999746263893838</v>
      </c>
      <c r="O27" s="5" t="s">
        <v>38</v>
      </c>
    </row>
    <row r="28" spans="1:15" x14ac:dyDescent="0.3">
      <c r="A28" s="6">
        <v>6</v>
      </c>
      <c r="B28">
        <v>2</v>
      </c>
      <c r="C28">
        <v>1.5</v>
      </c>
      <c r="D28">
        <v>1.7</v>
      </c>
      <c r="E28">
        <v>0.5</v>
      </c>
      <c r="F28">
        <v>25</v>
      </c>
      <c r="G28" t="s">
        <v>16</v>
      </c>
      <c r="H28">
        <v>1</v>
      </c>
      <c r="I28" t="s">
        <v>17</v>
      </c>
      <c r="J28">
        <v>3.5675836612744739E-2</v>
      </c>
      <c r="K28">
        <v>1.423254109849246E-2</v>
      </c>
      <c r="L28">
        <v>200.97759769996631</v>
      </c>
      <c r="M28">
        <f t="shared" si="0"/>
        <v>3.3496266283327718</v>
      </c>
      <c r="N28">
        <f t="shared" si="1"/>
        <v>5.5827110472212865E-2</v>
      </c>
      <c r="O28" s="7" t="s">
        <v>39</v>
      </c>
    </row>
    <row r="29" spans="1:15" x14ac:dyDescent="0.3">
      <c r="A29" s="6">
        <v>6</v>
      </c>
      <c r="B29">
        <v>3</v>
      </c>
      <c r="C29">
        <v>1.5</v>
      </c>
      <c r="D29">
        <v>1.7</v>
      </c>
      <c r="E29">
        <v>0.5</v>
      </c>
      <c r="F29">
        <v>25</v>
      </c>
      <c r="G29" t="s">
        <v>19</v>
      </c>
      <c r="H29">
        <v>2</v>
      </c>
      <c r="I29" t="s">
        <v>20</v>
      </c>
      <c r="J29">
        <v>3.6552919023631419E-2</v>
      </c>
      <c r="K29">
        <v>2.2825901633905959E-3</v>
      </c>
      <c r="L29">
        <v>923.69259009999223</v>
      </c>
      <c r="M29">
        <f t="shared" si="0"/>
        <v>15.394876501666538</v>
      </c>
      <c r="N29">
        <f t="shared" si="1"/>
        <v>0.25658127502777561</v>
      </c>
      <c r="O29" s="7" t="s">
        <v>40</v>
      </c>
    </row>
    <row r="30" spans="1:15" x14ac:dyDescent="0.3">
      <c r="A30" s="6">
        <v>6</v>
      </c>
      <c r="B30">
        <v>4</v>
      </c>
      <c r="C30">
        <v>1.5</v>
      </c>
      <c r="D30">
        <v>1.7</v>
      </c>
      <c r="E30">
        <v>0.5</v>
      </c>
      <c r="F30">
        <v>25</v>
      </c>
      <c r="G30" t="s">
        <v>22</v>
      </c>
      <c r="H30">
        <v>3</v>
      </c>
      <c r="I30" t="s">
        <v>23</v>
      </c>
      <c r="J30">
        <v>1.382351984256739E-2</v>
      </c>
      <c r="K30">
        <v>3.4278093764252678E-2</v>
      </c>
      <c r="L30">
        <v>519.28815250005573</v>
      </c>
      <c r="M30">
        <f t="shared" si="0"/>
        <v>8.6548025416675962</v>
      </c>
      <c r="N30">
        <f t="shared" si="1"/>
        <v>0.14424670902779327</v>
      </c>
      <c r="O30" s="7" t="s">
        <v>41</v>
      </c>
    </row>
    <row r="31" spans="1:15" ht="15" thickBot="1" x14ac:dyDescent="0.35">
      <c r="A31" s="8">
        <v>6</v>
      </c>
      <c r="B31" s="9">
        <v>5</v>
      </c>
      <c r="C31" s="9">
        <v>1.5</v>
      </c>
      <c r="D31" s="9">
        <v>1.7</v>
      </c>
      <c r="E31" s="9">
        <v>0.5</v>
      </c>
      <c r="F31" s="9">
        <v>25</v>
      </c>
      <c r="G31" s="9" t="s">
        <v>25</v>
      </c>
      <c r="H31" s="9">
        <v>4</v>
      </c>
      <c r="I31" s="9" t="s">
        <v>26</v>
      </c>
      <c r="J31" s="9">
        <v>2.05229941077067E-2</v>
      </c>
      <c r="K31" s="9">
        <v>2.9840657480593009E-2</v>
      </c>
      <c r="L31" s="9">
        <v>1578.1970834999811</v>
      </c>
      <c r="M31" s="9">
        <f t="shared" si="0"/>
        <v>26.303284724999685</v>
      </c>
      <c r="N31" s="9">
        <f t="shared" si="1"/>
        <v>0.43838807874999475</v>
      </c>
      <c r="O31" s="10" t="s">
        <v>42</v>
      </c>
    </row>
    <row r="32" spans="1:15" x14ac:dyDescent="0.3">
      <c r="A32" s="3">
        <v>7</v>
      </c>
      <c r="B32" s="4">
        <v>1</v>
      </c>
      <c r="C32" s="4">
        <v>1.7</v>
      </c>
      <c r="D32" s="4">
        <v>1.3</v>
      </c>
      <c r="E32" s="4">
        <v>0.5</v>
      </c>
      <c r="F32" s="4">
        <v>25</v>
      </c>
      <c r="G32" s="4" t="s">
        <v>13</v>
      </c>
      <c r="H32" s="4">
        <v>0</v>
      </c>
      <c r="I32" s="4" t="s">
        <v>14</v>
      </c>
      <c r="J32" s="4">
        <v>3.3692410824427678E-2</v>
      </c>
      <c r="K32" s="4">
        <v>9.1345219100941143E-3</v>
      </c>
      <c r="L32" s="4">
        <v>325.18327149981633</v>
      </c>
      <c r="M32" s="4">
        <f t="shared" si="0"/>
        <v>5.4197211916636059</v>
      </c>
      <c r="N32" s="4">
        <f t="shared" si="1"/>
        <v>9.0328686527726756E-2</v>
      </c>
      <c r="O32" s="5" t="s">
        <v>63</v>
      </c>
    </row>
    <row r="33" spans="1:15" x14ac:dyDescent="0.3">
      <c r="A33" s="6">
        <v>7</v>
      </c>
      <c r="B33">
        <v>2</v>
      </c>
      <c r="C33">
        <v>1.7</v>
      </c>
      <c r="D33">
        <v>1.3</v>
      </c>
      <c r="E33">
        <v>0.5</v>
      </c>
      <c r="F33">
        <v>25</v>
      </c>
      <c r="G33" t="s">
        <v>16</v>
      </c>
      <c r="H33">
        <v>1</v>
      </c>
      <c r="I33" t="s">
        <v>17</v>
      </c>
      <c r="J33">
        <v>3.7237249840868243E-2</v>
      </c>
      <c r="K33">
        <v>2.354913397715493E-2</v>
      </c>
      <c r="L33">
        <v>576.22996839997359</v>
      </c>
      <c r="M33">
        <f t="shared" si="0"/>
        <v>9.603832806666226</v>
      </c>
      <c r="N33">
        <f t="shared" si="1"/>
        <v>0.16006388011110378</v>
      </c>
      <c r="O33" s="7" t="s">
        <v>64</v>
      </c>
    </row>
    <row r="34" spans="1:15" x14ac:dyDescent="0.3">
      <c r="A34" s="6">
        <v>7</v>
      </c>
      <c r="B34">
        <v>3</v>
      </c>
      <c r="C34">
        <v>1.7</v>
      </c>
      <c r="D34">
        <v>1.3</v>
      </c>
      <c r="E34">
        <v>0.5</v>
      </c>
      <c r="F34">
        <v>25</v>
      </c>
      <c r="G34" t="s">
        <v>19</v>
      </c>
      <c r="H34">
        <v>2</v>
      </c>
      <c r="I34" t="s">
        <v>20</v>
      </c>
      <c r="J34">
        <v>3.670784771922829E-2</v>
      </c>
      <c r="K34">
        <v>5.7788719261663577E-3</v>
      </c>
      <c r="L34">
        <v>6298.3765221999492</v>
      </c>
      <c r="M34">
        <f t="shared" si="0"/>
        <v>104.97294203666583</v>
      </c>
      <c r="N34">
        <f t="shared" si="1"/>
        <v>1.7495490339444304</v>
      </c>
      <c r="O34" s="7" t="s">
        <v>65</v>
      </c>
    </row>
    <row r="35" spans="1:15" x14ac:dyDescent="0.3">
      <c r="A35" s="6">
        <v>7</v>
      </c>
      <c r="B35">
        <v>4</v>
      </c>
      <c r="C35">
        <v>1.7</v>
      </c>
      <c r="D35">
        <v>1.3</v>
      </c>
      <c r="E35">
        <v>0.5</v>
      </c>
      <c r="F35">
        <v>25</v>
      </c>
      <c r="G35" t="s">
        <v>22</v>
      </c>
      <c r="H35">
        <v>3</v>
      </c>
      <c r="I35" t="s">
        <v>23</v>
      </c>
      <c r="J35">
        <v>1.3831371757544699E-2</v>
      </c>
      <c r="K35">
        <v>3.339355939109849E-2</v>
      </c>
      <c r="L35">
        <v>158.30173669988289</v>
      </c>
      <c r="M35">
        <f t="shared" si="0"/>
        <v>2.6383622783313814</v>
      </c>
      <c r="N35">
        <f t="shared" si="1"/>
        <v>4.3972704638856358E-2</v>
      </c>
      <c r="O35" s="7" t="s">
        <v>66</v>
      </c>
    </row>
    <row r="36" spans="1:15" ht="15" thickBot="1" x14ac:dyDescent="0.35">
      <c r="A36" s="8">
        <v>7</v>
      </c>
      <c r="B36" s="9">
        <v>5</v>
      </c>
      <c r="C36" s="9">
        <v>1.7</v>
      </c>
      <c r="D36" s="9">
        <v>1.3</v>
      </c>
      <c r="E36" s="9">
        <v>0.5</v>
      </c>
      <c r="F36" s="9">
        <v>25</v>
      </c>
      <c r="G36" s="9" t="s">
        <v>25</v>
      </c>
      <c r="H36" s="9">
        <v>4</v>
      </c>
      <c r="I36" s="9" t="s">
        <v>26</v>
      </c>
      <c r="J36" s="9">
        <v>2.2106665400977169E-2</v>
      </c>
      <c r="K36" s="9">
        <v>1.9692875716327159E-2</v>
      </c>
      <c r="L36" s="9">
        <v>188.9126128999051</v>
      </c>
      <c r="M36" s="9">
        <f t="shared" si="0"/>
        <v>3.1485435483317517</v>
      </c>
      <c r="N36" s="9">
        <f t="shared" si="1"/>
        <v>5.2475725805529193E-2</v>
      </c>
      <c r="O36" s="10" t="s">
        <v>67</v>
      </c>
    </row>
    <row r="37" spans="1:15" x14ac:dyDescent="0.3">
      <c r="A37" s="3">
        <v>8</v>
      </c>
      <c r="B37" s="4">
        <v>1</v>
      </c>
      <c r="C37" s="4">
        <v>1.7</v>
      </c>
      <c r="D37" s="4">
        <v>1.5</v>
      </c>
      <c r="E37" s="4">
        <v>0.5</v>
      </c>
      <c r="F37" s="4">
        <v>25</v>
      </c>
      <c r="G37" s="4" t="s">
        <v>13</v>
      </c>
      <c r="H37" s="4">
        <v>0</v>
      </c>
      <c r="I37" s="4" t="s">
        <v>14</v>
      </c>
      <c r="J37" s="4">
        <v>4.0389276955661559E-2</v>
      </c>
      <c r="K37" s="4">
        <v>4.9943670108246038E-3</v>
      </c>
      <c r="L37" s="4">
        <v>818.54618360009044</v>
      </c>
      <c r="M37" s="4">
        <f t="shared" si="0"/>
        <v>13.64243639333484</v>
      </c>
      <c r="N37" s="4">
        <f t="shared" si="1"/>
        <v>0.22737393988891402</v>
      </c>
      <c r="O37" s="5" t="s">
        <v>53</v>
      </c>
    </row>
    <row r="38" spans="1:15" x14ac:dyDescent="0.3">
      <c r="A38" s="6">
        <v>8</v>
      </c>
      <c r="B38">
        <v>2</v>
      </c>
      <c r="C38">
        <v>1.7</v>
      </c>
      <c r="D38">
        <v>1.5</v>
      </c>
      <c r="E38">
        <v>0.5</v>
      </c>
      <c r="F38">
        <v>25</v>
      </c>
      <c r="G38" t="s">
        <v>16</v>
      </c>
      <c r="H38">
        <v>1</v>
      </c>
      <c r="I38" t="s">
        <v>17</v>
      </c>
      <c r="J38">
        <v>3.5905894855714507E-2</v>
      </c>
      <c r="K38">
        <v>1.6341024478844599E-2</v>
      </c>
      <c r="L38">
        <v>618.68809449998662</v>
      </c>
      <c r="M38">
        <f t="shared" si="0"/>
        <v>10.311468241666443</v>
      </c>
      <c r="N38">
        <f t="shared" si="1"/>
        <v>0.17185780402777406</v>
      </c>
      <c r="O38" s="7" t="s">
        <v>54</v>
      </c>
    </row>
    <row r="39" spans="1:15" x14ac:dyDescent="0.3">
      <c r="A39" s="6">
        <v>8</v>
      </c>
      <c r="B39">
        <v>3</v>
      </c>
      <c r="C39">
        <v>1.7</v>
      </c>
      <c r="D39">
        <v>1.5</v>
      </c>
      <c r="E39">
        <v>0.5</v>
      </c>
      <c r="F39">
        <v>25</v>
      </c>
      <c r="G39" t="s">
        <v>19</v>
      </c>
      <c r="H39">
        <v>2</v>
      </c>
      <c r="I39" t="s">
        <v>20</v>
      </c>
      <c r="J39">
        <v>3.5938712100227838E-2</v>
      </c>
      <c r="K39">
        <v>4.8527707643191108E-3</v>
      </c>
      <c r="L39">
        <v>1663.05827740021</v>
      </c>
      <c r="M39">
        <f t="shared" si="0"/>
        <v>27.717637956670167</v>
      </c>
      <c r="N39">
        <f t="shared" si="1"/>
        <v>0.46196063261116943</v>
      </c>
      <c r="O39" s="7" t="s">
        <v>55</v>
      </c>
    </row>
    <row r="40" spans="1:15" x14ac:dyDescent="0.3">
      <c r="A40" s="6">
        <v>8</v>
      </c>
      <c r="B40">
        <v>4</v>
      </c>
      <c r="C40">
        <v>1.7</v>
      </c>
      <c r="D40">
        <v>1.5</v>
      </c>
      <c r="E40">
        <v>0.5</v>
      </c>
      <c r="F40">
        <v>25</v>
      </c>
      <c r="G40" t="s">
        <v>22</v>
      </c>
      <c r="H40">
        <v>3</v>
      </c>
      <c r="I40" t="s">
        <v>23</v>
      </c>
      <c r="J40">
        <v>2.9771287195870931E-2</v>
      </c>
      <c r="K40">
        <v>2.7061807014179231E-2</v>
      </c>
      <c r="L40">
        <v>760.622982500121</v>
      </c>
      <c r="M40">
        <f t="shared" si="0"/>
        <v>12.67704970833535</v>
      </c>
      <c r="N40">
        <f t="shared" si="1"/>
        <v>0.21128416180558918</v>
      </c>
      <c r="O40" s="7" t="s">
        <v>56</v>
      </c>
    </row>
    <row r="41" spans="1:15" ht="15" thickBot="1" x14ac:dyDescent="0.35">
      <c r="A41" s="8">
        <v>8</v>
      </c>
      <c r="B41" s="9">
        <v>5</v>
      </c>
      <c r="C41" s="9">
        <v>1.7</v>
      </c>
      <c r="D41" s="9">
        <v>1.5</v>
      </c>
      <c r="E41" s="9">
        <v>0.5</v>
      </c>
      <c r="F41" s="9">
        <v>25</v>
      </c>
      <c r="G41" s="9" t="s">
        <v>25</v>
      </c>
      <c r="H41" s="9">
        <v>4</v>
      </c>
      <c r="I41" s="9" t="s">
        <v>26</v>
      </c>
      <c r="J41" s="9">
        <v>1.920284449781752E-2</v>
      </c>
      <c r="K41" s="9">
        <v>2.555452875323792E-2</v>
      </c>
      <c r="L41" s="9">
        <v>638.66878740000539</v>
      </c>
      <c r="M41" s="9">
        <f t="shared" si="0"/>
        <v>10.644479790000089</v>
      </c>
      <c r="N41" s="9">
        <f t="shared" si="1"/>
        <v>0.1774079965000015</v>
      </c>
      <c r="O41" s="10" t="s">
        <v>57</v>
      </c>
    </row>
    <row r="42" spans="1:15" x14ac:dyDescent="0.3">
      <c r="A42" s="3">
        <v>9</v>
      </c>
      <c r="B42" s="4">
        <v>1</v>
      </c>
      <c r="C42" s="4">
        <v>1.7</v>
      </c>
      <c r="D42" s="4">
        <v>1.7</v>
      </c>
      <c r="E42" s="4">
        <v>0.5</v>
      </c>
      <c r="F42" s="4">
        <v>25</v>
      </c>
      <c r="G42" s="4" t="s">
        <v>13</v>
      </c>
      <c r="H42" s="4">
        <v>0</v>
      </c>
      <c r="I42" s="4" t="s">
        <v>14</v>
      </c>
      <c r="J42" s="4">
        <v>3.3524537891092651E-2</v>
      </c>
      <c r="K42" s="4">
        <v>7.4056672344862432E-3</v>
      </c>
      <c r="L42" s="4">
        <v>309.34802590007888</v>
      </c>
      <c r="M42" s="4">
        <f t="shared" si="0"/>
        <v>5.1558004316679815</v>
      </c>
      <c r="N42" s="4">
        <f t="shared" si="1"/>
        <v>8.5930007194466362E-2</v>
      </c>
      <c r="O42" s="5" t="s">
        <v>48</v>
      </c>
    </row>
    <row r="43" spans="1:15" x14ac:dyDescent="0.3">
      <c r="A43" s="6">
        <v>9</v>
      </c>
      <c r="B43">
        <v>2</v>
      </c>
      <c r="C43">
        <v>1.7</v>
      </c>
      <c r="D43">
        <v>1.7</v>
      </c>
      <c r="E43">
        <v>0.5</v>
      </c>
      <c r="F43">
        <v>25</v>
      </c>
      <c r="G43" t="s">
        <v>16</v>
      </c>
      <c r="H43">
        <v>1</v>
      </c>
      <c r="I43" t="s">
        <v>17</v>
      </c>
      <c r="J43">
        <v>3.9222378942613677E-2</v>
      </c>
      <c r="K43">
        <v>1.2571129801416199E-2</v>
      </c>
      <c r="L43">
        <v>272.28008559998119</v>
      </c>
      <c r="M43">
        <f t="shared" si="0"/>
        <v>4.5380014266663533</v>
      </c>
      <c r="N43">
        <f t="shared" si="1"/>
        <v>7.5633357111105887E-2</v>
      </c>
      <c r="O43" s="7" t="s">
        <v>49</v>
      </c>
    </row>
    <row r="44" spans="1:15" x14ac:dyDescent="0.3">
      <c r="A44" s="6">
        <v>9</v>
      </c>
      <c r="B44">
        <v>3</v>
      </c>
      <c r="C44">
        <v>1.7</v>
      </c>
      <c r="D44">
        <v>1.7</v>
      </c>
      <c r="E44">
        <v>0.5</v>
      </c>
      <c r="F44">
        <v>25</v>
      </c>
      <c r="G44" t="s">
        <v>19</v>
      </c>
      <c r="H44">
        <v>2</v>
      </c>
      <c r="I44" t="s">
        <v>20</v>
      </c>
      <c r="J44">
        <v>4.1919721131066352E-2</v>
      </c>
      <c r="K44">
        <v>1.6890498719250149E-2</v>
      </c>
      <c r="L44">
        <v>335.02139240014372</v>
      </c>
      <c r="M44">
        <f t="shared" si="0"/>
        <v>5.5836898733357287</v>
      </c>
      <c r="N44">
        <f t="shared" si="1"/>
        <v>9.3061497888928812E-2</v>
      </c>
      <c r="O44" s="7" t="s">
        <v>50</v>
      </c>
    </row>
    <row r="45" spans="1:15" x14ac:dyDescent="0.3">
      <c r="A45" s="6">
        <v>9</v>
      </c>
      <c r="B45">
        <v>4</v>
      </c>
      <c r="C45">
        <v>1.7</v>
      </c>
      <c r="D45">
        <v>1.7</v>
      </c>
      <c r="E45">
        <v>0.5</v>
      </c>
      <c r="F45">
        <v>25</v>
      </c>
      <c r="G45" t="s">
        <v>22</v>
      </c>
      <c r="H45">
        <v>3</v>
      </c>
      <c r="I45" t="s">
        <v>23</v>
      </c>
      <c r="J45">
        <v>1.355761430721824E-2</v>
      </c>
      <c r="K45">
        <v>3.9561880183049791E-2</v>
      </c>
      <c r="L45">
        <v>1408.694108899916</v>
      </c>
      <c r="M45">
        <f t="shared" si="0"/>
        <v>23.478235148331933</v>
      </c>
      <c r="N45">
        <f t="shared" si="1"/>
        <v>0.39130391913886559</v>
      </c>
      <c r="O45" s="7" t="s">
        <v>51</v>
      </c>
    </row>
    <row r="46" spans="1:15" ht="15" thickBot="1" x14ac:dyDescent="0.35">
      <c r="A46" s="8">
        <v>9</v>
      </c>
      <c r="B46" s="9">
        <v>5</v>
      </c>
      <c r="C46" s="9">
        <v>1.7</v>
      </c>
      <c r="D46" s="9">
        <v>1.7</v>
      </c>
      <c r="E46" s="9">
        <v>0.5</v>
      </c>
      <c r="F46" s="9">
        <v>25</v>
      </c>
      <c r="G46" s="9" t="s">
        <v>25</v>
      </c>
      <c r="H46" s="9">
        <v>4</v>
      </c>
      <c r="I46" s="9" t="s">
        <v>26</v>
      </c>
      <c r="J46" s="9">
        <v>1.6582595053842811E-2</v>
      </c>
      <c r="K46" s="9">
        <v>3.049476199886484E-2</v>
      </c>
      <c r="L46" s="9">
        <v>1227.0770763999319</v>
      </c>
      <c r="M46" s="9">
        <f t="shared" si="0"/>
        <v>20.451284606665531</v>
      </c>
      <c r="N46" s="9">
        <f t="shared" si="1"/>
        <v>0.34085474344442551</v>
      </c>
      <c r="O46" s="10" t="s">
        <v>52</v>
      </c>
    </row>
  </sheetData>
  <autoFilter ref="A1:O1" xr:uid="{00000000-0001-0000-0000-000000000000}">
    <sortState xmlns:xlrd2="http://schemas.microsoft.com/office/spreadsheetml/2017/richdata2" ref="A2:O46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32FAB-B50D-45A9-8F36-3E52AD169D74}">
  <dimension ref="A1:J46"/>
  <sheetViews>
    <sheetView tabSelected="1" zoomScale="110" zoomScaleNormal="110" workbookViewId="0">
      <selection activeCell="N3" sqref="N3"/>
    </sheetView>
  </sheetViews>
  <sheetFormatPr baseColWidth="10" defaultRowHeight="14.4" x14ac:dyDescent="0.3"/>
  <cols>
    <col min="1" max="1" width="11.6640625" customWidth="1"/>
    <col min="2" max="2" width="18.6640625" bestFit="1" customWidth="1"/>
    <col min="4" max="4" width="12.33203125" bestFit="1" customWidth="1"/>
  </cols>
  <sheetData>
    <row r="1" spans="1:10" ht="15" thickBot="1" x14ac:dyDescent="0.35">
      <c r="A1" s="2" t="s">
        <v>0</v>
      </c>
      <c r="B1" s="2" t="s">
        <v>9</v>
      </c>
      <c r="C1" s="11" t="s">
        <v>70</v>
      </c>
      <c r="D1" s="2" t="s">
        <v>10</v>
      </c>
      <c r="F1" s="14" t="s">
        <v>0</v>
      </c>
      <c r="G1" s="15" t="s">
        <v>71</v>
      </c>
      <c r="H1" s="15" t="s">
        <v>72</v>
      </c>
      <c r="I1" s="15" t="s">
        <v>73</v>
      </c>
      <c r="J1" s="16" t="s">
        <v>74</v>
      </c>
    </row>
    <row r="2" spans="1:10" x14ac:dyDescent="0.3">
      <c r="A2" s="3">
        <v>1</v>
      </c>
      <c r="B2" s="17">
        <v>5.9809873388761703E-2</v>
      </c>
      <c r="C2" s="20">
        <f t="shared" ref="C2:C46" si="0">B2/4</f>
        <v>1.4952468347190426E-2</v>
      </c>
      <c r="D2" s="21">
        <v>1.368211066079977E-3</v>
      </c>
      <c r="F2" s="13">
        <v>1</v>
      </c>
      <c r="G2" s="13">
        <f>AVERAGE(B2:B6)</f>
        <v>3.466215516743891E-2</v>
      </c>
      <c r="H2" s="13">
        <f>_xlfn.STDEV.S(B2:B6)</f>
        <v>1.7382016132350096E-2</v>
      </c>
      <c r="I2" s="13">
        <f>AVERAGE(D2:D6)</f>
        <v>1.5918034300563186E-2</v>
      </c>
      <c r="J2" s="13">
        <f>_xlfn.STDEV.S(D2:D6)</f>
        <v>1.1352441628302585E-2</v>
      </c>
    </row>
    <row r="3" spans="1:10" x14ac:dyDescent="0.3">
      <c r="A3" s="6">
        <v>1</v>
      </c>
      <c r="B3" s="18">
        <v>3.6537832345779869E-2</v>
      </c>
      <c r="C3" s="20">
        <f t="shared" si="0"/>
        <v>9.1344580864449673E-3</v>
      </c>
      <c r="D3" s="20">
        <v>1.308584634016563E-2</v>
      </c>
      <c r="F3" s="12">
        <v>2</v>
      </c>
      <c r="G3" s="12">
        <f>AVERAGE(B7:B11)</f>
        <v>4.8398835149016758E-2</v>
      </c>
      <c r="H3" s="12">
        <f>_xlfn.STDEV.S(B7:B11)</f>
        <v>3.7186998725648616E-2</v>
      </c>
      <c r="I3" s="12">
        <f>AVERAGE(D7:D11)</f>
        <v>1.8270988689570177E-2</v>
      </c>
      <c r="J3" s="12">
        <f>_xlfn.STDEV.S(D7:D11)</f>
        <v>1.0754675887828434E-2</v>
      </c>
    </row>
    <row r="4" spans="1:10" x14ac:dyDescent="0.3">
      <c r="A4" s="6">
        <v>1</v>
      </c>
      <c r="B4" s="18">
        <v>3.9416017633434573E-2</v>
      </c>
      <c r="C4" s="20">
        <f t="shared" si="0"/>
        <v>9.8540044083586433E-3</v>
      </c>
      <c r="D4" s="20">
        <v>1.259852099258449E-2</v>
      </c>
      <c r="F4" s="12">
        <v>3</v>
      </c>
      <c r="G4" s="12">
        <f>AVERAGE(B12:B16)</f>
        <v>3.46901630735445E-2</v>
      </c>
      <c r="H4" s="12">
        <f>_xlfn.STDEV.S(B12:B16)</f>
        <v>1.5244740389715093E-2</v>
      </c>
      <c r="I4" s="12">
        <f>AVERAGE(D12:D16)</f>
        <v>2.0521714364440329E-2</v>
      </c>
      <c r="J4" s="12">
        <f>_xlfn.STDEV.S(D12:D16)</f>
        <v>1.1594023721301311E-2</v>
      </c>
    </row>
    <row r="5" spans="1:10" x14ac:dyDescent="0.3">
      <c r="A5" s="6">
        <v>1</v>
      </c>
      <c r="B5" s="18">
        <v>1.4024011753696041E-2</v>
      </c>
      <c r="C5" s="20">
        <f t="shared" si="0"/>
        <v>3.5060029384240102E-3</v>
      </c>
      <c r="D5" s="20">
        <v>3.2205856090402857E-2</v>
      </c>
      <c r="F5" s="12">
        <v>4</v>
      </c>
      <c r="G5" s="12">
        <f>AVERAGE(B17:B21)</f>
        <v>2.9054030258800389E-2</v>
      </c>
      <c r="H5" s="12">
        <f>_xlfn.STDEV.S(B17:B21)</f>
        <v>1.0878323912484817E-2</v>
      </c>
      <c r="I5" s="12">
        <f>AVERAGE(D17:D21)</f>
        <v>1.7245626071103495E-2</v>
      </c>
      <c r="J5" s="12">
        <f>_xlfn.STDEV.S(D17:D21)</f>
        <v>9.9814191185186515E-3</v>
      </c>
    </row>
    <row r="6" spans="1:10" ht="15" thickBot="1" x14ac:dyDescent="0.35">
      <c r="A6" s="8">
        <v>1</v>
      </c>
      <c r="B6" s="19">
        <v>2.3523040715522341E-2</v>
      </c>
      <c r="C6" s="22">
        <f t="shared" si="0"/>
        <v>5.8807601788805853E-3</v>
      </c>
      <c r="D6" s="22">
        <v>2.0331737013582971E-2</v>
      </c>
      <c r="F6" s="12">
        <v>5</v>
      </c>
      <c r="G6" s="12">
        <f>AVERAGE(B22:B26)</f>
        <v>3.9132291833710704E-2</v>
      </c>
      <c r="H6" s="12">
        <f>_xlfn.STDEV.S(B22:B26)</f>
        <v>1.1042932191310369E-2</v>
      </c>
      <c r="I6" s="12">
        <f>AVERAGE(D22:D26)</f>
        <v>1.3536307887529056E-2</v>
      </c>
      <c r="J6" s="12">
        <f>_xlfn.STDEV.S(D22:D26)</f>
        <v>8.6279411698050139E-3</v>
      </c>
    </row>
    <row r="7" spans="1:10" x14ac:dyDescent="0.3">
      <c r="A7" s="3">
        <v>2</v>
      </c>
      <c r="B7" s="17">
        <v>0.11014093419269839</v>
      </c>
      <c r="C7" s="20">
        <f t="shared" si="0"/>
        <v>2.7535233548174599E-2</v>
      </c>
      <c r="D7" s="21">
        <v>1.336312596285079E-2</v>
      </c>
      <c r="F7" s="12">
        <v>6</v>
      </c>
      <c r="G7" s="12">
        <f>AVERAGE(B27:B31)</f>
        <v>2.8263616241483287E-2</v>
      </c>
      <c r="H7" s="12">
        <f>_xlfn.STDEV.S(B27:B31)</f>
        <v>1.0417138993469962E-2</v>
      </c>
      <c r="I7" s="12">
        <f>AVERAGE(D27:D31)</f>
        <v>1.6954484785648462E-2</v>
      </c>
      <c r="J7" s="12">
        <f>_xlfn.STDEV.S(D27:D31)</f>
        <v>1.4603790161486437E-2</v>
      </c>
    </row>
    <row r="8" spans="1:10" x14ac:dyDescent="0.3">
      <c r="A8" s="6">
        <v>2</v>
      </c>
      <c r="B8" s="18">
        <v>5.2181290412349673E-2</v>
      </c>
      <c r="C8" s="20">
        <f t="shared" si="0"/>
        <v>1.3045322603087418E-2</v>
      </c>
      <c r="D8" s="20">
        <v>1.8345142741211962E-2</v>
      </c>
      <c r="F8" s="12">
        <v>7</v>
      </c>
      <c r="G8" s="12">
        <f>AVERAGE(B32:B36)</f>
        <v>2.8715109108609214E-2</v>
      </c>
      <c r="H8" s="12">
        <f>_xlfn.STDEV.S(B32:B36)</f>
        <v>1.0325713671471016E-2</v>
      </c>
      <c r="I8" s="12">
        <f>AVERAGE(D32:D36)</f>
        <v>1.8309792584168212E-2</v>
      </c>
      <c r="J8" s="12">
        <f>_xlfn.STDEV.S(D32:D36)</f>
        <v>1.1159000882115742E-2</v>
      </c>
    </row>
    <row r="9" spans="1:10" x14ac:dyDescent="0.3">
      <c r="A9" s="6">
        <v>2</v>
      </c>
      <c r="B9" s="18">
        <v>3.8115069327132912E-2</v>
      </c>
      <c r="C9" s="20">
        <f t="shared" si="0"/>
        <v>9.5287673317832281E-3</v>
      </c>
      <c r="D9" s="20">
        <v>3.6107962121198068E-3</v>
      </c>
      <c r="F9" s="12">
        <v>8</v>
      </c>
      <c r="G9" s="12">
        <f>AVERAGE(B37:B41)</f>
        <v>3.2241603121058469E-2</v>
      </c>
      <c r="H9" s="12">
        <f>_xlfn.STDEV.S(B37:B41)</f>
        <v>8.2096273490484192E-3</v>
      </c>
      <c r="I9" s="12">
        <f>AVERAGE(D37:D41)</f>
        <v>1.5760899604281092E-2</v>
      </c>
      <c r="J9" s="12">
        <f>_xlfn.STDEV.S(D37:D41)</f>
        <v>1.0710599002152564E-2</v>
      </c>
    </row>
    <row r="10" spans="1:10" x14ac:dyDescent="0.3">
      <c r="A10" s="6">
        <v>2</v>
      </c>
      <c r="B10" s="18">
        <v>2.6843485796550531E-2</v>
      </c>
      <c r="C10" s="20">
        <f t="shared" si="0"/>
        <v>6.7108714491376327E-3</v>
      </c>
      <c r="D10" s="20">
        <v>2.3917191535657481E-2</v>
      </c>
      <c r="F10" s="12">
        <v>9</v>
      </c>
      <c r="G10" s="12">
        <f>AVERAGE(B42:B46)</f>
        <v>2.8961369465166743E-2</v>
      </c>
      <c r="H10" s="12">
        <f>_xlfn.STDEV.S(B42:B46)</f>
        <v>1.3081852204191316E-2</v>
      </c>
      <c r="I10" s="12">
        <f>AVERAGE(D42:D46)</f>
        <v>2.1384787587413447E-2</v>
      </c>
      <c r="J10" s="12">
        <f>_xlfn.STDEV.S(D42:D46)</f>
        <v>1.3291852117447989E-2</v>
      </c>
    </row>
    <row r="11" spans="1:10" ht="15" thickBot="1" x14ac:dyDescent="0.35">
      <c r="A11" s="8">
        <v>2</v>
      </c>
      <c r="B11" s="19">
        <v>1.471339601635227E-2</v>
      </c>
      <c r="C11" s="22">
        <f t="shared" si="0"/>
        <v>3.6783490040880676E-3</v>
      </c>
      <c r="D11" s="22">
        <v>3.2118686996010851E-2</v>
      </c>
    </row>
    <row r="12" spans="1:10" x14ac:dyDescent="0.3">
      <c r="A12" s="3">
        <v>3</v>
      </c>
      <c r="B12" s="17">
        <v>4.2683591451956618E-2</v>
      </c>
      <c r="C12" s="20">
        <f t="shared" si="0"/>
        <v>1.0670897862989154E-2</v>
      </c>
      <c r="D12" s="21">
        <v>4.6186971706321271E-3</v>
      </c>
    </row>
    <row r="13" spans="1:10" x14ac:dyDescent="0.3">
      <c r="A13" s="6">
        <v>3</v>
      </c>
      <c r="B13" s="18">
        <v>3.5331717659637427E-2</v>
      </c>
      <c r="C13" s="20">
        <f t="shared" si="0"/>
        <v>8.8329294149093567E-3</v>
      </c>
      <c r="D13" s="20">
        <v>1.6248414327385208E-2</v>
      </c>
    </row>
    <row r="14" spans="1:10" x14ac:dyDescent="0.3">
      <c r="A14" s="6">
        <v>3</v>
      </c>
      <c r="B14" s="18">
        <v>5.4878510592963572E-2</v>
      </c>
      <c r="C14" s="20">
        <f t="shared" si="0"/>
        <v>1.3719627648240893E-2</v>
      </c>
      <c r="D14" s="20">
        <v>3.3224908453318033E-2</v>
      </c>
    </row>
    <row r="15" spans="1:10" x14ac:dyDescent="0.3">
      <c r="A15" s="6">
        <v>3</v>
      </c>
      <c r="B15" s="18">
        <v>1.567739019244211E-2</v>
      </c>
      <c r="C15" s="20">
        <f t="shared" si="0"/>
        <v>3.9193475481105276E-3</v>
      </c>
      <c r="D15" s="20">
        <v>3.0472114134155289E-2</v>
      </c>
    </row>
    <row r="16" spans="1:10" ht="15" thickBot="1" x14ac:dyDescent="0.35">
      <c r="A16" s="8">
        <v>3</v>
      </c>
      <c r="B16" s="19">
        <v>2.487960547072279E-2</v>
      </c>
      <c r="C16" s="22">
        <f t="shared" si="0"/>
        <v>6.2199013676806974E-3</v>
      </c>
      <c r="D16" s="22">
        <v>1.804443773671098E-2</v>
      </c>
    </row>
    <row r="17" spans="1:4" x14ac:dyDescent="0.3">
      <c r="A17" s="3">
        <v>4</v>
      </c>
      <c r="B17" s="17">
        <v>3.5840821263049612E-2</v>
      </c>
      <c r="C17" s="20">
        <f t="shared" si="0"/>
        <v>8.9602053157624029E-3</v>
      </c>
      <c r="D17" s="21">
        <v>6.0415756264380139E-3</v>
      </c>
    </row>
    <row r="18" spans="1:4" x14ac:dyDescent="0.3">
      <c r="A18" s="6">
        <v>4</v>
      </c>
      <c r="B18" s="18">
        <v>3.5700784375061183E-2</v>
      </c>
      <c r="C18" s="20">
        <f t="shared" si="0"/>
        <v>8.9251960937652957E-3</v>
      </c>
      <c r="D18" s="20">
        <v>1.5727368058033792E-2</v>
      </c>
    </row>
    <row r="19" spans="1:4" x14ac:dyDescent="0.3">
      <c r="A19" s="6">
        <v>4</v>
      </c>
      <c r="B19" s="18">
        <v>3.8713233936280372E-2</v>
      </c>
      <c r="C19" s="20">
        <f t="shared" si="0"/>
        <v>9.6783084840700931E-3</v>
      </c>
      <c r="D19" s="20">
        <v>1.1468046946065919E-2</v>
      </c>
    </row>
    <row r="20" spans="1:4" x14ac:dyDescent="0.3">
      <c r="A20" s="6">
        <v>4</v>
      </c>
      <c r="B20" s="18">
        <v>1.4103679291452559E-2</v>
      </c>
      <c r="C20" s="20">
        <f t="shared" si="0"/>
        <v>3.5259198228631398E-3</v>
      </c>
      <c r="D20" s="20">
        <v>3.2247774478268688E-2</v>
      </c>
    </row>
    <row r="21" spans="1:4" ht="15" thickBot="1" x14ac:dyDescent="0.35">
      <c r="A21" s="8">
        <v>4</v>
      </c>
      <c r="B21" s="19">
        <v>2.091163242815821E-2</v>
      </c>
      <c r="C21" s="22">
        <f t="shared" si="0"/>
        <v>5.2279081070395524E-3</v>
      </c>
      <c r="D21" s="22">
        <v>2.0743365246711071E-2</v>
      </c>
    </row>
    <row r="22" spans="1:4" x14ac:dyDescent="0.3">
      <c r="A22" s="23">
        <v>5</v>
      </c>
      <c r="B22" s="24">
        <v>4.5608199354003433E-2</v>
      </c>
      <c r="C22" s="25">
        <f t="shared" si="0"/>
        <v>1.1402049838500858E-2</v>
      </c>
      <c r="D22" s="26">
        <v>1.4230563740411991E-3</v>
      </c>
    </row>
    <row r="23" spans="1:4" x14ac:dyDescent="0.3">
      <c r="A23" s="27">
        <v>5</v>
      </c>
      <c r="B23" s="28">
        <v>5.4571198489538723E-2</v>
      </c>
      <c r="C23" s="25">
        <f t="shared" si="0"/>
        <v>1.3642799622384681E-2</v>
      </c>
      <c r="D23" s="25">
        <v>1.751868723559423E-2</v>
      </c>
    </row>
    <row r="24" spans="1:4" x14ac:dyDescent="0.3">
      <c r="A24" s="27">
        <v>5</v>
      </c>
      <c r="B24" s="28">
        <v>3.742670869175764E-2</v>
      </c>
      <c r="C24" s="25">
        <f t="shared" si="0"/>
        <v>9.3566771729394101E-3</v>
      </c>
      <c r="D24" s="25">
        <v>7.6020497194364727E-3</v>
      </c>
    </row>
    <row r="25" spans="1:4" x14ac:dyDescent="0.3">
      <c r="A25" s="27">
        <v>5</v>
      </c>
      <c r="B25" s="28">
        <v>2.859601369462747E-2</v>
      </c>
      <c r="C25" s="25">
        <f t="shared" si="0"/>
        <v>7.1490034236568675E-3</v>
      </c>
      <c r="D25" s="25">
        <v>2.1292026621170669E-2</v>
      </c>
    </row>
    <row r="26" spans="1:4" ht="15" thickBot="1" x14ac:dyDescent="0.35">
      <c r="A26" s="29">
        <v>5</v>
      </c>
      <c r="B26" s="30">
        <v>2.9459338938626241E-2</v>
      </c>
      <c r="C26" s="31">
        <f t="shared" si="0"/>
        <v>7.3648347346565602E-3</v>
      </c>
      <c r="D26" s="31">
        <v>1.984571948740271E-2</v>
      </c>
    </row>
    <row r="27" spans="1:4" x14ac:dyDescent="0.3">
      <c r="A27" s="32">
        <v>6</v>
      </c>
      <c r="B27" s="33">
        <v>3.4742811620766187E-2</v>
      </c>
      <c r="C27" s="34">
        <f t="shared" si="0"/>
        <v>8.6857029051915467E-3</v>
      </c>
      <c r="D27" s="35">
        <v>4.1385414215135644E-3</v>
      </c>
    </row>
    <row r="28" spans="1:4" x14ac:dyDescent="0.3">
      <c r="A28" s="36">
        <v>6</v>
      </c>
      <c r="B28" s="37">
        <v>3.5675836612744739E-2</v>
      </c>
      <c r="C28" s="34">
        <f t="shared" si="0"/>
        <v>8.9189591531861848E-3</v>
      </c>
      <c r="D28" s="34">
        <v>1.423254109849246E-2</v>
      </c>
    </row>
    <row r="29" spans="1:4" x14ac:dyDescent="0.3">
      <c r="A29" s="36">
        <v>6</v>
      </c>
      <c r="B29" s="37">
        <v>3.6552919023631419E-2</v>
      </c>
      <c r="C29" s="34">
        <f t="shared" si="0"/>
        <v>9.1382297559078549E-3</v>
      </c>
      <c r="D29" s="34">
        <v>2.2825901633905959E-3</v>
      </c>
    </row>
    <row r="30" spans="1:4" x14ac:dyDescent="0.3">
      <c r="A30" s="36">
        <v>6</v>
      </c>
      <c r="B30" s="37">
        <v>1.382351984256739E-2</v>
      </c>
      <c r="C30" s="34">
        <f t="shared" si="0"/>
        <v>3.4558799606418476E-3</v>
      </c>
      <c r="D30" s="34">
        <v>3.4278093764252678E-2</v>
      </c>
    </row>
    <row r="31" spans="1:4" ht="15" thickBot="1" x14ac:dyDescent="0.35">
      <c r="A31" s="38">
        <v>6</v>
      </c>
      <c r="B31" s="39">
        <v>2.05229941077067E-2</v>
      </c>
      <c r="C31" s="40">
        <f t="shared" si="0"/>
        <v>5.1307485269266751E-3</v>
      </c>
      <c r="D31" s="40">
        <v>2.9840657480593009E-2</v>
      </c>
    </row>
    <row r="32" spans="1:4" x14ac:dyDescent="0.3">
      <c r="A32" s="3">
        <v>7</v>
      </c>
      <c r="B32" s="17">
        <v>3.3692410824427678E-2</v>
      </c>
      <c r="C32" s="20">
        <f t="shared" si="0"/>
        <v>8.4231027061069195E-3</v>
      </c>
      <c r="D32" s="21">
        <v>9.1345219100941143E-3</v>
      </c>
    </row>
    <row r="33" spans="1:4" x14ac:dyDescent="0.3">
      <c r="A33" s="6">
        <v>7</v>
      </c>
      <c r="B33" s="18">
        <v>3.7237249840868243E-2</v>
      </c>
      <c r="C33" s="20">
        <f t="shared" si="0"/>
        <v>9.3093124602170608E-3</v>
      </c>
      <c r="D33" s="20">
        <v>2.354913397715493E-2</v>
      </c>
    </row>
    <row r="34" spans="1:4" x14ac:dyDescent="0.3">
      <c r="A34" s="6">
        <v>7</v>
      </c>
      <c r="B34" s="18">
        <v>3.670784771922829E-2</v>
      </c>
      <c r="C34" s="20">
        <f t="shared" si="0"/>
        <v>9.1769619298070725E-3</v>
      </c>
      <c r="D34" s="20">
        <v>5.7788719261663577E-3</v>
      </c>
    </row>
    <row r="35" spans="1:4" x14ac:dyDescent="0.3">
      <c r="A35" s="6">
        <v>7</v>
      </c>
      <c r="B35" s="18">
        <v>1.3831371757544699E-2</v>
      </c>
      <c r="C35" s="20">
        <f t="shared" si="0"/>
        <v>3.4578429393861748E-3</v>
      </c>
      <c r="D35" s="20">
        <v>3.339355939109849E-2</v>
      </c>
    </row>
    <row r="36" spans="1:4" ht="15" thickBot="1" x14ac:dyDescent="0.35">
      <c r="A36" s="8">
        <v>7</v>
      </c>
      <c r="B36" s="19">
        <v>2.2106665400977169E-2</v>
      </c>
      <c r="C36" s="22">
        <f t="shared" si="0"/>
        <v>5.5266663502442923E-3</v>
      </c>
      <c r="D36" s="22">
        <v>1.9692875716327159E-2</v>
      </c>
    </row>
    <row r="37" spans="1:4" x14ac:dyDescent="0.3">
      <c r="A37" s="3">
        <v>8</v>
      </c>
      <c r="B37" s="17">
        <v>4.0389276955661559E-2</v>
      </c>
      <c r="C37" s="20">
        <f t="shared" si="0"/>
        <v>1.009731923891539E-2</v>
      </c>
      <c r="D37" s="21">
        <v>4.9943670108246038E-3</v>
      </c>
    </row>
    <row r="38" spans="1:4" x14ac:dyDescent="0.3">
      <c r="A38" s="6">
        <v>8</v>
      </c>
      <c r="B38" s="18">
        <v>3.5905894855714507E-2</v>
      </c>
      <c r="C38" s="20">
        <f t="shared" si="0"/>
        <v>8.9764737139286267E-3</v>
      </c>
      <c r="D38" s="20">
        <v>1.6341024478844599E-2</v>
      </c>
    </row>
    <row r="39" spans="1:4" x14ac:dyDescent="0.3">
      <c r="A39" s="6">
        <v>8</v>
      </c>
      <c r="B39" s="18">
        <v>3.5938712100227838E-2</v>
      </c>
      <c r="C39" s="20">
        <f t="shared" si="0"/>
        <v>8.9846780250569594E-3</v>
      </c>
      <c r="D39" s="20">
        <v>4.8527707643191108E-3</v>
      </c>
    </row>
    <row r="40" spans="1:4" x14ac:dyDescent="0.3">
      <c r="A40" s="6">
        <v>8</v>
      </c>
      <c r="B40" s="18">
        <v>2.9771287195870931E-2</v>
      </c>
      <c r="C40" s="20">
        <f t="shared" si="0"/>
        <v>7.4428217989677328E-3</v>
      </c>
      <c r="D40" s="20">
        <v>2.7061807014179231E-2</v>
      </c>
    </row>
    <row r="41" spans="1:4" ht="15" thickBot="1" x14ac:dyDescent="0.35">
      <c r="A41" s="8">
        <v>8</v>
      </c>
      <c r="B41" s="19">
        <v>1.920284449781752E-2</v>
      </c>
      <c r="C41" s="22">
        <f t="shared" si="0"/>
        <v>4.80071112445438E-3</v>
      </c>
      <c r="D41" s="22">
        <v>2.555452875323792E-2</v>
      </c>
    </row>
    <row r="42" spans="1:4" x14ac:dyDescent="0.3">
      <c r="A42" s="3">
        <v>9</v>
      </c>
      <c r="B42" s="17">
        <v>3.3524537891092651E-2</v>
      </c>
      <c r="C42" s="20">
        <f t="shared" si="0"/>
        <v>8.3811344727731628E-3</v>
      </c>
      <c r="D42" s="21">
        <v>7.4056672344862432E-3</v>
      </c>
    </row>
    <row r="43" spans="1:4" x14ac:dyDescent="0.3">
      <c r="A43" s="6">
        <v>9</v>
      </c>
      <c r="B43" s="18">
        <v>3.9222378942613677E-2</v>
      </c>
      <c r="C43" s="20">
        <f t="shared" si="0"/>
        <v>9.8055947356534192E-3</v>
      </c>
      <c r="D43" s="20">
        <v>1.2571129801416199E-2</v>
      </c>
    </row>
    <row r="44" spans="1:4" x14ac:dyDescent="0.3">
      <c r="A44" s="6">
        <v>9</v>
      </c>
      <c r="B44" s="18">
        <v>4.1919721131066352E-2</v>
      </c>
      <c r="C44" s="20">
        <f t="shared" si="0"/>
        <v>1.0479930282766588E-2</v>
      </c>
      <c r="D44" s="20">
        <v>1.6890498719250149E-2</v>
      </c>
    </row>
    <row r="45" spans="1:4" x14ac:dyDescent="0.3">
      <c r="A45" s="6">
        <v>9</v>
      </c>
      <c r="B45" s="18">
        <v>1.355761430721824E-2</v>
      </c>
      <c r="C45" s="20">
        <f t="shared" si="0"/>
        <v>3.3894035768045599E-3</v>
      </c>
      <c r="D45" s="20">
        <v>3.9561880183049791E-2</v>
      </c>
    </row>
    <row r="46" spans="1:4" ht="15" thickBot="1" x14ac:dyDescent="0.35">
      <c r="A46" s="8">
        <v>9</v>
      </c>
      <c r="B46" s="19">
        <v>1.6582595053842811E-2</v>
      </c>
      <c r="C46" s="22">
        <f t="shared" si="0"/>
        <v>4.1456487634607027E-3</v>
      </c>
      <c r="D46" s="22">
        <v>3.049476199886484E-2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FOLCH</cp:lastModifiedBy>
  <dcterms:created xsi:type="dcterms:W3CDTF">2026-04-10T19:31:29Z</dcterms:created>
  <dcterms:modified xsi:type="dcterms:W3CDTF">2026-04-22T14:08:35Z</dcterms:modified>
</cp:coreProperties>
</file>