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Optimizacion\"/>
    </mc:Choice>
  </mc:AlternateContent>
  <xr:revisionPtr revIDLastSave="0" documentId="13_ncr:1_{8249D158-30EB-4B3E-A834-F27D490B6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ámetro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H28" i="1"/>
  <c r="K28" i="1"/>
  <c r="L28" i="1"/>
  <c r="M28" i="1"/>
  <c r="H27" i="1"/>
  <c r="K27" i="1"/>
  <c r="L27" i="1"/>
  <c r="M27" i="1"/>
  <c r="F27" i="1"/>
</calcChain>
</file>

<file path=xl/sharedStrings.xml><?xml version="1.0" encoding="utf-8"?>
<sst xmlns="http://schemas.openxmlformats.org/spreadsheetml/2006/main" count="85" uniqueCount="62">
  <si>
    <t>Resultados preliminares - modelo modificado</t>
  </si>
  <si>
    <t>Fuente: Resultados preliminares prueba modelo modificado.txt. Se excluyó la columna Hora.</t>
  </si>
  <si>
    <t>Iteración</t>
  </si>
  <si>
    <t>Motivo de término</t>
  </si>
  <si>
    <t>Iteración de término</t>
  </si>
  <si>
    <t>Valor final (f_avg-f_min)/f_min</t>
  </si>
  <si>
    <t>mu0</t>
  </si>
  <si>
    <t>betaS0</t>
  </si>
  <si>
    <t>Kn0</t>
  </si>
  <si>
    <t>Ks0</t>
  </si>
  <si>
    <t>Kie0</t>
  </si>
  <si>
    <t>Kd0</t>
  </si>
  <si>
    <t>Yxn</t>
  </si>
  <si>
    <t>Yxs</t>
  </si>
  <si>
    <t>Yes</t>
  </si>
  <si>
    <t>Ajuste</t>
  </si>
  <si>
    <t>Separados</t>
  </si>
  <si>
    <t>Total</t>
  </si>
  <si>
    <t>Duración</t>
  </si>
  <si>
    <t>Duración (min)</t>
  </si>
  <si>
    <t>max_epoch</t>
  </si>
  <si>
    <t>183 min 11.81 s</t>
  </si>
  <si>
    <t>142 min 50.77 s</t>
  </si>
  <si>
    <t>202 min 53.03 s</t>
  </si>
  <si>
    <t>131 min 48.02 s</t>
  </si>
  <si>
    <t>271 min 15.76 s</t>
  </si>
  <si>
    <t>445 min 17.27 s</t>
  </si>
  <si>
    <t>198 min 51.79 s</t>
  </si>
  <si>
    <t>292 min 35.17 s</t>
  </si>
  <si>
    <t>153 min 49.14 s</t>
  </si>
  <si>
    <t>151 min 40.30 s</t>
  </si>
  <si>
    <t>163 min 42.47 s</t>
  </si>
  <si>
    <t>219 min 58.06 s</t>
  </si>
  <si>
    <t>191 min 59.76 s</t>
  </si>
  <si>
    <t>217 min 2.63 s</t>
  </si>
  <si>
    <t>182 min 37.82 s</t>
  </si>
  <si>
    <t>171 min 18.56 s</t>
  </si>
  <si>
    <t>154 min 14.92 s</t>
  </si>
  <si>
    <t>117 min 31.36 s</t>
  </si>
  <si>
    <t>200 min 1.25 s</t>
  </si>
  <si>
    <t>168 min 26.70 s</t>
  </si>
  <si>
    <t>171 min 45.01 s</t>
  </si>
  <si>
    <t>Resumen de resultados</t>
  </si>
  <si>
    <t>Sets separados fijos</t>
  </si>
  <si>
    <t>(3, 4, 11, 14)</t>
  </si>
  <si>
    <t>Métrica</t>
  </si>
  <si>
    <t>Valor</t>
  </si>
  <si>
    <t>Iteraciones pedidas</t>
  </si>
  <si>
    <t>50</t>
  </si>
  <si>
    <t>Menor costo Total</t>
  </si>
  <si>
    <t>Workers</t>
  </si>
  <si>
    <t>5</t>
  </si>
  <si>
    <t>Menor costo Separados</t>
  </si>
  <si>
    <t>Semilla PSO fija</t>
  </si>
  <si>
    <t>123</t>
  </si>
  <si>
    <t>Menor costo Ajuste</t>
  </si>
  <si>
    <t>Iteraciones encontradas en archivo</t>
  </si>
  <si>
    <t>Mayor costo Total</t>
  </si>
  <si>
    <t>Nota</t>
  </si>
  <si>
    <t>La columna Hora fue omitida según solicitud.</t>
  </si>
  <si>
    <t>Promedio costo Total</t>
  </si>
  <si>
    <t>Promedio duración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</si>
</sst>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4" fillId="4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1" fontId="0" fillId="5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164" fontId="0" fillId="5" borderId="0" xfId="0" applyNumberFormat="1" applyFill="1" applyAlignment="1">
      <alignment vertical="center"/>
    </xf>
    <xf numFmtId="49" fontId="0" fillId="5" borderId="0" xfId="0" applyNumberFormat="1" applyFill="1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Costo total por iteración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</c:v>
          </c:tx>
          <c:cat>
            <c:numRef>
              <c:f>Resumen!$H$4:$H$24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cat>
          <c:val>
            <c:numRef>
              <c:f>Resumen!$I$4:$I$24</c:f>
              <c:numCache>
                <c:formatCode>General</c:formatCode>
                <c:ptCount val="21"/>
                <c:pt idx="0">
                  <c:v>0.407468</c:v>
                </c:pt>
                <c:pt idx="1">
                  <c:v>0.174927</c:v>
                </c:pt>
                <c:pt idx="2">
                  <c:v>0.193359</c:v>
                </c:pt>
                <c:pt idx="3">
                  <c:v>0.21762000000000001</c:v>
                </c:pt>
                <c:pt idx="4">
                  <c:v>0.14180100000000001</c:v>
                </c:pt>
                <c:pt idx="5">
                  <c:v>0.18824399999999999</c:v>
                </c:pt>
                <c:pt idx="6">
                  <c:v>0.13681699999999999</c:v>
                </c:pt>
                <c:pt idx="7">
                  <c:v>0.118607</c:v>
                </c:pt>
                <c:pt idx="8">
                  <c:v>0.14211099999999999</c:v>
                </c:pt>
                <c:pt idx="9">
                  <c:v>0.11731800000000001</c:v>
                </c:pt>
                <c:pt idx="10">
                  <c:v>0.19401399999999999</c:v>
                </c:pt>
                <c:pt idx="11">
                  <c:v>0.54409099999999999</c:v>
                </c:pt>
                <c:pt idx="12">
                  <c:v>0.37348199999999998</c:v>
                </c:pt>
                <c:pt idx="13">
                  <c:v>0.139568</c:v>
                </c:pt>
                <c:pt idx="14">
                  <c:v>0.13539499999999999</c:v>
                </c:pt>
                <c:pt idx="15">
                  <c:v>0.29677799999999999</c:v>
                </c:pt>
                <c:pt idx="16">
                  <c:v>0.439222</c:v>
                </c:pt>
                <c:pt idx="17">
                  <c:v>0.16355600000000001</c:v>
                </c:pt>
                <c:pt idx="18">
                  <c:v>0.19531299999999999</c:v>
                </c:pt>
                <c:pt idx="19">
                  <c:v>0.11637500000000001</c:v>
                </c:pt>
                <c:pt idx="20">
                  <c:v>0.12585499999999999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2-4D96-84DC-901D75AA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rametros" displayName="TablaParametros" ref="A4:R25">
  <tableColumns count="18">
    <tableColumn id="1" xr3:uid="{00000000-0010-0000-0000-000001000000}" name="Iteración"/>
    <tableColumn id="2" xr3:uid="{00000000-0010-0000-0000-000002000000}" name="Motivo de término"/>
    <tableColumn id="3" xr3:uid="{00000000-0010-0000-0000-000003000000}" name="Iteración de término"/>
    <tableColumn id="4" xr3:uid="{00000000-0010-0000-0000-000004000000}" name="Valor final (f_avg-f_min)/f_min"/>
    <tableColumn id="5" xr3:uid="{00000000-0010-0000-0000-000005000000}" name="mu0"/>
    <tableColumn id="6" xr3:uid="{00000000-0010-0000-0000-000006000000}" name="betaS0"/>
    <tableColumn id="7" xr3:uid="{00000000-0010-0000-0000-000007000000}" name="Kn0"/>
    <tableColumn id="8" xr3:uid="{00000000-0010-0000-0000-000008000000}" name="Ks0"/>
    <tableColumn id="9" xr3:uid="{00000000-0010-0000-0000-000009000000}" name="Kie0"/>
    <tableColumn id="10" xr3:uid="{00000000-0010-0000-0000-00000A000000}" name="Kd0"/>
    <tableColumn id="11" xr3:uid="{00000000-0010-0000-0000-00000B000000}" name="Yxn"/>
    <tableColumn id="12" xr3:uid="{00000000-0010-0000-0000-00000C000000}" name="Yxs"/>
    <tableColumn id="13" xr3:uid="{00000000-0010-0000-0000-00000D000000}" name="Yes"/>
    <tableColumn id="14" xr3:uid="{00000000-0010-0000-0000-00000E000000}" name="Ajuste"/>
    <tableColumn id="15" xr3:uid="{00000000-0010-0000-0000-00000F000000}" name="Separados"/>
    <tableColumn id="16" xr3:uid="{00000000-0010-0000-0000-000010000000}" name="Total"/>
    <tableColumn id="17" xr3:uid="{00000000-0010-0000-0000-000011000000}" name="Duración"/>
    <tableColumn id="18" xr3:uid="{00000000-0010-0000-0000-000012000000}" name="Duración (mi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sumen" displayName="TablaResumen" ref="D3:F9">
  <tableColumns count="3">
    <tableColumn id="1" xr3:uid="{00000000-0010-0000-0100-000001000000}" name="Métrica"/>
    <tableColumn id="2" xr3:uid="{00000000-0010-0000-0100-000002000000}" name="Iteración"/>
    <tableColumn id="3" xr3:uid="{00000000-0010-0000-0100-000003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zoomScale="80" zoomScaleNormal="80" workbookViewId="0">
      <selection activeCell="P32" sqref="P32"/>
    </sheetView>
  </sheetViews>
  <sheetFormatPr baseColWidth="10" defaultColWidth="8.796875" defaultRowHeight="13.8"/>
  <cols>
    <col min="1" max="1" width="10" customWidth="1"/>
    <col min="2" max="3" width="18" customWidth="1"/>
    <col min="4" max="4" width="28" customWidth="1"/>
    <col min="5" max="5" width="10" customWidth="1"/>
    <col min="6" max="6" width="12" customWidth="1"/>
    <col min="7" max="7" width="10" customWidth="1"/>
    <col min="8" max="9" width="12" customWidth="1"/>
    <col min="10" max="14" width="10" customWidth="1"/>
    <col min="15" max="15" width="12" customWidth="1"/>
    <col min="16" max="16" width="10" customWidth="1"/>
    <col min="17" max="17" width="18" customWidth="1"/>
    <col min="18" max="18" width="14" customWidth="1"/>
  </cols>
  <sheetData>
    <row r="1" spans="1:18" ht="20.8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4.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>
      <c r="A5" s="4">
        <v>1</v>
      </c>
      <c r="B5" s="3" t="s">
        <v>20</v>
      </c>
      <c r="C5" s="4">
        <v>2001</v>
      </c>
      <c r="D5" s="5">
        <v>2.2989999999999998E-3</v>
      </c>
      <c r="E5" s="5">
        <v>0.27704099999999998</v>
      </c>
      <c r="F5" s="5">
        <v>11.468474000000001</v>
      </c>
      <c r="G5" s="5">
        <v>9.6469999999999993E-3</v>
      </c>
      <c r="H5" s="5">
        <v>87.961849999999998</v>
      </c>
      <c r="I5" s="5">
        <v>42.528283999999999</v>
      </c>
      <c r="J5" s="5">
        <v>1E-4</v>
      </c>
      <c r="K5" s="5">
        <v>1.2470117000000001</v>
      </c>
      <c r="L5" s="5">
        <v>5.5094684999999997</v>
      </c>
      <c r="M5" s="5">
        <v>0.49640098999999999</v>
      </c>
      <c r="N5" s="5">
        <v>4.4666999999999998E-2</v>
      </c>
      <c r="O5" s="5">
        <v>0.36280200000000001</v>
      </c>
      <c r="P5" s="5">
        <v>0.407468</v>
      </c>
      <c r="Q5" s="6" t="s">
        <v>21</v>
      </c>
      <c r="R5" s="5">
        <v>183.1968</v>
      </c>
    </row>
    <row r="6" spans="1:18">
      <c r="A6" s="4">
        <v>2</v>
      </c>
      <c r="B6" s="3" t="s">
        <v>20</v>
      </c>
      <c r="C6" s="4">
        <v>2001</v>
      </c>
      <c r="D6" s="5">
        <v>6.744E-3</v>
      </c>
      <c r="E6" s="5">
        <v>0.27704099999999998</v>
      </c>
      <c r="F6" s="5">
        <v>6.0837509000000001</v>
      </c>
      <c r="G6" s="5">
        <v>9.6469999999999993E-3</v>
      </c>
      <c r="H6" s="5">
        <v>90.829639999999998</v>
      </c>
      <c r="I6" s="5">
        <v>42.528283999999999</v>
      </c>
      <c r="J6" s="5">
        <v>1E-4</v>
      </c>
      <c r="K6" s="5">
        <v>2.0041188999999999</v>
      </c>
      <c r="L6" s="5">
        <v>3.5005850000000001</v>
      </c>
      <c r="M6" s="5">
        <v>0.46893701999999998</v>
      </c>
      <c r="N6" s="5">
        <v>2.9548000000000001E-2</v>
      </c>
      <c r="O6" s="5">
        <v>0.14537800000000001</v>
      </c>
      <c r="P6" s="5">
        <v>0.174927</v>
      </c>
      <c r="Q6" s="6" t="s">
        <v>22</v>
      </c>
      <c r="R6" s="5">
        <v>142.84620000000001</v>
      </c>
    </row>
    <row r="7" spans="1:18">
      <c r="A7" s="4">
        <v>3</v>
      </c>
      <c r="B7" s="3" t="s">
        <v>20</v>
      </c>
      <c r="C7" s="4">
        <v>2001</v>
      </c>
      <c r="D7" s="5">
        <v>1.6360000000000001E-3</v>
      </c>
      <c r="E7" s="5">
        <v>0.27704099999999998</v>
      </c>
      <c r="F7" s="5">
        <v>5.0820255999999997</v>
      </c>
      <c r="G7" s="5">
        <v>9.6469999999999993E-3</v>
      </c>
      <c r="H7" s="5">
        <v>69.718316999999999</v>
      </c>
      <c r="I7" s="5">
        <v>42.528283999999999</v>
      </c>
      <c r="J7" s="5">
        <v>1E-4</v>
      </c>
      <c r="K7" s="5">
        <v>2.3963313999999998</v>
      </c>
      <c r="L7" s="5">
        <v>3.2555434000000001</v>
      </c>
      <c r="M7" s="5">
        <v>0.45138507999999999</v>
      </c>
      <c r="N7" s="5">
        <v>2.6783000000000001E-2</v>
      </c>
      <c r="O7" s="5">
        <v>0.166575</v>
      </c>
      <c r="P7" s="5">
        <v>0.193359</v>
      </c>
      <c r="Q7" s="6" t="s">
        <v>23</v>
      </c>
      <c r="R7" s="5">
        <v>202.88380000000001</v>
      </c>
    </row>
    <row r="8" spans="1:18">
      <c r="A8" s="4">
        <v>4</v>
      </c>
      <c r="B8" s="3" t="s">
        <v>20</v>
      </c>
      <c r="C8" s="4">
        <v>2001</v>
      </c>
      <c r="D8" s="5">
        <v>7.36E-4</v>
      </c>
      <c r="E8" s="5">
        <v>0.27704099999999998</v>
      </c>
      <c r="F8" s="5">
        <v>9.9411363999999995</v>
      </c>
      <c r="G8" s="5">
        <v>9.6469999999999993E-3</v>
      </c>
      <c r="H8" s="5">
        <v>199.54263</v>
      </c>
      <c r="I8" s="5">
        <v>42.528283999999999</v>
      </c>
      <c r="J8" s="5">
        <v>1E-4</v>
      </c>
      <c r="K8" s="5">
        <v>1.7749172</v>
      </c>
      <c r="L8" s="5">
        <v>7.2918792000000003</v>
      </c>
      <c r="M8" s="5">
        <v>0.53626114000000003</v>
      </c>
      <c r="N8" s="5">
        <v>3.8150000000000003E-2</v>
      </c>
      <c r="O8" s="5">
        <v>0.17946899999999999</v>
      </c>
      <c r="P8" s="5">
        <v>0.21762000000000001</v>
      </c>
      <c r="Q8" s="6" t="s">
        <v>24</v>
      </c>
      <c r="R8" s="5">
        <v>131.80029999999999</v>
      </c>
    </row>
    <row r="9" spans="1:18">
      <c r="A9" s="4">
        <v>5</v>
      </c>
      <c r="B9" s="3" t="s">
        <v>20</v>
      </c>
      <c r="C9" s="4">
        <v>2001</v>
      </c>
      <c r="D9" s="5">
        <v>3.7729999999999999E-3</v>
      </c>
      <c r="E9" s="5">
        <v>0.27704099999999998</v>
      </c>
      <c r="F9" s="5">
        <v>3.149451</v>
      </c>
      <c r="G9" s="5">
        <v>9.6469999999999993E-3</v>
      </c>
      <c r="H9" s="5">
        <v>85.311828000000006</v>
      </c>
      <c r="I9" s="5">
        <v>42.528283999999999</v>
      </c>
      <c r="J9" s="5">
        <v>1E-4</v>
      </c>
      <c r="K9" s="5">
        <v>4.0349430000000002</v>
      </c>
      <c r="L9" s="5">
        <v>2.9934919</v>
      </c>
      <c r="M9" s="5">
        <v>0.44516728999999999</v>
      </c>
      <c r="N9" s="5">
        <v>4.4317000000000002E-2</v>
      </c>
      <c r="O9" s="5">
        <v>9.7484000000000001E-2</v>
      </c>
      <c r="P9" s="5">
        <v>0.14180100000000001</v>
      </c>
      <c r="Q9" s="6" t="s">
        <v>25</v>
      </c>
      <c r="R9" s="5">
        <v>271.2627</v>
      </c>
    </row>
    <row r="10" spans="1:18">
      <c r="A10" s="4">
        <v>6</v>
      </c>
      <c r="B10" s="3" t="s">
        <v>20</v>
      </c>
      <c r="C10" s="4">
        <v>2001</v>
      </c>
      <c r="D10" s="5">
        <v>7.2400000000000003E-4</v>
      </c>
      <c r="E10" s="5">
        <v>0.27704099999999998</v>
      </c>
      <c r="F10" s="5">
        <v>1.7733618</v>
      </c>
      <c r="G10" s="5">
        <v>9.6469999999999993E-3</v>
      </c>
      <c r="H10" s="5">
        <v>68.496116999999998</v>
      </c>
      <c r="I10" s="5">
        <v>42.528283999999999</v>
      </c>
      <c r="J10" s="5">
        <v>1E-4</v>
      </c>
      <c r="K10" s="5">
        <v>7.4574033999999996</v>
      </c>
      <c r="L10" s="5">
        <v>5.4601670000000002</v>
      </c>
      <c r="M10" s="5">
        <v>0.48421149000000002</v>
      </c>
      <c r="N10" s="5">
        <v>2.6003999999999999E-2</v>
      </c>
      <c r="O10" s="5">
        <v>0.16224</v>
      </c>
      <c r="P10" s="5">
        <v>0.18824399999999999</v>
      </c>
      <c r="Q10" s="6" t="s">
        <v>26</v>
      </c>
      <c r="R10" s="5">
        <v>445.2878</v>
      </c>
    </row>
    <row r="11" spans="1:18">
      <c r="A11" s="4">
        <v>7</v>
      </c>
      <c r="B11" s="3" t="s">
        <v>20</v>
      </c>
      <c r="C11" s="4">
        <v>2001</v>
      </c>
      <c r="D11" s="5">
        <v>8.1099999999999998E-4</v>
      </c>
      <c r="E11" s="5">
        <v>0.27704099999999998</v>
      </c>
      <c r="F11" s="5">
        <v>3.504508</v>
      </c>
      <c r="G11" s="5">
        <v>9.6469999999999993E-3</v>
      </c>
      <c r="H11" s="5">
        <v>43.758381</v>
      </c>
      <c r="I11" s="5">
        <v>42.528283999999999</v>
      </c>
      <c r="J11" s="5">
        <v>1E-4</v>
      </c>
      <c r="K11" s="5">
        <v>2.4985257000000001</v>
      </c>
      <c r="L11" s="5">
        <v>1.4155617</v>
      </c>
      <c r="M11" s="5">
        <v>0.45651503999999998</v>
      </c>
      <c r="N11" s="5">
        <v>3.9591000000000001E-2</v>
      </c>
      <c r="O11" s="5">
        <v>9.7226000000000007E-2</v>
      </c>
      <c r="P11" s="5">
        <v>0.13681699999999999</v>
      </c>
      <c r="Q11" s="6" t="s">
        <v>27</v>
      </c>
      <c r="R11" s="5">
        <v>198.86320000000001</v>
      </c>
    </row>
    <row r="12" spans="1:18">
      <c r="A12" s="4">
        <v>8</v>
      </c>
      <c r="B12" s="3" t="s">
        <v>20</v>
      </c>
      <c r="C12" s="4">
        <v>2001</v>
      </c>
      <c r="D12" s="5">
        <v>1.7619999999999999E-3</v>
      </c>
      <c r="E12" s="5">
        <v>0.27704099999999998</v>
      </c>
      <c r="F12" s="5">
        <v>2.3712260999999999</v>
      </c>
      <c r="G12" s="5">
        <v>9.6469999999999993E-3</v>
      </c>
      <c r="H12" s="5">
        <v>21.321607</v>
      </c>
      <c r="I12" s="5">
        <v>42.528283999999999</v>
      </c>
      <c r="J12" s="5">
        <v>1E-4</v>
      </c>
      <c r="K12" s="5">
        <v>3.2245876</v>
      </c>
      <c r="L12" s="5">
        <v>4.9207049999999999</v>
      </c>
      <c r="M12" s="5">
        <v>0.46945674999999998</v>
      </c>
      <c r="N12" s="5">
        <v>1.6119000000000001E-2</v>
      </c>
      <c r="O12" s="5">
        <v>0.102488</v>
      </c>
      <c r="P12" s="5">
        <v>0.118607</v>
      </c>
      <c r="Q12" s="6" t="s">
        <v>28</v>
      </c>
      <c r="R12" s="5">
        <v>292.58620000000002</v>
      </c>
    </row>
    <row r="13" spans="1:18">
      <c r="A13" s="4">
        <v>9</v>
      </c>
      <c r="B13" s="3" t="s">
        <v>20</v>
      </c>
      <c r="C13" s="4">
        <v>2001</v>
      </c>
      <c r="D13" s="5">
        <v>4.803E-3</v>
      </c>
      <c r="E13" s="5">
        <v>0.27704099999999998</v>
      </c>
      <c r="F13" s="5">
        <v>7.1958091</v>
      </c>
      <c r="G13" s="5">
        <v>9.6469999999999993E-3</v>
      </c>
      <c r="H13" s="5">
        <v>192.19082</v>
      </c>
      <c r="I13" s="5">
        <v>42.528283999999999</v>
      </c>
      <c r="J13" s="5">
        <v>1E-4</v>
      </c>
      <c r="K13" s="5">
        <v>2.2644606999999999</v>
      </c>
      <c r="L13" s="5">
        <v>6.7056224000000002</v>
      </c>
      <c r="M13" s="5">
        <v>0.49490577000000002</v>
      </c>
      <c r="N13" s="5">
        <v>1.9708E-2</v>
      </c>
      <c r="O13" s="5">
        <v>0.122404</v>
      </c>
      <c r="P13" s="5">
        <v>0.14211099999999999</v>
      </c>
      <c r="Q13" s="6" t="s">
        <v>29</v>
      </c>
      <c r="R13" s="5">
        <v>153.81899999999999</v>
      </c>
    </row>
    <row r="14" spans="1:18">
      <c r="A14" s="4">
        <v>10</v>
      </c>
      <c r="B14" s="3" t="s">
        <v>20</v>
      </c>
      <c r="C14" s="4">
        <v>2001</v>
      </c>
      <c r="D14" s="5">
        <v>1.333E-3</v>
      </c>
      <c r="E14" s="5">
        <v>0.27704099999999998</v>
      </c>
      <c r="F14" s="5">
        <v>3.9005462</v>
      </c>
      <c r="G14" s="5">
        <v>9.6469999999999993E-3</v>
      </c>
      <c r="H14" s="5">
        <v>57.042994</v>
      </c>
      <c r="I14" s="5">
        <v>42.528283999999999</v>
      </c>
      <c r="J14" s="5">
        <v>1E-4</v>
      </c>
      <c r="K14" s="5">
        <v>2.2876688000000001</v>
      </c>
      <c r="L14" s="5">
        <v>5.5542464999999996</v>
      </c>
      <c r="M14" s="5">
        <v>0.48099475000000003</v>
      </c>
      <c r="N14" s="5">
        <v>1.4597000000000001E-2</v>
      </c>
      <c r="O14" s="5">
        <v>0.10272100000000001</v>
      </c>
      <c r="P14" s="5">
        <v>0.11731800000000001</v>
      </c>
      <c r="Q14" s="6" t="s">
        <v>30</v>
      </c>
      <c r="R14" s="5">
        <v>151.67169999999999</v>
      </c>
    </row>
    <row r="15" spans="1:18">
      <c r="A15" s="4">
        <v>11</v>
      </c>
      <c r="B15" s="3" t="s">
        <v>20</v>
      </c>
      <c r="C15" s="4">
        <v>2001</v>
      </c>
      <c r="D15" s="5">
        <v>4.1910000000000003E-3</v>
      </c>
      <c r="E15" s="5">
        <v>0.27704099999999998</v>
      </c>
      <c r="F15" s="5">
        <v>5.1755731000000003</v>
      </c>
      <c r="G15" s="5">
        <v>9.6469999999999993E-3</v>
      </c>
      <c r="H15" s="5">
        <v>36.267491999999997</v>
      </c>
      <c r="I15" s="5">
        <v>42.528283999999999</v>
      </c>
      <c r="J15" s="5">
        <v>1E-4</v>
      </c>
      <c r="K15" s="5">
        <v>1.6754507000000001</v>
      </c>
      <c r="L15" s="5">
        <v>2.3489917999999999</v>
      </c>
      <c r="M15" s="5">
        <v>0.45285112999999999</v>
      </c>
      <c r="N15" s="5">
        <v>3.1848000000000001E-2</v>
      </c>
      <c r="O15" s="5">
        <v>0.162166</v>
      </c>
      <c r="P15" s="5">
        <v>0.19401399999999999</v>
      </c>
      <c r="Q15" s="6" t="s">
        <v>31</v>
      </c>
      <c r="R15" s="5">
        <v>163.70779999999999</v>
      </c>
    </row>
    <row r="16" spans="1:18">
      <c r="A16" s="4">
        <v>12</v>
      </c>
      <c r="B16" s="3" t="s">
        <v>20</v>
      </c>
      <c r="C16" s="4">
        <v>2001</v>
      </c>
      <c r="D16" s="5">
        <v>2.5070000000000001E-3</v>
      </c>
      <c r="E16" s="5">
        <v>0.27704099999999998</v>
      </c>
      <c r="F16" s="5">
        <v>9.0847841000000003</v>
      </c>
      <c r="G16" s="5">
        <v>9.6469999999999993E-3</v>
      </c>
      <c r="H16" s="5">
        <v>3.4415713000000001</v>
      </c>
      <c r="I16" s="5">
        <v>42.528283999999999</v>
      </c>
      <c r="J16" s="5">
        <v>1E-4</v>
      </c>
      <c r="K16" s="5">
        <v>0.72009513000000003</v>
      </c>
      <c r="L16" s="5">
        <v>5.1853362000000001</v>
      </c>
      <c r="M16" s="5">
        <v>0.44912851999999998</v>
      </c>
      <c r="N16" s="5">
        <v>1.7225000000000001E-2</v>
      </c>
      <c r="O16" s="5">
        <v>0.52686599999999995</v>
      </c>
      <c r="P16" s="5">
        <v>0.54409099999999999</v>
      </c>
      <c r="Q16" s="6" t="s">
        <v>32</v>
      </c>
      <c r="R16" s="5">
        <v>219.96770000000001</v>
      </c>
    </row>
    <row r="17" spans="1:18">
      <c r="A17" s="4">
        <v>13</v>
      </c>
      <c r="B17" s="3" t="s">
        <v>20</v>
      </c>
      <c r="C17" s="4">
        <v>2001</v>
      </c>
      <c r="D17" s="5">
        <v>5.0340000000000003E-3</v>
      </c>
      <c r="E17" s="5">
        <v>0.27704099999999998</v>
      </c>
      <c r="F17" s="5">
        <v>6.0176283000000002</v>
      </c>
      <c r="G17" s="5">
        <v>9.6469999999999993E-3</v>
      </c>
      <c r="H17" s="5">
        <v>83.041048000000004</v>
      </c>
      <c r="I17" s="5">
        <v>42.528283999999999</v>
      </c>
      <c r="J17" s="5">
        <v>1E-4</v>
      </c>
      <c r="K17" s="5">
        <v>2.7567176</v>
      </c>
      <c r="L17" s="5">
        <v>2.8135074000000002</v>
      </c>
      <c r="M17" s="5">
        <v>0.46457883</v>
      </c>
      <c r="N17" s="5">
        <v>2.6380000000000001E-2</v>
      </c>
      <c r="O17" s="5">
        <v>0.34710200000000002</v>
      </c>
      <c r="P17" s="5">
        <v>0.37348199999999998</v>
      </c>
      <c r="Q17" s="6" t="s">
        <v>33</v>
      </c>
      <c r="R17" s="5">
        <v>191.99600000000001</v>
      </c>
    </row>
    <row r="18" spans="1:18">
      <c r="A18" s="4">
        <v>14</v>
      </c>
      <c r="B18" s="3" t="s">
        <v>20</v>
      </c>
      <c r="C18" s="4">
        <v>2001</v>
      </c>
      <c r="D18" s="5">
        <v>3.8600000000000001E-3</v>
      </c>
      <c r="E18" s="5">
        <v>0.27704099999999998</v>
      </c>
      <c r="F18" s="5">
        <v>1.676812</v>
      </c>
      <c r="G18" s="5">
        <v>9.6469999999999993E-3</v>
      </c>
      <c r="H18" s="5">
        <v>38.263713000000003</v>
      </c>
      <c r="I18" s="5">
        <v>42.528283999999999</v>
      </c>
      <c r="J18" s="5">
        <v>1E-4</v>
      </c>
      <c r="K18" s="5">
        <v>5.7998092000000003</v>
      </c>
      <c r="L18" s="5">
        <v>6.4400994999999996</v>
      </c>
      <c r="M18" s="5">
        <v>0.4281354</v>
      </c>
      <c r="N18" s="5">
        <v>2.7432000000000002E-2</v>
      </c>
      <c r="O18" s="5">
        <v>0.112136</v>
      </c>
      <c r="P18" s="5">
        <v>0.139568</v>
      </c>
      <c r="Q18" s="6" t="s">
        <v>34</v>
      </c>
      <c r="R18" s="5">
        <v>217.0438</v>
      </c>
    </row>
    <row r="19" spans="1:18">
      <c r="A19" s="4">
        <v>15</v>
      </c>
      <c r="B19" s="3" t="s">
        <v>20</v>
      </c>
      <c r="C19" s="4">
        <v>2001</v>
      </c>
      <c r="D19" s="5">
        <v>6.2249999999999996E-3</v>
      </c>
      <c r="E19" s="5">
        <v>0.27704099999999998</v>
      </c>
      <c r="F19" s="5">
        <v>2.0906916</v>
      </c>
      <c r="G19" s="5">
        <v>9.6469999999999993E-3</v>
      </c>
      <c r="H19" s="5">
        <v>47.642139</v>
      </c>
      <c r="I19" s="5">
        <v>42.528283999999999</v>
      </c>
      <c r="J19" s="5">
        <v>1E-4</v>
      </c>
      <c r="K19" s="5">
        <v>4.6918968000000003</v>
      </c>
      <c r="L19" s="5">
        <v>2.1600160000000002</v>
      </c>
      <c r="M19" s="5">
        <v>0.46651404000000002</v>
      </c>
      <c r="N19" s="5">
        <v>1.9354E-2</v>
      </c>
      <c r="O19" s="5">
        <v>0.11604100000000001</v>
      </c>
      <c r="P19" s="5">
        <v>0.13539499999999999</v>
      </c>
      <c r="Q19" s="6" t="s">
        <v>35</v>
      </c>
      <c r="R19" s="5">
        <v>182.63030000000001</v>
      </c>
    </row>
    <row r="20" spans="1:18">
      <c r="A20" s="4">
        <v>16</v>
      </c>
      <c r="B20" s="3" t="s">
        <v>20</v>
      </c>
      <c r="C20" s="4">
        <v>2001</v>
      </c>
      <c r="D20" s="5">
        <v>1.7113E-2</v>
      </c>
      <c r="E20" s="5">
        <v>0.27704099999999998</v>
      </c>
      <c r="F20" s="5">
        <v>8.7881649999999993</v>
      </c>
      <c r="G20" s="5">
        <v>9.6469999999999993E-3</v>
      </c>
      <c r="H20" s="5">
        <v>133.23145</v>
      </c>
      <c r="I20" s="5">
        <v>42.528283999999999</v>
      </c>
      <c r="J20" s="5">
        <v>1E-4</v>
      </c>
      <c r="K20" s="5">
        <v>1.9196047000000001</v>
      </c>
      <c r="L20" s="5">
        <v>4.7642568000000001</v>
      </c>
      <c r="M20" s="5">
        <v>0.49483998000000001</v>
      </c>
      <c r="N20" s="5">
        <v>4.9078999999999998E-2</v>
      </c>
      <c r="O20" s="5">
        <v>0.247699</v>
      </c>
      <c r="P20" s="5">
        <v>0.29677799999999999</v>
      </c>
      <c r="Q20" s="6" t="s">
        <v>36</v>
      </c>
      <c r="R20" s="5">
        <v>171.30930000000001</v>
      </c>
    </row>
    <row r="21" spans="1:18">
      <c r="A21" s="4">
        <v>17</v>
      </c>
      <c r="B21" s="3" t="s">
        <v>20</v>
      </c>
      <c r="C21" s="4">
        <v>2001</v>
      </c>
      <c r="D21" s="5">
        <v>1.268E-3</v>
      </c>
      <c r="E21" s="5">
        <v>0.27704099999999998</v>
      </c>
      <c r="F21" s="5">
        <v>6.7983492999999999</v>
      </c>
      <c r="G21" s="5">
        <v>9.6469999999999993E-3</v>
      </c>
      <c r="H21" s="5">
        <v>101.62226</v>
      </c>
      <c r="I21" s="5">
        <v>42.528283999999999</v>
      </c>
      <c r="J21" s="5">
        <v>1E-4</v>
      </c>
      <c r="K21" s="5">
        <v>2.6089669</v>
      </c>
      <c r="L21" s="5">
        <v>3.7457269000000002</v>
      </c>
      <c r="M21" s="5">
        <v>0.51727148999999994</v>
      </c>
      <c r="N21" s="5">
        <v>3.1708E-2</v>
      </c>
      <c r="O21" s="5">
        <v>0.40751300000000001</v>
      </c>
      <c r="P21" s="5">
        <v>0.439222</v>
      </c>
      <c r="Q21" s="6" t="s">
        <v>37</v>
      </c>
      <c r="R21" s="5">
        <v>154.24870000000001</v>
      </c>
    </row>
    <row r="22" spans="1:18" s="17" customFormat="1">
      <c r="A22" s="13">
        <v>18</v>
      </c>
      <c r="B22" s="14" t="s">
        <v>20</v>
      </c>
      <c r="C22" s="13">
        <v>1707</v>
      </c>
      <c r="D22" s="15">
        <v>9.7E-5</v>
      </c>
      <c r="E22" s="15">
        <v>0.27704099999999998</v>
      </c>
      <c r="F22" s="15">
        <v>4.6264387999999999</v>
      </c>
      <c r="G22" s="15">
        <v>9.6469999999999993E-3</v>
      </c>
      <c r="H22" s="15">
        <v>94.483307999999994</v>
      </c>
      <c r="I22" s="15">
        <v>42.528283999999999</v>
      </c>
      <c r="J22" s="15">
        <v>1E-4</v>
      </c>
      <c r="K22" s="15">
        <v>2.4480664999999999</v>
      </c>
      <c r="L22" s="15">
        <v>6.5188930000000003</v>
      </c>
      <c r="M22" s="15">
        <v>0.48364586999999998</v>
      </c>
      <c r="N22" s="15">
        <v>3.8621000000000003E-2</v>
      </c>
      <c r="O22" s="15">
        <v>0.124935</v>
      </c>
      <c r="P22" s="15">
        <v>0.16355600000000001</v>
      </c>
      <c r="Q22" s="16" t="s">
        <v>38</v>
      </c>
      <c r="R22" s="15">
        <v>117.5227</v>
      </c>
    </row>
    <row r="23" spans="1:18">
      <c r="A23" s="4">
        <v>19</v>
      </c>
      <c r="B23" s="3" t="s">
        <v>20</v>
      </c>
      <c r="C23" s="4">
        <v>2001</v>
      </c>
      <c r="D23" s="5">
        <v>2.9750000000000002E-3</v>
      </c>
      <c r="E23" s="5">
        <v>0.27704099999999998</v>
      </c>
      <c r="F23" s="5">
        <v>3.0892428999999999</v>
      </c>
      <c r="G23" s="5">
        <v>9.6469999999999993E-3</v>
      </c>
      <c r="H23" s="5">
        <v>14.257414000000001</v>
      </c>
      <c r="I23" s="5">
        <v>42.528283999999999</v>
      </c>
      <c r="J23" s="5">
        <v>1E-4</v>
      </c>
      <c r="K23" s="5">
        <v>2.4423583</v>
      </c>
      <c r="L23" s="5">
        <v>4.5522441000000002</v>
      </c>
      <c r="M23" s="5">
        <v>0.41095549999999997</v>
      </c>
      <c r="N23" s="5">
        <v>3.9216000000000001E-2</v>
      </c>
      <c r="O23" s="5">
        <v>0.15609700000000001</v>
      </c>
      <c r="P23" s="5">
        <v>0.19531299999999999</v>
      </c>
      <c r="Q23" s="6" t="s">
        <v>39</v>
      </c>
      <c r="R23" s="5">
        <v>200.02080000000001</v>
      </c>
    </row>
    <row r="24" spans="1:18">
      <c r="A24" s="4">
        <v>20</v>
      </c>
      <c r="B24" s="3" t="s">
        <v>20</v>
      </c>
      <c r="C24" s="4">
        <v>2001</v>
      </c>
      <c r="D24" s="5">
        <v>1.781E-3</v>
      </c>
      <c r="E24" s="5">
        <v>0.27704099999999998</v>
      </c>
      <c r="F24" s="5">
        <v>5.2119046999999998</v>
      </c>
      <c r="G24" s="5">
        <v>9.6469999999999993E-3</v>
      </c>
      <c r="H24" s="5">
        <v>99.188879999999997</v>
      </c>
      <c r="I24" s="5">
        <v>42.528283999999999</v>
      </c>
      <c r="J24" s="5">
        <v>1E-4</v>
      </c>
      <c r="K24" s="5">
        <v>2.1179974000000001</v>
      </c>
      <c r="L24" s="5">
        <v>3.9453089000000001</v>
      </c>
      <c r="M24" s="5">
        <v>0.45102219999999998</v>
      </c>
      <c r="N24" s="5">
        <v>1.5081000000000001E-2</v>
      </c>
      <c r="O24" s="5">
        <v>0.101294</v>
      </c>
      <c r="P24" s="5">
        <v>0.11637500000000001</v>
      </c>
      <c r="Q24" s="6" t="s">
        <v>40</v>
      </c>
      <c r="R24" s="5">
        <v>168.44499999999999</v>
      </c>
    </row>
    <row r="25" spans="1:18">
      <c r="A25" s="4">
        <v>21</v>
      </c>
      <c r="B25" s="3" t="s">
        <v>20</v>
      </c>
      <c r="C25" s="4">
        <v>2001</v>
      </c>
      <c r="D25" s="5">
        <v>3.238E-3</v>
      </c>
      <c r="E25" s="5">
        <v>0.27704099999999998</v>
      </c>
      <c r="F25" s="5">
        <v>3.5304508000000001</v>
      </c>
      <c r="G25" s="5">
        <v>9.6469999999999993E-3</v>
      </c>
      <c r="H25" s="5">
        <v>34.722790000000003</v>
      </c>
      <c r="I25" s="5">
        <v>42.528283999999999</v>
      </c>
      <c r="J25" s="5">
        <v>1E-4</v>
      </c>
      <c r="K25" s="5">
        <v>1.9603929</v>
      </c>
      <c r="L25" s="5">
        <v>4.5572689000000004</v>
      </c>
      <c r="M25" s="5">
        <v>0.42148545999999998</v>
      </c>
      <c r="N25" s="5">
        <v>1.3837E-2</v>
      </c>
      <c r="O25" s="5">
        <v>0.11201800000000001</v>
      </c>
      <c r="P25" s="5">
        <v>0.12585499999999999</v>
      </c>
      <c r="Q25" s="6" t="s">
        <v>41</v>
      </c>
      <c r="R25" s="5">
        <v>171.75020000000001</v>
      </c>
    </row>
    <row r="27" spans="1:18">
      <c r="F27">
        <f>AVERAGE(TablaParametros[betaS0])</f>
        <v>5.264777604761905</v>
      </c>
      <c r="H27">
        <f>AVERAGE(TablaParametros[Ks0])</f>
        <v>76.301726157142866</v>
      </c>
      <c r="K27">
        <f>AVERAGE(TablaParametros[Yxn])</f>
        <v>2.7776821204761908</v>
      </c>
      <c r="L27">
        <f>AVERAGE(TablaParametros[Yxs])</f>
        <v>4.4589961952380959</v>
      </c>
      <c r="M27">
        <f>AVERAGE(TablaParametros[Yes])</f>
        <v>0.46784113047619047</v>
      </c>
    </row>
    <row r="28" spans="1:18">
      <c r="F28">
        <f>STDEVA(TablaParametros[betaS0])</f>
        <v>2.7912077168794975</v>
      </c>
      <c r="H28">
        <f>STDEVA(TablaParametros[Ks0])</f>
        <v>51.547888259544969</v>
      </c>
      <c r="K28">
        <f>STDEVA(TablaParametros[Yxn])</f>
        <v>1.5602797776160888</v>
      </c>
      <c r="L28">
        <f>STDEVA(TablaParametros[Yxs])</f>
        <v>1.6185321591525239</v>
      </c>
      <c r="M28">
        <f>STDEVA(TablaParametros[Yes])</f>
        <v>3.0692881029327879E-2</v>
      </c>
    </row>
  </sheetData>
  <mergeCells count="2">
    <mergeCell ref="A1:R1"/>
    <mergeCell ref="A2:R2"/>
  </mergeCells>
  <conditionalFormatting sqref="P5:P2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{4AADBB31-5059-5178-65D9-B73984AC5631}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BB31-5059-5178-65D9-B73984AC5631}">
            <x14:dataBar>
              <x14:cfvo type="min"/>
              <x14:cfvo type="max"/>
              <x14:negativeFillColor auto="1"/>
              <x14:axisColor auto="1"/>
            </x14:dataBar>
          </x14:cfRule>
          <xm:sqref>P5:P25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3" workbookViewId="0">
      <selection sqref="A1:F1"/>
    </sheetView>
  </sheetViews>
  <sheetFormatPr baseColWidth="10" defaultColWidth="8.796875" defaultRowHeight="13.8"/>
  <cols>
    <col min="1" max="1" width="26" customWidth="1"/>
    <col min="2" max="2" width="32" customWidth="1"/>
    <col min="4" max="4" width="22" customWidth="1"/>
    <col min="5" max="5" width="12" customWidth="1"/>
    <col min="6" max="6" width="16" customWidth="1"/>
    <col min="8" max="9" width="12" customWidth="1"/>
  </cols>
  <sheetData>
    <row r="1" spans="1:9" ht="20.85" customHeight="1">
      <c r="A1" s="12" t="s">
        <v>42</v>
      </c>
      <c r="B1" s="10"/>
      <c r="C1" s="10"/>
      <c r="D1" s="10"/>
      <c r="E1" s="10"/>
      <c r="F1" s="10"/>
    </row>
    <row r="3" spans="1:9">
      <c r="A3" s="7" t="s">
        <v>43</v>
      </c>
      <c r="B3" s="7" t="s">
        <v>44</v>
      </c>
      <c r="D3" s="2" t="s">
        <v>45</v>
      </c>
      <c r="E3" s="2" t="s">
        <v>2</v>
      </c>
      <c r="F3" s="2" t="s">
        <v>46</v>
      </c>
      <c r="H3" s="1" t="s">
        <v>2</v>
      </c>
      <c r="I3" s="1" t="s">
        <v>17</v>
      </c>
    </row>
    <row r="4" spans="1:9">
      <c r="A4" t="s">
        <v>47</v>
      </c>
      <c r="B4" t="s">
        <v>48</v>
      </c>
      <c r="D4" t="s">
        <v>49</v>
      </c>
      <c r="E4">
        <v>20</v>
      </c>
      <c r="F4" s="8">
        <v>0.11637500000000001</v>
      </c>
      <c r="H4">
        <v>1</v>
      </c>
      <c r="I4">
        <v>0.407468</v>
      </c>
    </row>
    <row r="5" spans="1:9">
      <c r="A5" t="s">
        <v>50</v>
      </c>
      <c r="B5" t="s">
        <v>51</v>
      </c>
      <c r="D5" t="s">
        <v>52</v>
      </c>
      <c r="E5">
        <v>7</v>
      </c>
      <c r="F5" s="8">
        <v>9.7226000000000007E-2</v>
      </c>
      <c r="H5">
        <v>2</v>
      </c>
      <c r="I5">
        <v>0.174927</v>
      </c>
    </row>
    <row r="6" spans="1:9">
      <c r="A6" t="s">
        <v>53</v>
      </c>
      <c r="B6" t="s">
        <v>54</v>
      </c>
      <c r="D6" t="s">
        <v>55</v>
      </c>
      <c r="E6">
        <v>21</v>
      </c>
      <c r="F6" s="8">
        <v>1.3837E-2</v>
      </c>
      <c r="H6">
        <v>3</v>
      </c>
      <c r="I6">
        <v>0.193359</v>
      </c>
    </row>
    <row r="7" spans="1:9">
      <c r="A7" t="s">
        <v>56</v>
      </c>
      <c r="B7">
        <v>21</v>
      </c>
      <c r="D7" t="s">
        <v>57</v>
      </c>
      <c r="E7">
        <v>12</v>
      </c>
      <c r="F7" s="8">
        <v>0.54409099999999999</v>
      </c>
      <c r="H7">
        <v>4</v>
      </c>
      <c r="I7">
        <v>0.21762000000000001</v>
      </c>
    </row>
    <row r="8" spans="1:9">
      <c r="A8" t="s">
        <v>58</v>
      </c>
      <c r="B8" t="s">
        <v>59</v>
      </c>
      <c r="D8" t="s">
        <v>60</v>
      </c>
      <c r="F8" s="8">
        <v>0.21723433333333333</v>
      </c>
      <c r="H8">
        <v>5</v>
      </c>
      <c r="I8">
        <v>0.14180100000000001</v>
      </c>
    </row>
    <row r="9" spans="1:9">
      <c r="D9" t="s">
        <v>61</v>
      </c>
      <c r="F9" s="8">
        <v>196.80285714285714</v>
      </c>
      <c r="H9">
        <v>6</v>
      </c>
      <c r="I9">
        <v>0.18824399999999999</v>
      </c>
    </row>
    <row r="10" spans="1:9">
      <c r="H10">
        <v>7</v>
      </c>
      <c r="I10">
        <v>0.13681699999999999</v>
      </c>
    </row>
    <row r="11" spans="1:9">
      <c r="H11">
        <v>8</v>
      </c>
      <c r="I11">
        <v>0.118607</v>
      </c>
    </row>
    <row r="12" spans="1:9">
      <c r="H12">
        <v>9</v>
      </c>
      <c r="I12">
        <v>0.14211099999999999</v>
      </c>
    </row>
    <row r="13" spans="1:9">
      <c r="H13">
        <v>10</v>
      </c>
      <c r="I13">
        <v>0.11731800000000001</v>
      </c>
    </row>
    <row r="14" spans="1:9">
      <c r="H14">
        <v>11</v>
      </c>
      <c r="I14">
        <v>0.19401399999999999</v>
      </c>
    </row>
    <row r="15" spans="1:9">
      <c r="H15">
        <v>12</v>
      </c>
      <c r="I15">
        <v>0.54409099999999999</v>
      </c>
    </row>
    <row r="16" spans="1:9">
      <c r="H16">
        <v>13</v>
      </c>
      <c r="I16">
        <v>0.37348199999999998</v>
      </c>
    </row>
    <row r="17" spans="8:9">
      <c r="H17">
        <v>14</v>
      </c>
      <c r="I17">
        <v>0.139568</v>
      </c>
    </row>
    <row r="18" spans="8:9">
      <c r="H18">
        <v>15</v>
      </c>
      <c r="I18">
        <v>0.13539499999999999</v>
      </c>
    </row>
    <row r="19" spans="8:9">
      <c r="H19">
        <v>16</v>
      </c>
      <c r="I19">
        <v>0.29677799999999999</v>
      </c>
    </row>
    <row r="20" spans="8:9">
      <c r="H20">
        <v>17</v>
      </c>
      <c r="I20">
        <v>0.439222</v>
      </c>
    </row>
    <row r="21" spans="8:9">
      <c r="H21">
        <v>18</v>
      </c>
      <c r="I21">
        <v>0.16355600000000001</v>
      </c>
    </row>
    <row r="22" spans="8:9">
      <c r="H22">
        <v>19</v>
      </c>
      <c r="I22">
        <v>0.19531299999999999</v>
      </c>
    </row>
    <row r="23" spans="8:9">
      <c r="H23">
        <v>20</v>
      </c>
      <c r="I23">
        <v>0.11637500000000001</v>
      </c>
    </row>
    <row r="24" spans="8:9">
      <c r="H24">
        <v>21</v>
      </c>
      <c r="I24">
        <v>0.12585499999999999</v>
      </c>
    </row>
  </sheetData>
  <mergeCells count="1">
    <mergeCell ref="A1:F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Parámetros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2026-05-06T12:14:31Z</dcterms:modified>
</cp:coreProperties>
</file>