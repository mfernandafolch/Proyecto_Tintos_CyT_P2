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-mfolch\Documents\Proyecto_Tintos_CyT\Optimizacion\"/>
    </mc:Choice>
  </mc:AlternateContent>
  <xr:revisionPtr revIDLastSave="0" documentId="13_ncr:1_{E23EEA2A-0C6E-49B5-AE74-E28F29AFD4E4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O3" i="1"/>
  <c r="P3" i="1" s="1"/>
  <c r="O2" i="1"/>
  <c r="P2" i="1" s="1"/>
  <c r="O5" i="1"/>
  <c r="P5" i="1" s="1"/>
</calcChain>
</file>

<file path=xl/sharedStrings.xml><?xml version="1.0" encoding="utf-8"?>
<sst xmlns="http://schemas.openxmlformats.org/spreadsheetml/2006/main" count="38" uniqueCount="35">
  <si>
    <t>Método PSO</t>
  </si>
  <si>
    <t>Variedad</t>
  </si>
  <si>
    <t>X0</t>
  </si>
  <si>
    <t>N0</t>
  </si>
  <si>
    <t>Cantidad de datos en el perfil de azúcares</t>
  </si>
  <si>
    <t>epoch</t>
  </si>
  <si>
    <t>pop_size</t>
  </si>
  <si>
    <t>c1</t>
  </si>
  <si>
    <t>c2</t>
  </si>
  <si>
    <t>w</t>
  </si>
  <si>
    <t>Criterio termination</t>
  </si>
  <si>
    <t>Tiempo (s)</t>
  </si>
  <si>
    <t>Tiempo (min)</t>
  </si>
  <si>
    <t>Iteración de término</t>
  </si>
  <si>
    <t>pymoo</t>
  </si>
  <si>
    <t>Carmenere</t>
  </si>
  <si>
    <t>S0</t>
  </si>
  <si>
    <t>mu0</t>
  </si>
  <si>
    <t>betaS0</t>
  </si>
  <si>
    <t>Kn0</t>
  </si>
  <si>
    <t>Ks0</t>
  </si>
  <si>
    <t>Kie0</t>
  </si>
  <si>
    <t>Kd0</t>
  </si>
  <si>
    <t>Yxn</t>
  </si>
  <si>
    <t>Yxs</t>
  </si>
  <si>
    <t>Yes</t>
  </si>
  <si>
    <t>Data CA 24 VAL estanque 62,xlsx</t>
  </si>
  <si>
    <t>Cabernet</t>
  </si>
  <si>
    <t>Data CS 25 EL BOLDO estanque 55,xlsx</t>
  </si>
  <si>
    <t>Syrah</t>
  </si>
  <si>
    <t>Set de datos</t>
  </si>
  <si>
    <t>Costo final opt</t>
  </si>
  <si>
    <t>Data SY 24 LOU estanque 62,xlsx</t>
  </si>
  <si>
    <t>Merlot</t>
  </si>
  <si>
    <t>Data ME 25 STA MARTA estanque 62,xlsx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</si>
</sst>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.0000"/>
    <numFmt numFmtId="171" formatCode="0.00000"/>
    <numFmt numFmtId="172" formatCode="0.0000"/>
    <numFmt numFmtId="173" formatCode="0.00000000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9" fontId="0" fillId="0" borderId="0" xfId="0" applyNumberFormat="1"/>
    <xf numFmtId="166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7"/>
  <sheetViews>
    <sheetView tabSelected="1" topLeftCell="H1" workbookViewId="0">
      <selection activeCell="S17" sqref="S17"/>
    </sheetView>
  </sheetViews>
  <sheetFormatPr baseColWidth="10" defaultColWidth="8.88671875" defaultRowHeight="14.4" x14ac:dyDescent="0.3"/>
  <cols>
    <col min="1" max="1" width="36" bestFit="1" customWidth="1"/>
    <col min="2" max="2" width="11.6640625" bestFit="1" customWidth="1"/>
    <col min="3" max="3" width="10.5546875" bestFit="1" customWidth="1"/>
    <col min="6" max="6" width="9.44140625" bestFit="1" customWidth="1"/>
    <col min="7" max="7" width="20.44140625" customWidth="1"/>
    <col min="13" max="13" width="18.33203125" bestFit="1" customWidth="1"/>
    <col min="14" max="14" width="14" bestFit="1" customWidth="1"/>
    <col min="15" max="15" width="10.109375" bestFit="1" customWidth="1"/>
    <col min="16" max="16" width="12.6640625" bestFit="1" customWidth="1"/>
    <col min="17" max="17" width="18.77734375" bestFit="1" customWidth="1"/>
    <col min="18" max="18" width="6.44140625" bestFit="1" customWidth="1"/>
    <col min="19" max="19" width="6.77734375" bestFit="1" customWidth="1"/>
    <col min="20" max="20" width="6.44140625" bestFit="1" customWidth="1"/>
    <col min="21" max="21" width="8.44140625" bestFit="1" customWidth="1"/>
    <col min="22" max="22" width="7.44140625" bestFit="1" customWidth="1"/>
    <col min="23" max="24" width="6.44140625" bestFit="1" customWidth="1"/>
    <col min="25" max="25" width="7.44140625" bestFit="1" customWidth="1"/>
    <col min="26" max="26" width="6.44140625" bestFit="1" customWidth="1"/>
  </cols>
  <sheetData>
    <row r="1" spans="1:26" s="6" customFormat="1" ht="28.2" customHeight="1" x14ac:dyDescent="0.3">
      <c r="A1" s="6" t="s">
        <v>30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16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31</v>
      </c>
      <c r="O1" s="6" t="s">
        <v>11</v>
      </c>
      <c r="P1" s="6" t="s">
        <v>12</v>
      </c>
      <c r="Q1" s="6" t="s">
        <v>13</v>
      </c>
      <c r="R1" s="7" t="s">
        <v>17</v>
      </c>
      <c r="S1" s="8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8" t="s">
        <v>23</v>
      </c>
      <c r="Y1" s="8" t="s">
        <v>24</v>
      </c>
      <c r="Z1" s="8" t="s">
        <v>25</v>
      </c>
    </row>
    <row r="2" spans="1:26" x14ac:dyDescent="0.3">
      <c r="A2" t="s">
        <v>28</v>
      </c>
      <c r="B2" t="s">
        <v>14</v>
      </c>
      <c r="C2" t="s">
        <v>27</v>
      </c>
      <c r="D2" s="3">
        <v>5.9499999999999997E-2</v>
      </c>
      <c r="E2">
        <v>0.23386000000000001</v>
      </c>
      <c r="F2" s="2">
        <v>237.19987</v>
      </c>
      <c r="G2">
        <v>47</v>
      </c>
      <c r="H2">
        <v>1000</v>
      </c>
      <c r="I2">
        <v>25</v>
      </c>
      <c r="J2">
        <v>1.5</v>
      </c>
      <c r="K2">
        <v>1.5</v>
      </c>
      <c r="L2">
        <v>0.5</v>
      </c>
      <c r="M2" s="1">
        <v>0.01</v>
      </c>
      <c r="N2" s="5">
        <v>7.78285242744767E-3</v>
      </c>
      <c r="O2">
        <f>60+22.29</f>
        <v>82.289999999999992</v>
      </c>
      <c r="P2">
        <f>O2/60</f>
        <v>1.3714999999999999</v>
      </c>
      <c r="Q2">
        <v>91</v>
      </c>
      <c r="R2" s="4">
        <v>0.27704099999999998</v>
      </c>
      <c r="S2">
        <v>0.47960143999999999</v>
      </c>
      <c r="T2" s="4">
        <v>9.6469999999999993E-3</v>
      </c>
      <c r="U2">
        <v>0.73474028000000002</v>
      </c>
      <c r="V2" s="4">
        <v>42.528283999999999</v>
      </c>
      <c r="W2" s="4">
        <v>1E-4</v>
      </c>
      <c r="X2" s="2">
        <v>0.99774675999999995</v>
      </c>
      <c r="Y2" s="2">
        <v>4.5349025000000003</v>
      </c>
      <c r="Z2" s="4">
        <v>0.36079475</v>
      </c>
    </row>
    <row r="3" spans="1:26" x14ac:dyDescent="0.3">
      <c r="A3" t="s">
        <v>32</v>
      </c>
      <c r="B3" t="s">
        <v>14</v>
      </c>
      <c r="C3" t="s">
        <v>29</v>
      </c>
      <c r="D3" s="3">
        <v>5.9499999999999997E-2</v>
      </c>
      <c r="E3">
        <v>0.28656999999999999</v>
      </c>
      <c r="F3" s="2">
        <v>243.2</v>
      </c>
      <c r="G3">
        <v>40</v>
      </c>
      <c r="H3">
        <v>1000</v>
      </c>
      <c r="I3">
        <v>25</v>
      </c>
      <c r="J3">
        <v>1.5</v>
      </c>
      <c r="K3">
        <v>1.5</v>
      </c>
      <c r="L3">
        <v>0.5</v>
      </c>
      <c r="M3" s="1">
        <v>0.01</v>
      </c>
      <c r="N3" s="5">
        <v>9.9380000000000007E-3</v>
      </c>
      <c r="O3">
        <f>2*60+43.38</f>
        <v>163.38</v>
      </c>
      <c r="P3" s="4">
        <f>O3/60</f>
        <v>2.7229999999999999</v>
      </c>
      <c r="Q3">
        <v>230</v>
      </c>
      <c r="R3" s="4">
        <v>0.27704099999999998</v>
      </c>
      <c r="S3" s="2">
        <v>3.4922268999999999</v>
      </c>
      <c r="T3" s="4">
        <v>9.6469999999999993E-3</v>
      </c>
      <c r="U3" s="2">
        <v>19.747012000000002</v>
      </c>
      <c r="V3" s="4">
        <v>42.528283999999999</v>
      </c>
      <c r="W3" s="4">
        <v>1E-4</v>
      </c>
      <c r="X3" s="2">
        <v>1.8563376</v>
      </c>
      <c r="Y3" s="2">
        <v>6.9680900000000001</v>
      </c>
      <c r="Z3" s="4">
        <v>0.48373364000000002</v>
      </c>
    </row>
    <row r="4" spans="1:26" x14ac:dyDescent="0.3">
      <c r="A4" t="s">
        <v>34</v>
      </c>
      <c r="B4" t="s">
        <v>14</v>
      </c>
      <c r="C4" t="s">
        <v>33</v>
      </c>
      <c r="D4" s="3">
        <v>0.2</v>
      </c>
      <c r="E4">
        <v>0.15121000000000001</v>
      </c>
      <c r="F4" s="4">
        <v>242.21851000000001</v>
      </c>
      <c r="G4">
        <v>35</v>
      </c>
      <c r="H4">
        <v>1000</v>
      </c>
      <c r="I4">
        <v>25</v>
      </c>
      <c r="J4">
        <v>1.5</v>
      </c>
      <c r="K4">
        <v>1.5</v>
      </c>
      <c r="L4">
        <v>0.5</v>
      </c>
      <c r="M4" s="1">
        <v>0.01</v>
      </c>
      <c r="N4">
        <v>6.587E-3</v>
      </c>
      <c r="O4">
        <v>12.4</v>
      </c>
      <c r="P4" s="4">
        <f>O4/60</f>
        <v>0.20666666666666667</v>
      </c>
      <c r="Q4">
        <v>38</v>
      </c>
      <c r="R4" s="4">
        <v>0.27704099999999998</v>
      </c>
      <c r="S4" s="2">
        <v>5.6552872000000001</v>
      </c>
      <c r="T4" s="4">
        <v>9.6469999999999993E-3</v>
      </c>
      <c r="U4" s="2">
        <v>113.39127999999999</v>
      </c>
      <c r="V4" s="4">
        <v>42.528283999999999</v>
      </c>
      <c r="W4" s="4">
        <v>1E-4</v>
      </c>
      <c r="X4" s="2">
        <v>1.9615946</v>
      </c>
      <c r="Y4" s="4">
        <v>0.10000001</v>
      </c>
      <c r="Z4" s="4">
        <v>0.40014692000000002</v>
      </c>
    </row>
    <row r="5" spans="1:26" x14ac:dyDescent="0.3">
      <c r="A5" t="s">
        <v>26</v>
      </c>
      <c r="B5" t="s">
        <v>14</v>
      </c>
      <c r="C5" t="s">
        <v>15</v>
      </c>
      <c r="D5">
        <v>7.3029999999999998E-2</v>
      </c>
      <c r="E5">
        <v>0.13259000000000001</v>
      </c>
      <c r="F5" s="2">
        <v>243.70893000000001</v>
      </c>
      <c r="G5">
        <v>64</v>
      </c>
      <c r="H5">
        <v>1000</v>
      </c>
      <c r="I5">
        <v>25</v>
      </c>
      <c r="J5">
        <v>1.5</v>
      </c>
      <c r="K5">
        <v>1.5</v>
      </c>
      <c r="L5">
        <v>0.5</v>
      </c>
      <c r="M5" s="1">
        <v>0.01</v>
      </c>
      <c r="N5" s="5">
        <v>8.2959999999999996E-3</v>
      </c>
      <c r="O5">
        <f>60+13.63</f>
        <v>73.63</v>
      </c>
      <c r="P5" s="4">
        <f>O5/60</f>
        <v>1.2271666666666665</v>
      </c>
      <c r="Q5">
        <v>53</v>
      </c>
      <c r="R5" s="4">
        <v>0.27704099999999998</v>
      </c>
      <c r="S5" s="4">
        <v>1.0548985</v>
      </c>
      <c r="T5" s="4">
        <v>9.6469999999999993E-3</v>
      </c>
      <c r="U5" s="4">
        <v>44.745243000000002</v>
      </c>
      <c r="V5" s="4">
        <v>42.528283999999999</v>
      </c>
      <c r="W5" s="4">
        <v>1E-4</v>
      </c>
      <c r="X5" s="4">
        <v>7.0860035000000003</v>
      </c>
      <c r="Y5" s="4">
        <v>4.7441281999999996</v>
      </c>
      <c r="Z5" s="4">
        <v>0.39298917999999999</v>
      </c>
    </row>
    <row r="17" spans="19:19" x14ac:dyDescent="0.3">
      <c r="S17" s="9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FERNANDA FOLCH</dc:creator>
  <cp:lastModifiedBy>María Fernanda Folch Díaz</cp:lastModifiedBy>
  <dcterms:created xsi:type="dcterms:W3CDTF">2015-06-05T18:19:34Z</dcterms:created>
  <dcterms:modified xsi:type="dcterms:W3CDTF">2026-05-05T20:22:01Z</dcterms:modified>
</cp:coreProperties>
</file>