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uccl0-my.sharepoint.com/personal/mfernandafolch_uc_cl/Documents/Escritorio/Concha y Toro/Proyecto_Tintos_CyT_P2/Optimizacion/"/>
    </mc:Choice>
  </mc:AlternateContent>
  <xr:revisionPtr revIDLastSave="2080" documentId="11_AD4D2F04E46CFB4ACB3E20395551EF76693EDF1D" xr6:coauthVersionLast="47" xr6:coauthVersionMax="47" xr10:uidLastSave="{C5C88990-6139-4981-B232-B2EFB61D2B00}"/>
  <bookViews>
    <workbookView xWindow="-110" yWindow="-110" windowWidth="19420" windowHeight="10300" activeTab="2" xr2:uid="{00000000-000D-0000-FFFF-FFFF0000000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3" l="1"/>
  <c r="J14" i="3" s="1"/>
  <c r="I9" i="3"/>
  <c r="J12" i="3"/>
  <c r="J13" i="3"/>
  <c r="I8" i="3"/>
  <c r="J8" i="3" s="1"/>
  <c r="I7" i="3"/>
  <c r="J7" i="3" s="1"/>
  <c r="I10" i="3"/>
  <c r="J10" i="3" s="1"/>
  <c r="I6" i="3"/>
  <c r="J6" i="3" s="1"/>
  <c r="I5" i="3"/>
  <c r="J5" i="3" s="1"/>
  <c r="I4" i="3"/>
  <c r="J4" i="3" s="1"/>
  <c r="I3" i="3"/>
  <c r="J3" i="3" s="1"/>
  <c r="J9" i="3"/>
  <c r="J11" i="3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sharedStrings.xml><?xml version="1.0" encoding="utf-8"?>
<sst xmlns="http://schemas.openxmlformats.org/spreadsheetml/2006/main" count="313" uniqueCount="71">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</sst>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70" formatCode="0.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0" fontId="1" fillId="4" borderId="1" xfId="0" applyFont="1" applyFill="1" applyBorder="1" applyAlignment="1">
      <alignment horizontal="center"/>
    </xf>
    <xf numFmtId="168" fontId="0" fillId="2" borderId="1" xfId="0" applyNumberFormat="1" applyFill="1" applyBorder="1"/>
    <xf numFmtId="2" fontId="0" fillId="0" borderId="1" xfId="0" applyNumberFormat="1" applyBorder="1"/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1" fillId="5" borderId="1" xfId="0" applyFont="1" applyFill="1" applyBorder="1" applyAlignment="1">
      <alignment horizontal="center"/>
    </xf>
    <xf numFmtId="170" fontId="2" fillId="0" borderId="1" xfId="0" applyNumberFormat="1" applyFont="1" applyBorder="1"/>
    <xf numFmtId="0" fontId="4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70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168" fontId="0" fillId="0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265625" defaultRowHeight="14.5" x14ac:dyDescent="0.35"/>
  <cols>
    <col min="1" max="1" width="11.54296875" bestFit="1" customWidth="1"/>
    <col min="2" max="2" width="26.453125" customWidth="1"/>
    <col min="3" max="3" width="9.36328125" customWidth="1"/>
    <col min="5" max="5" width="19.81640625" bestFit="1" customWidth="1"/>
    <col min="6" max="6" width="13" bestFit="1" customWidth="1"/>
    <col min="7" max="7" width="13.7265625" bestFit="1" customWidth="1"/>
    <col min="8" max="8" width="13.90625" bestFit="1" customWidth="1"/>
    <col min="9" max="9" width="13.08984375" customWidth="1"/>
    <col min="10" max="10" width="9.90625" bestFit="1" customWidth="1"/>
    <col min="12" max="12" width="52.7265625" customWidth="1"/>
  </cols>
  <sheetData>
    <row r="1" spans="1:12" ht="15" thickBot="1" x14ac:dyDescent="0.4">
      <c r="A1" t="s">
        <v>0</v>
      </c>
      <c r="B1" t="s">
        <v>11</v>
      </c>
    </row>
    <row r="2" spans="1:12" x14ac:dyDescent="0.35">
      <c r="B2" s="72" t="s">
        <v>1</v>
      </c>
      <c r="C2" s="71" t="s">
        <v>2</v>
      </c>
      <c r="D2" s="71"/>
      <c r="E2" s="71"/>
      <c r="F2" s="71"/>
      <c r="G2" s="74" t="s">
        <v>12</v>
      </c>
      <c r="H2" s="74" t="s">
        <v>9</v>
      </c>
      <c r="I2" s="74" t="s">
        <v>10</v>
      </c>
      <c r="J2" s="69" t="s">
        <v>6</v>
      </c>
      <c r="L2" t="s">
        <v>14</v>
      </c>
    </row>
    <row r="3" spans="1:12" ht="15" thickBot="1" x14ac:dyDescent="0.4">
      <c r="B3" s="73"/>
      <c r="C3" s="16" t="s">
        <v>3</v>
      </c>
      <c r="D3" s="16" t="s">
        <v>4</v>
      </c>
      <c r="E3" s="7" t="s">
        <v>30</v>
      </c>
      <c r="F3" s="7" t="s">
        <v>29</v>
      </c>
      <c r="G3" s="75"/>
      <c r="H3" s="75"/>
      <c r="I3" s="75"/>
      <c r="J3" s="76"/>
      <c r="L3" t="s">
        <v>15</v>
      </c>
    </row>
    <row r="4" spans="1:12" x14ac:dyDescent="0.35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5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5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5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5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5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5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5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5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5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5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5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5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5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5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5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5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4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5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5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5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5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5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5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5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4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5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5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5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5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5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5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5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5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5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5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5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5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5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4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4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4">
      <c r="A48" t="s">
        <v>0</v>
      </c>
      <c r="B48" t="s">
        <v>21</v>
      </c>
    </row>
    <row r="49" spans="2:20" ht="29" x14ac:dyDescent="0.35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4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5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5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5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5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5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5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5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5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5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4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" customHeight="1" x14ac:dyDescent="0.35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5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5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4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5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5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4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4">
      <c r="A70" t="s">
        <v>0</v>
      </c>
      <c r="B70" t="s">
        <v>18</v>
      </c>
    </row>
    <row r="71" spans="1:12" x14ac:dyDescent="0.35">
      <c r="B71" s="72" t="s">
        <v>1</v>
      </c>
      <c r="C71" s="71" t="s">
        <v>2</v>
      </c>
      <c r="D71" s="71"/>
      <c r="E71" s="71"/>
      <c r="F71" s="71"/>
      <c r="G71" s="74" t="s">
        <v>12</v>
      </c>
      <c r="H71" s="74" t="s">
        <v>9</v>
      </c>
      <c r="I71" s="74" t="s">
        <v>10</v>
      </c>
      <c r="J71" s="69" t="s">
        <v>6</v>
      </c>
    </row>
    <row r="72" spans="1:12" ht="15" thickBot="1" x14ac:dyDescent="0.4">
      <c r="B72" s="77"/>
      <c r="C72" s="7" t="s">
        <v>3</v>
      </c>
      <c r="D72" s="7" t="s">
        <v>4</v>
      </c>
      <c r="E72" s="7" t="s">
        <v>30</v>
      </c>
      <c r="F72" s="7" t="s">
        <v>29</v>
      </c>
      <c r="G72" s="60"/>
      <c r="H72" s="60"/>
      <c r="I72" s="60"/>
      <c r="J72" s="70"/>
    </row>
    <row r="73" spans="1:12" x14ac:dyDescent="0.35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5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5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5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5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5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4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5">
      <c r="B82" t="s">
        <v>20</v>
      </c>
      <c r="K82" s="1"/>
    </row>
    <row r="83" spans="2:11" x14ac:dyDescent="0.35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L1" zoomScale="77" workbookViewId="0">
      <selection activeCell="Q20" sqref="Q20"/>
    </sheetView>
  </sheetViews>
  <sheetFormatPr baseColWidth="10" defaultRowHeight="14.5" x14ac:dyDescent="0.35"/>
  <cols>
    <col min="1" max="1" width="11.54296875" bestFit="1" customWidth="1"/>
    <col min="2" max="2" width="24.7265625" customWidth="1"/>
    <col min="5" max="5" width="19.1796875" bestFit="1" customWidth="1"/>
    <col min="6" max="6" width="16.36328125" customWidth="1"/>
    <col min="7" max="7" width="16.90625" bestFit="1" customWidth="1"/>
    <col min="8" max="8" width="13.6328125" bestFit="1" customWidth="1"/>
    <col min="9" max="9" width="12" bestFit="1" customWidth="1"/>
    <col min="11" max="11" width="14" customWidth="1"/>
    <col min="14" max="14" width="38.08984375" bestFit="1" customWidth="1"/>
    <col min="15" max="15" width="24.08984375" bestFit="1" customWidth="1"/>
    <col min="18" max="18" width="19.7265625" bestFit="1" customWidth="1"/>
    <col min="19" max="19" width="15.54296875" bestFit="1" customWidth="1"/>
    <col min="20" max="20" width="14.08984375" bestFit="1" customWidth="1"/>
    <col min="22" max="22" width="12.6328125" bestFit="1" customWidth="1"/>
  </cols>
  <sheetData>
    <row r="1" spans="1:23" x14ac:dyDescent="0.35">
      <c r="A1" t="s">
        <v>0</v>
      </c>
      <c r="B1" t="s">
        <v>11</v>
      </c>
      <c r="N1" t="s">
        <v>41</v>
      </c>
    </row>
    <row r="2" spans="1:23" x14ac:dyDescent="0.35">
      <c r="B2" s="65" t="s">
        <v>1</v>
      </c>
      <c r="C2" s="68" t="s">
        <v>2</v>
      </c>
      <c r="D2" s="68"/>
      <c r="E2" s="68"/>
      <c r="F2" s="68"/>
      <c r="G2" s="65" t="s">
        <v>9</v>
      </c>
      <c r="H2" s="65" t="s">
        <v>6</v>
      </c>
      <c r="I2" s="65" t="s">
        <v>34</v>
      </c>
      <c r="N2" s="65" t="s">
        <v>40</v>
      </c>
      <c r="O2" s="66" t="s">
        <v>1</v>
      </c>
      <c r="P2" s="62" t="s">
        <v>2</v>
      </c>
      <c r="Q2" s="63"/>
      <c r="R2" s="63"/>
      <c r="S2" s="64"/>
      <c r="T2" s="60" t="s">
        <v>9</v>
      </c>
      <c r="U2" s="60" t="s">
        <v>6</v>
      </c>
      <c r="V2" s="60" t="s">
        <v>34</v>
      </c>
    </row>
    <row r="3" spans="1:23" x14ac:dyDescent="0.35">
      <c r="B3" s="65"/>
      <c r="C3" s="50" t="s">
        <v>3</v>
      </c>
      <c r="D3" s="50" t="s">
        <v>4</v>
      </c>
      <c r="E3" s="50" t="s">
        <v>30</v>
      </c>
      <c r="F3" s="50" t="s">
        <v>29</v>
      </c>
      <c r="G3" s="65"/>
      <c r="H3" s="65"/>
      <c r="I3" s="65"/>
      <c r="N3" s="65"/>
      <c r="O3" s="66"/>
      <c r="P3" s="50" t="s">
        <v>3</v>
      </c>
      <c r="Q3" s="50" t="s">
        <v>4</v>
      </c>
      <c r="R3" s="50" t="s">
        <v>30</v>
      </c>
      <c r="S3" s="50" t="s">
        <v>29</v>
      </c>
      <c r="T3" s="61"/>
      <c r="U3" s="61"/>
      <c r="V3" s="61"/>
    </row>
    <row r="4" spans="1:23" x14ac:dyDescent="0.35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5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5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5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9">
        <f t="shared" si="2"/>
        <v>16.389666666666667</v>
      </c>
    </row>
    <row r="8" spans="1:23" x14ac:dyDescent="0.35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5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5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5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5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5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5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5">
      <c r="G16">
        <f>MIN(G4:G14)</f>
        <v>3.5386864122503397E-4</v>
      </c>
    </row>
    <row r="20" spans="1:11" x14ac:dyDescent="0.35">
      <c r="A20" t="s">
        <v>0</v>
      </c>
      <c r="B20" t="s">
        <v>21</v>
      </c>
    </row>
    <row r="21" spans="1:11" x14ac:dyDescent="0.35">
      <c r="B21" s="65" t="s">
        <v>1</v>
      </c>
      <c r="C21" s="68" t="s">
        <v>2</v>
      </c>
      <c r="D21" s="68"/>
      <c r="E21" s="68"/>
      <c r="F21" s="68"/>
      <c r="G21" s="65" t="s">
        <v>9</v>
      </c>
      <c r="H21" s="65" t="s">
        <v>6</v>
      </c>
      <c r="I21" s="65" t="s">
        <v>34</v>
      </c>
    </row>
    <row r="22" spans="1:11" x14ac:dyDescent="0.35">
      <c r="B22" s="65"/>
      <c r="C22" s="50" t="s">
        <v>3</v>
      </c>
      <c r="D22" s="50" t="s">
        <v>4</v>
      </c>
      <c r="E22" s="50" t="s">
        <v>30</v>
      </c>
      <c r="F22" s="50" t="s">
        <v>29</v>
      </c>
      <c r="G22" s="65"/>
      <c r="H22" s="65"/>
      <c r="I22" s="65"/>
    </row>
    <row r="23" spans="1:11" x14ac:dyDescent="0.35">
      <c r="B23" s="2" t="s">
        <v>16</v>
      </c>
      <c r="C23" s="2"/>
      <c r="D23" s="2"/>
      <c r="E23" s="2">
        <v>25</v>
      </c>
      <c r="F23" s="2">
        <v>150</v>
      </c>
      <c r="G23" s="58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5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5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5">
      <c r="B26" s="2"/>
      <c r="C26" s="2"/>
      <c r="D26" s="2"/>
      <c r="E26" s="2"/>
      <c r="F26" s="2"/>
      <c r="G26" s="2"/>
      <c r="H26" s="2"/>
      <c r="I26" s="2"/>
    </row>
    <row r="27" spans="1:11" x14ac:dyDescent="0.35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5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5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5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5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5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5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5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5">
      <c r="G35">
        <f>MIN(G23:G34)</f>
        <v>1.34035214624097E-3</v>
      </c>
    </row>
    <row r="39" spans="1:11" x14ac:dyDescent="0.35">
      <c r="A39" t="s">
        <v>0</v>
      </c>
      <c r="B39" t="s">
        <v>18</v>
      </c>
    </row>
    <row r="40" spans="1:11" x14ac:dyDescent="0.35">
      <c r="B40" s="65" t="s">
        <v>1</v>
      </c>
      <c r="C40" s="68" t="s">
        <v>2</v>
      </c>
      <c r="D40" s="68"/>
      <c r="E40" s="68"/>
      <c r="F40" s="68"/>
      <c r="G40" s="65" t="s">
        <v>9</v>
      </c>
      <c r="H40" s="65" t="s">
        <v>6</v>
      </c>
      <c r="I40" s="65" t="s">
        <v>34</v>
      </c>
      <c r="J40" s="67"/>
    </row>
    <row r="41" spans="1:11" x14ac:dyDescent="0.35">
      <c r="B41" s="65"/>
      <c r="C41" s="50" t="s">
        <v>3</v>
      </c>
      <c r="D41" s="50" t="s">
        <v>4</v>
      </c>
      <c r="E41" s="50" t="s">
        <v>30</v>
      </c>
      <c r="F41" s="50" t="s">
        <v>29</v>
      </c>
      <c r="G41" s="65"/>
      <c r="H41" s="65"/>
      <c r="I41" s="65"/>
      <c r="J41" s="67"/>
    </row>
    <row r="42" spans="1:11" x14ac:dyDescent="0.35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5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5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5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dimension ref="A1:Z21"/>
  <sheetViews>
    <sheetView tabSelected="1" zoomScale="97" zoomScaleNormal="97" workbookViewId="0">
      <selection activeCell="H18" sqref="H18"/>
    </sheetView>
  </sheetViews>
  <sheetFormatPr baseColWidth="10" defaultRowHeight="14.5" x14ac:dyDescent="0.35"/>
  <cols>
    <col min="1" max="1" width="37.26953125" customWidth="1"/>
    <col min="2" max="2" width="13.54296875" bestFit="1" customWidth="1"/>
    <col min="3" max="3" width="9.7265625" customWidth="1"/>
    <col min="4" max="4" width="9.1796875" customWidth="1"/>
    <col min="5" max="5" width="8.36328125" customWidth="1"/>
    <col min="6" max="7" width="6.90625" customWidth="1"/>
    <col min="8" max="8" width="15.08984375" customWidth="1"/>
    <col min="9" max="9" width="9.6328125" bestFit="1" customWidth="1"/>
    <col min="10" max="10" width="12.7265625" customWidth="1"/>
    <col min="11" max="11" width="12" bestFit="1" customWidth="1"/>
    <col min="12" max="12" width="11.26953125" bestFit="1" customWidth="1"/>
    <col min="13" max="13" width="12.26953125" bestFit="1" customWidth="1"/>
    <col min="14" max="14" width="12.36328125" bestFit="1" customWidth="1"/>
    <col min="15" max="17" width="11.26953125" bestFit="1" customWidth="1"/>
    <col min="18" max="19" width="12.26953125" bestFit="1" customWidth="1"/>
    <col min="20" max="25" width="11.26953125" bestFit="1" customWidth="1"/>
    <col min="26" max="27" width="16.54296875" bestFit="1" customWidth="1"/>
  </cols>
  <sheetData>
    <row r="1" spans="1:26" ht="14" customHeight="1" x14ac:dyDescent="0.35">
      <c r="A1" s="60" t="s">
        <v>40</v>
      </c>
      <c r="B1" s="60" t="s">
        <v>45</v>
      </c>
      <c r="C1" s="62" t="s">
        <v>2</v>
      </c>
      <c r="D1" s="63"/>
      <c r="E1" s="63"/>
      <c r="F1" s="63"/>
      <c r="G1" s="64"/>
      <c r="H1" s="60" t="s">
        <v>9</v>
      </c>
      <c r="I1" s="60" t="s">
        <v>6</v>
      </c>
      <c r="J1" s="60" t="s">
        <v>34</v>
      </c>
      <c r="K1" s="62" t="s">
        <v>51</v>
      </c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4"/>
      <c r="Z1" s="55" t="s">
        <v>67</v>
      </c>
    </row>
    <row r="2" spans="1:26" ht="14.5" customHeight="1" x14ac:dyDescent="0.35">
      <c r="A2" s="61"/>
      <c r="B2" s="61"/>
      <c r="C2" s="57" t="s">
        <v>47</v>
      </c>
      <c r="D2" s="57" t="s">
        <v>46</v>
      </c>
      <c r="E2" s="57" t="s">
        <v>48</v>
      </c>
      <c r="F2" s="57" t="s">
        <v>49</v>
      </c>
      <c r="G2" s="57" t="s">
        <v>50</v>
      </c>
      <c r="H2" s="61"/>
      <c r="I2" s="61"/>
      <c r="J2" s="61"/>
      <c r="K2" s="82" t="s">
        <v>52</v>
      </c>
      <c r="L2" s="82" t="s">
        <v>53</v>
      </c>
      <c r="M2" s="82" t="s">
        <v>54</v>
      </c>
      <c r="N2" s="79" t="s">
        <v>55</v>
      </c>
      <c r="O2" s="79" t="s">
        <v>56</v>
      </c>
      <c r="P2" s="79" t="s">
        <v>57</v>
      </c>
      <c r="Q2" s="79" t="s">
        <v>58</v>
      </c>
      <c r="R2" s="79" t="s">
        <v>59</v>
      </c>
      <c r="S2" s="79" t="s">
        <v>60</v>
      </c>
      <c r="T2" s="82" t="s">
        <v>61</v>
      </c>
      <c r="U2" s="82" t="s">
        <v>65</v>
      </c>
      <c r="V2" s="81" t="s">
        <v>62</v>
      </c>
      <c r="W2" s="82" t="s">
        <v>63</v>
      </c>
      <c r="X2" s="82" t="s">
        <v>64</v>
      </c>
    </row>
    <row r="3" spans="1:26" x14ac:dyDescent="0.35">
      <c r="A3" s="2" t="s">
        <v>11</v>
      </c>
      <c r="B3" s="2" t="s">
        <v>66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H3" s="78">
        <v>2.9472175802249201E-4</v>
      </c>
      <c r="I3" s="2">
        <f>60+13.49</f>
        <v>73.489999999999995</v>
      </c>
      <c r="J3" s="51">
        <f>I3/60</f>
        <v>1.2248333333333332</v>
      </c>
      <c r="K3" s="83">
        <v>2.1924339239705899E-2</v>
      </c>
      <c r="L3" s="83">
        <v>5.3243124688619803</v>
      </c>
      <c r="M3" s="83">
        <v>10</v>
      </c>
      <c r="N3" s="80">
        <v>9.6469999999999993E-3</v>
      </c>
      <c r="O3" s="80">
        <v>8.5518540000000005</v>
      </c>
      <c r="P3" s="80">
        <v>7.1656500000000003</v>
      </c>
      <c r="Q3" s="80">
        <v>44.150669999999998</v>
      </c>
      <c r="R3" s="80">
        <v>42.528283999999999</v>
      </c>
      <c r="S3" s="80">
        <v>1E-4</v>
      </c>
      <c r="T3" s="83">
        <v>2.1598443591871601</v>
      </c>
      <c r="U3" s="83">
        <v>9.4242283395423598</v>
      </c>
      <c r="V3" s="80">
        <v>1.6426339999999999</v>
      </c>
      <c r="W3" s="83">
        <v>0.1</v>
      </c>
      <c r="X3" s="83">
        <v>0.66937281186906705</v>
      </c>
    </row>
    <row r="4" spans="1:26" x14ac:dyDescent="0.35">
      <c r="A4" s="2" t="s">
        <v>11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78">
        <v>1.40375181209925E-2</v>
      </c>
      <c r="I4" s="2">
        <f>60+6.44</f>
        <v>66.44</v>
      </c>
      <c r="J4" s="51">
        <f t="shared" ref="J4:J14" si="0">I4/60</f>
        <v>1.1073333333333333</v>
      </c>
      <c r="K4" s="84">
        <v>2.13935160996067</v>
      </c>
      <c r="L4" s="84">
        <v>3.7720314524367198</v>
      </c>
      <c r="M4" s="84">
        <v>7.0774441190072404</v>
      </c>
      <c r="N4" s="80">
        <v>9.6469999999999993E-3</v>
      </c>
      <c r="O4" s="80">
        <v>8.5518540000000005</v>
      </c>
      <c r="P4" s="80">
        <v>7.1656500000000003</v>
      </c>
      <c r="Q4" s="80">
        <v>44.150669999999998</v>
      </c>
      <c r="R4" s="80">
        <v>42.528283999999999</v>
      </c>
      <c r="S4" s="80">
        <v>1E-4</v>
      </c>
      <c r="T4" s="84">
        <v>1.8888019984842901</v>
      </c>
      <c r="U4" s="84">
        <v>6.3974765814129801</v>
      </c>
      <c r="V4" s="80">
        <v>1.6426339999999999</v>
      </c>
      <c r="W4" s="83">
        <v>0.83091291134603795</v>
      </c>
      <c r="X4" s="83">
        <v>0.11175654744772601</v>
      </c>
    </row>
    <row r="5" spans="1:26" x14ac:dyDescent="0.35">
      <c r="A5" s="2" t="s">
        <v>11</v>
      </c>
      <c r="B5" s="2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78">
        <v>1.32701286472156E-3</v>
      </c>
      <c r="I5" s="2">
        <f>5*60+48.41</f>
        <v>348.40999999999997</v>
      </c>
      <c r="J5" s="51">
        <f t="shared" si="0"/>
        <v>5.8068333333333326</v>
      </c>
      <c r="K5" s="84">
        <v>3.0051333747301801</v>
      </c>
      <c r="L5" s="84">
        <v>5.0528684093825298</v>
      </c>
      <c r="M5" s="84">
        <v>4.8710938159898802</v>
      </c>
      <c r="N5" s="80">
        <v>9.6469999999999993E-3</v>
      </c>
      <c r="O5" s="80">
        <v>8.5518540000000005</v>
      </c>
      <c r="P5" s="80">
        <v>7.1656500000000003</v>
      </c>
      <c r="Q5" s="80">
        <v>44.150669999999998</v>
      </c>
      <c r="R5" s="80">
        <v>42.528283999999999</v>
      </c>
      <c r="S5" s="80">
        <v>1E-4</v>
      </c>
      <c r="T5" s="84">
        <v>1.06812478247408</v>
      </c>
      <c r="U5" s="84">
        <v>3.3029168292772599</v>
      </c>
      <c r="V5" s="80">
        <v>1.6426339999999999</v>
      </c>
      <c r="W5" s="83">
        <v>0.29242188148853998</v>
      </c>
      <c r="X5" s="83">
        <v>0.47648836606682399</v>
      </c>
    </row>
    <row r="6" spans="1:26" x14ac:dyDescent="0.35">
      <c r="A6" s="2" t="s">
        <v>11</v>
      </c>
      <c r="B6" s="2" t="s">
        <v>70</v>
      </c>
      <c r="C6" s="2">
        <v>150</v>
      </c>
      <c r="D6" s="2">
        <v>20</v>
      </c>
      <c r="E6" s="2">
        <v>1.5</v>
      </c>
      <c r="F6" s="2">
        <v>1.5</v>
      </c>
      <c r="G6" s="2">
        <v>0.7</v>
      </c>
      <c r="H6" s="78">
        <v>7.04873626723777E-4</v>
      </c>
      <c r="I6" s="2">
        <f>60+14.51</f>
        <v>74.510000000000005</v>
      </c>
      <c r="J6" s="51">
        <f t="shared" si="0"/>
        <v>1.2418333333333333</v>
      </c>
      <c r="K6" s="83">
        <v>0.232102232392803</v>
      </c>
      <c r="L6" s="84">
        <v>4.1297069928879102</v>
      </c>
      <c r="M6" s="84">
        <v>6.0078738386920403</v>
      </c>
      <c r="N6" s="80">
        <v>9.6469999999999993E-3</v>
      </c>
      <c r="O6" s="80">
        <v>8.5518540000000005</v>
      </c>
      <c r="P6" s="80">
        <v>7.1656500000000003</v>
      </c>
      <c r="Q6" s="80">
        <v>44.150669999999998</v>
      </c>
      <c r="R6" s="80">
        <v>42.528283999999999</v>
      </c>
      <c r="S6" s="80">
        <v>1E-4</v>
      </c>
      <c r="T6" s="84">
        <v>1.1019035329447</v>
      </c>
      <c r="U6" s="84">
        <v>2.97276558235572</v>
      </c>
      <c r="V6" s="80">
        <v>1.6426339999999999</v>
      </c>
      <c r="W6" s="83">
        <v>0.20748440650441199</v>
      </c>
      <c r="X6" s="83">
        <v>0.59401552721599604</v>
      </c>
    </row>
    <row r="7" spans="1:26" x14ac:dyDescent="0.35">
      <c r="A7" s="2" t="s">
        <v>11</v>
      </c>
      <c r="B7" s="2" t="s">
        <v>66</v>
      </c>
      <c r="C7" s="2">
        <v>200</v>
      </c>
      <c r="D7" s="2">
        <v>20</v>
      </c>
      <c r="E7" s="2">
        <v>1.5</v>
      </c>
      <c r="F7" s="2">
        <v>1.5</v>
      </c>
      <c r="G7" s="2">
        <v>0.7</v>
      </c>
      <c r="H7" s="78">
        <v>2.9328842498517401E-4</v>
      </c>
      <c r="I7" s="2">
        <f>60+15.12</f>
        <v>75.12</v>
      </c>
      <c r="J7" s="51">
        <f t="shared" si="0"/>
        <v>1.252</v>
      </c>
      <c r="K7" s="83">
        <v>2.1763903293888599E-2</v>
      </c>
      <c r="L7" s="83">
        <v>5.3320005646842601</v>
      </c>
      <c r="M7" s="83">
        <v>10</v>
      </c>
      <c r="N7" s="80">
        <v>9.6469999999999993E-3</v>
      </c>
      <c r="O7" s="80">
        <v>8.5518540000000005</v>
      </c>
      <c r="P7" s="80">
        <v>7.1656500000000003</v>
      </c>
      <c r="Q7" s="80">
        <v>44.150669999999998</v>
      </c>
      <c r="R7" s="80">
        <v>42.528283999999999</v>
      </c>
      <c r="S7" s="80">
        <v>1E-4</v>
      </c>
      <c r="T7" s="84">
        <v>2.7464836815839999</v>
      </c>
      <c r="U7" s="84">
        <v>9.4217689488491896</v>
      </c>
      <c r="V7" s="80">
        <v>1.6426339999999999</v>
      </c>
      <c r="W7" s="83">
        <v>0.1</v>
      </c>
      <c r="X7" s="83">
        <v>0.66954694007881499</v>
      </c>
    </row>
    <row r="8" spans="1:26" x14ac:dyDescent="0.35">
      <c r="A8" s="2" t="s">
        <v>11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86">
        <v>3.3229795416845E-3</v>
      </c>
      <c r="I8" s="2">
        <f>60+30.34</f>
        <v>90.34</v>
      </c>
      <c r="J8" s="51">
        <f t="shared" si="0"/>
        <v>1.5056666666666667</v>
      </c>
      <c r="K8" s="84">
        <v>5.3708635632974699</v>
      </c>
      <c r="L8" s="84">
        <v>1.91711370869458</v>
      </c>
      <c r="M8" s="84">
        <v>1.21894257791956</v>
      </c>
      <c r="N8" s="80">
        <v>9.6469999999999993E-3</v>
      </c>
      <c r="O8" s="80">
        <v>8.5518540000000005</v>
      </c>
      <c r="P8" s="80">
        <v>7.1656500000000003</v>
      </c>
      <c r="Q8" s="80">
        <v>44.150669999999998</v>
      </c>
      <c r="R8" s="80">
        <v>42.528283999999999</v>
      </c>
      <c r="S8" s="80">
        <v>1E-4</v>
      </c>
      <c r="T8" s="84">
        <v>5.0621300467977699</v>
      </c>
      <c r="U8" s="84">
        <v>4.3662737525307698</v>
      </c>
      <c r="V8" s="80">
        <v>1.6426339999999999</v>
      </c>
      <c r="W8" s="83">
        <v>0.32173344505856499</v>
      </c>
      <c r="X8" s="83">
        <v>0.41579920796990599</v>
      </c>
    </row>
    <row r="9" spans="1:26" x14ac:dyDescent="0.35">
      <c r="A9" s="2" t="s">
        <v>11</v>
      </c>
      <c r="B9" s="2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78">
        <v>1.3251362658287199E-3</v>
      </c>
      <c r="I9" s="2">
        <f>60*7+25.26</f>
        <v>445.26</v>
      </c>
      <c r="J9" s="51">
        <f t="shared" si="0"/>
        <v>7.4210000000000003</v>
      </c>
      <c r="K9" s="84">
        <v>3.01506522825153</v>
      </c>
      <c r="L9" s="84">
        <v>5.05925344685207</v>
      </c>
      <c r="M9" s="83">
        <v>4.86872801688311</v>
      </c>
      <c r="N9" s="80">
        <v>9.6469999999999993E-3</v>
      </c>
      <c r="O9" s="80">
        <v>8.5518540000000005</v>
      </c>
      <c r="P9" s="80">
        <v>7.1656500000000003</v>
      </c>
      <c r="Q9" s="80">
        <v>44.150669999999998</v>
      </c>
      <c r="R9" s="80">
        <v>42.528283999999999</v>
      </c>
      <c r="S9" s="80">
        <v>1E-4</v>
      </c>
      <c r="T9" s="84">
        <v>1.06792904742284</v>
      </c>
      <c r="U9" s="84">
        <v>3.30384536377028</v>
      </c>
      <c r="V9" s="80">
        <v>1.6426339999999999</v>
      </c>
      <c r="W9" s="83">
        <v>0.29253732272668498</v>
      </c>
      <c r="X9" s="83">
        <v>0.47645758028965701</v>
      </c>
    </row>
    <row r="10" spans="1:26" x14ac:dyDescent="0.35">
      <c r="A10" s="2" t="s">
        <v>11</v>
      </c>
      <c r="B10" s="2" t="s">
        <v>70</v>
      </c>
      <c r="C10" s="2">
        <v>200</v>
      </c>
      <c r="D10" s="2">
        <v>20</v>
      </c>
      <c r="E10" s="2">
        <v>1.5</v>
      </c>
      <c r="F10" s="2">
        <v>1.5</v>
      </c>
      <c r="G10" s="2">
        <v>0.7</v>
      </c>
      <c r="H10" s="2">
        <v>7.04243140314323E-4</v>
      </c>
      <c r="I10" s="2">
        <f>60+30.12</f>
        <v>90.12</v>
      </c>
      <c r="J10" s="51">
        <f t="shared" si="0"/>
        <v>1.502</v>
      </c>
      <c r="K10" s="83">
        <v>0.23198883475251</v>
      </c>
      <c r="L10" s="83">
        <v>4.13163737355673</v>
      </c>
      <c r="M10" s="83">
        <v>6.0033822043910199</v>
      </c>
      <c r="N10" s="80">
        <v>9.6469999999999993E-3</v>
      </c>
      <c r="O10" s="80">
        <v>8.5518540000000005</v>
      </c>
      <c r="P10" s="80">
        <v>7.1656500000000003</v>
      </c>
      <c r="Q10" s="80">
        <v>44.150669999999998</v>
      </c>
      <c r="R10" s="80">
        <v>42.528283999999999</v>
      </c>
      <c r="S10" s="80">
        <v>1E-4</v>
      </c>
      <c r="T10" s="84">
        <v>1.10164214051543</v>
      </c>
      <c r="U10" s="84">
        <v>3.12238469928359</v>
      </c>
      <c r="V10" s="80">
        <v>1.6426339999999999</v>
      </c>
      <c r="W10" s="83">
        <v>0.207546998368103</v>
      </c>
      <c r="X10" s="83">
        <v>0.59565351370611197</v>
      </c>
    </row>
    <row r="11" spans="1:26" x14ac:dyDescent="0.35">
      <c r="A11" s="2" t="s">
        <v>11</v>
      </c>
      <c r="B11" s="2" t="s">
        <v>66</v>
      </c>
      <c r="C11" s="2">
        <v>500</v>
      </c>
      <c r="D11" s="2">
        <v>20</v>
      </c>
      <c r="E11" s="2">
        <v>1.5</v>
      </c>
      <c r="F11" s="2">
        <v>1.5</v>
      </c>
      <c r="G11" s="2">
        <v>0.7</v>
      </c>
      <c r="H11" s="2">
        <v>0</v>
      </c>
      <c r="I11" s="2">
        <v>0</v>
      </c>
      <c r="J11" s="51">
        <f t="shared" si="0"/>
        <v>0</v>
      </c>
      <c r="K11" s="85">
        <v>0</v>
      </c>
      <c r="L11" s="85">
        <v>0</v>
      </c>
      <c r="M11" s="85">
        <v>0</v>
      </c>
      <c r="N11" s="80">
        <v>9.6469999999999993E-3</v>
      </c>
      <c r="O11" s="80">
        <v>8.5518540000000005</v>
      </c>
      <c r="P11" s="80">
        <v>7.1656500000000003</v>
      </c>
      <c r="Q11" s="80">
        <v>44.150669999999998</v>
      </c>
      <c r="R11" s="80">
        <v>42.528283999999999</v>
      </c>
      <c r="S11" s="80">
        <v>1E-4</v>
      </c>
      <c r="T11" s="85">
        <v>0</v>
      </c>
      <c r="U11" s="85">
        <v>0</v>
      </c>
      <c r="V11" s="80">
        <v>1.6426339999999999</v>
      </c>
      <c r="W11" s="85">
        <v>0</v>
      </c>
      <c r="X11" s="85">
        <v>0</v>
      </c>
    </row>
    <row r="12" spans="1:26" x14ac:dyDescent="0.35">
      <c r="A12" s="2" t="s">
        <v>11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2">
        <v>0</v>
      </c>
      <c r="I12" s="2">
        <v>0</v>
      </c>
      <c r="J12" s="51">
        <f t="shared" si="0"/>
        <v>0</v>
      </c>
      <c r="K12" s="85">
        <v>0</v>
      </c>
      <c r="L12" s="85">
        <v>0</v>
      </c>
      <c r="M12" s="85">
        <v>0</v>
      </c>
      <c r="N12" s="80">
        <v>9.6469999999999993E-3</v>
      </c>
      <c r="O12" s="80">
        <v>8.5518540000000005</v>
      </c>
      <c r="P12" s="80">
        <v>7.1656500000000003</v>
      </c>
      <c r="Q12" s="80">
        <v>44.150669999999998</v>
      </c>
      <c r="R12" s="80">
        <v>42.528283999999999</v>
      </c>
      <c r="S12" s="80">
        <v>1E-4</v>
      </c>
      <c r="T12" s="85">
        <v>0</v>
      </c>
      <c r="U12" s="85">
        <v>0</v>
      </c>
      <c r="V12" s="80">
        <v>1.6426339999999999</v>
      </c>
      <c r="W12" s="85">
        <v>0</v>
      </c>
      <c r="X12" s="85">
        <v>0</v>
      </c>
    </row>
    <row r="13" spans="1:26" x14ac:dyDescent="0.35">
      <c r="A13" s="2" t="s">
        <v>11</v>
      </c>
      <c r="B13" s="2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0</v>
      </c>
      <c r="I13" s="2">
        <v>0</v>
      </c>
      <c r="J13" s="51">
        <f t="shared" si="0"/>
        <v>0</v>
      </c>
      <c r="K13" s="85">
        <v>0</v>
      </c>
      <c r="L13" s="85">
        <v>0</v>
      </c>
      <c r="M13" s="85">
        <v>0</v>
      </c>
      <c r="N13" s="80">
        <v>9.6469999999999993E-3</v>
      </c>
      <c r="O13" s="80">
        <v>8.5518540000000005</v>
      </c>
      <c r="P13" s="80">
        <v>7.1656500000000003</v>
      </c>
      <c r="Q13" s="80">
        <v>44.150669999999998</v>
      </c>
      <c r="R13" s="80">
        <v>42.528283999999999</v>
      </c>
      <c r="S13" s="80">
        <v>1E-4</v>
      </c>
      <c r="T13" s="85">
        <v>0</v>
      </c>
      <c r="U13" s="85">
        <v>0</v>
      </c>
      <c r="V13" s="80">
        <v>1.6426339999999999</v>
      </c>
      <c r="W13" s="85">
        <v>0</v>
      </c>
      <c r="X13" s="85">
        <v>0</v>
      </c>
    </row>
    <row r="14" spans="1:26" x14ac:dyDescent="0.35">
      <c r="A14" s="2" t="s">
        <v>11</v>
      </c>
      <c r="B14" s="2" t="s">
        <v>70</v>
      </c>
      <c r="C14" s="2">
        <v>500</v>
      </c>
      <c r="D14" s="2">
        <v>20</v>
      </c>
      <c r="E14" s="2">
        <v>1.5</v>
      </c>
      <c r="F14" s="2">
        <v>1.5</v>
      </c>
      <c r="G14" s="2">
        <v>0.7</v>
      </c>
      <c r="H14" s="2">
        <v>7.0311620720228901E-4</v>
      </c>
      <c r="I14" s="2">
        <f>4*60+9.5</f>
        <v>249.5</v>
      </c>
      <c r="J14" s="51">
        <f t="shared" si="0"/>
        <v>4.1583333333333332</v>
      </c>
      <c r="K14" s="83">
        <v>0.230277928812854</v>
      </c>
      <c r="L14" s="84">
        <v>4.1471160732970196</v>
      </c>
      <c r="M14" s="84">
        <v>6.0025562868090301</v>
      </c>
      <c r="N14" s="80">
        <v>9.6469999999999993E-3</v>
      </c>
      <c r="O14" s="80">
        <v>8.5518540000000005</v>
      </c>
      <c r="P14" s="80">
        <v>7.1656500000000003</v>
      </c>
      <c r="Q14" s="80">
        <v>44.150669999999998</v>
      </c>
      <c r="R14" s="80">
        <v>42.528283999999999</v>
      </c>
      <c r="S14" s="80">
        <v>1E-4</v>
      </c>
      <c r="T14" s="84">
        <v>1.1015287199813399</v>
      </c>
      <c r="U14" s="84">
        <v>2.49443328688508</v>
      </c>
      <c r="V14" s="80">
        <v>1.6426339999999999</v>
      </c>
      <c r="W14" s="83">
        <v>0.20757536882927899</v>
      </c>
      <c r="X14" s="83">
        <v>0.59564622966884795</v>
      </c>
    </row>
    <row r="16" spans="1:26" x14ac:dyDescent="0.35">
      <c r="A16" s="2" t="s">
        <v>21</v>
      </c>
    </row>
    <row r="17" spans="1:8" x14ac:dyDescent="0.35">
      <c r="A17" s="2"/>
    </row>
    <row r="18" spans="1:8" x14ac:dyDescent="0.35">
      <c r="A18" s="2"/>
      <c r="H18" s="87"/>
    </row>
    <row r="19" spans="1:8" x14ac:dyDescent="0.35">
      <c r="A19" s="2" t="s">
        <v>18</v>
      </c>
    </row>
    <row r="20" spans="1:8" x14ac:dyDescent="0.35">
      <c r="A20" s="2"/>
    </row>
    <row r="21" spans="1:8" x14ac:dyDescent="0.35">
      <c r="A21" s="2"/>
    </row>
  </sheetData>
  <mergeCells count="7">
    <mergeCell ref="C1:G1"/>
    <mergeCell ref="A1:A2"/>
    <mergeCell ref="B1:B2"/>
    <mergeCell ref="H1:H2"/>
    <mergeCell ref="I1:I2"/>
    <mergeCell ref="J1:J2"/>
    <mergeCell ref="K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María Fernanda Folch Díaz</cp:lastModifiedBy>
  <dcterms:created xsi:type="dcterms:W3CDTF">2015-06-05T18:19:34Z</dcterms:created>
  <dcterms:modified xsi:type="dcterms:W3CDTF">2026-03-18T20:49:19Z</dcterms:modified>
</cp:coreProperties>
</file>