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B754EBFB-0CCE-4A9A-8F5B-1E34CD89B5BF}" xr6:coauthVersionLast="47" xr6:coauthVersionMax="47" xr10:uidLastSave="{00000000-0000-0000-0000-000000000000}"/>
  <bookViews>
    <workbookView xWindow="-108" yWindow="-108" windowWidth="23256" windowHeight="12576" tabRatio="687" firstSheet="4" activeTab="6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  <sheet name="Análisis estadístico variedades" sheetId="6" r:id="rId6"/>
    <sheet name="Análisis estadístico volúmenes" sheetId="7" r:id="rId7"/>
  </sheets>
  <definedNames>
    <definedName name="_xlnm._FilterDatabase" localSheetId="2" hidden="1">'Pruebas PSO'!$A$2:$X$40</definedName>
    <definedName name="_xlnm._FilterDatabase" localSheetId="4" hidden="1">'Pruebas variedades'!$A$1:$AF$1</definedName>
    <definedName name="_xlchart.v1.0" hidden="1">'Pruebas variedades'!$AB$10:$AB$13</definedName>
    <definedName name="_xlchart.v1.1" hidden="1">'Pruebas variedades'!$AB$14:$AB$17</definedName>
    <definedName name="_xlchart.v1.10" hidden="1">'Pruebas variedades'!$C$2</definedName>
    <definedName name="_xlchart.v1.100" hidden="1">'Pruebas variedades'!$U$57:$U$65</definedName>
    <definedName name="_xlchart.v1.101" hidden="1">'Pruebas variedades'!$AB$2:$AB$17</definedName>
    <definedName name="_xlchart.v1.102" hidden="1">'Pruebas variedades'!$AB$57:$AB$65</definedName>
    <definedName name="_xlchart.v1.103" hidden="1">'Pruebas variedades'!$AC$2:$AC$17</definedName>
    <definedName name="_xlchart.v1.104" hidden="1">'Pruebas variedades'!$AC$57:$AC$65</definedName>
    <definedName name="_xlchart.v1.105" hidden="1">'Pruebas variedades'!$AE$2:$AE$17</definedName>
    <definedName name="_xlchart.v1.106" hidden="1">'Pruebas variedades'!$AE$61:$AE$69</definedName>
    <definedName name="_xlchart.v1.11" hidden="1">'Pruebas variedades'!$C$6</definedName>
    <definedName name="_xlchart.v1.12" hidden="1">'Pruebas variedades'!$S$10:$S$13</definedName>
    <definedName name="_xlchart.v1.13" hidden="1">'Pruebas variedades'!$S$14:$S$17</definedName>
    <definedName name="_xlchart.v1.14" hidden="1">'Pruebas variedades'!$S$2:$S$5</definedName>
    <definedName name="_xlchart.v1.15" hidden="1">'Pruebas variedades'!$S$6:$S$9</definedName>
    <definedName name="_xlchart.v1.16" hidden="1">'Pruebas variedades'!$C$10</definedName>
    <definedName name="_xlchart.v1.17" hidden="1">'Pruebas variedades'!$C$14</definedName>
    <definedName name="_xlchart.v1.18" hidden="1">'Pruebas variedades'!$C$2</definedName>
    <definedName name="_xlchart.v1.19" hidden="1">'Pruebas variedades'!$C$6</definedName>
    <definedName name="_xlchart.v1.2" hidden="1">'Pruebas variedades'!$AB$2:$AB$5</definedName>
    <definedName name="_xlchart.v1.20" hidden="1">'Pruebas variedades'!$U$10:$U$13</definedName>
    <definedName name="_xlchart.v1.21" hidden="1">'Pruebas variedades'!$U$14:$U$17</definedName>
    <definedName name="_xlchart.v1.22" hidden="1">'Pruebas variedades'!$U$2:$U$5</definedName>
    <definedName name="_xlchart.v1.23" hidden="1">'Pruebas variedades'!$U$6:$U$9</definedName>
    <definedName name="_xlchart.v1.24" hidden="1">'Pruebas variedades'!$AC$10:$AC$13</definedName>
    <definedName name="_xlchart.v1.25" hidden="1">'Pruebas variedades'!$AC$14:$AC$17</definedName>
    <definedName name="_xlchart.v1.26" hidden="1">'Pruebas variedades'!$AC$2:$AC$5</definedName>
    <definedName name="_xlchart.v1.27" hidden="1">'Pruebas variedades'!$AC$6:$AC$9</definedName>
    <definedName name="_xlchart.v1.28" hidden="1">'Pruebas variedades'!$C$10</definedName>
    <definedName name="_xlchart.v1.29" hidden="1">'Pruebas variedades'!$C$14</definedName>
    <definedName name="_xlchart.v1.3" hidden="1">'Pruebas variedades'!$AB$6:$AB$9</definedName>
    <definedName name="_xlchart.v1.30" hidden="1">'Pruebas variedades'!$C$2</definedName>
    <definedName name="_xlchart.v1.31" hidden="1">'Pruebas variedades'!$C$6</definedName>
    <definedName name="_xlchart.v1.32" hidden="1">'Pruebas variedades'!$AF$10:$AF$13</definedName>
    <definedName name="_xlchart.v1.33" hidden="1">'Pruebas variedades'!$AF$14:$AF$17</definedName>
    <definedName name="_xlchart.v1.34" hidden="1">'Pruebas variedades'!$AF$2:$AF$5</definedName>
    <definedName name="_xlchart.v1.35" hidden="1">'Pruebas variedades'!$AF$6:$AF$9</definedName>
    <definedName name="_xlchart.v1.36" hidden="1">'Pruebas variedades'!$C$10</definedName>
    <definedName name="_xlchart.v1.37" hidden="1">'Pruebas variedades'!$C$14</definedName>
    <definedName name="_xlchart.v1.38" hidden="1">'Pruebas variedades'!$C$2</definedName>
    <definedName name="_xlchart.v1.39" hidden="1">'Pruebas variedades'!$C$6</definedName>
    <definedName name="_xlchart.v1.4" hidden="1">'Pruebas variedades'!$C$10</definedName>
    <definedName name="_xlchart.v1.40" hidden="1">'Pruebas variedades'!$C$10</definedName>
    <definedName name="_xlchart.v1.41" hidden="1">'Pruebas variedades'!$C$14</definedName>
    <definedName name="_xlchart.v1.42" hidden="1">'Pruebas variedades'!$C$2</definedName>
    <definedName name="_xlchart.v1.43" hidden="1">'Pruebas variedades'!$C$6</definedName>
    <definedName name="_xlchart.v1.44" hidden="1">'Pruebas variedades'!$T$10:$T$13</definedName>
    <definedName name="_xlchart.v1.45" hidden="1">'Pruebas variedades'!$T$14:$T$17</definedName>
    <definedName name="_xlchart.v1.46" hidden="1">'Pruebas variedades'!$T$2:$T$5</definedName>
    <definedName name="_xlchart.v1.47" hidden="1">'Pruebas variedades'!$T$6:$T$9</definedName>
    <definedName name="_xlchart.v1.48" hidden="1">'Pruebas variedades'!$AE$10:$AE$13</definedName>
    <definedName name="_xlchart.v1.49" hidden="1">'Pruebas variedades'!$AE$14:$AE$17</definedName>
    <definedName name="_xlchart.v1.5" hidden="1">'Pruebas variedades'!$C$14</definedName>
    <definedName name="_xlchart.v1.50" hidden="1">'Pruebas variedades'!$AE$2:$AE$5</definedName>
    <definedName name="_xlchart.v1.51" hidden="1">'Pruebas variedades'!$AE$6:$AE$9</definedName>
    <definedName name="_xlchart.v1.52" hidden="1">'Pruebas variedades'!$C$10</definedName>
    <definedName name="_xlchart.v1.53" hidden="1">'Pruebas variedades'!$C$14</definedName>
    <definedName name="_xlchart.v1.54" hidden="1">'Pruebas variedades'!$C$2</definedName>
    <definedName name="_xlchart.v1.55" hidden="1">'Pruebas variedades'!$C$6</definedName>
    <definedName name="_xlchart.v1.56" hidden="1">'Análisis estadístico volúmenes'!$C$2</definedName>
    <definedName name="_xlchart.v1.57" hidden="1">'Análisis estadístico volúmenes'!$M$14</definedName>
    <definedName name="_xlchart.v1.58" hidden="1">'Pruebas variedades'!$S$2:$S$17</definedName>
    <definedName name="_xlchart.v1.59" hidden="1">'Pruebas variedades'!$S$61:$S$70</definedName>
    <definedName name="_xlchart.v1.6" hidden="1">'Pruebas variedades'!$C$2</definedName>
    <definedName name="_xlchart.v1.60" hidden="1">'Análisis estadístico volúmenes'!$C$2</definedName>
    <definedName name="_xlchart.v1.61" hidden="1">'Análisis estadístico volúmenes'!$M$14</definedName>
    <definedName name="_xlchart.v1.62" hidden="1">'Pruebas variedades'!$S$2:$S$17</definedName>
    <definedName name="_xlchart.v1.63" hidden="1">'Pruebas variedades'!$S$61:$S$70</definedName>
    <definedName name="_xlchart.v1.64" hidden="1">'Análisis estadístico volúmenes'!$C$2</definedName>
    <definedName name="_xlchart.v1.65" hidden="1">'Análisis estadístico volúmenes'!$M$14</definedName>
    <definedName name="_xlchart.v1.66" hidden="1">'Pruebas variedades'!$S$2:$S$17</definedName>
    <definedName name="_xlchart.v1.67" hidden="1">'Pruebas variedades'!$S$61:$S$70</definedName>
    <definedName name="_xlchart.v1.68" hidden="1">'Análisis estadístico volúmenes'!$C$2</definedName>
    <definedName name="_xlchart.v1.69" hidden="1">'Análisis estadístico volúmenes'!$M$14</definedName>
    <definedName name="_xlchart.v1.7" hidden="1">'Pruebas variedades'!$C$6</definedName>
    <definedName name="_xlchart.v1.70" hidden="1">'Pruebas variedades'!$S$2:$S$17</definedName>
    <definedName name="_xlchart.v1.71" hidden="1">'Pruebas variedades'!$S$61:$S$70</definedName>
    <definedName name="_xlchart.v1.72" hidden="1">'Análisis estadístico volúmenes'!$C$2</definedName>
    <definedName name="_xlchart.v1.73" hidden="1">'Análisis estadístico volúmenes'!$M$14</definedName>
    <definedName name="_xlchart.v1.74" hidden="1">'Pruebas variedades'!$S$2:$S$17</definedName>
    <definedName name="_xlchart.v1.75" hidden="1">'Pruebas variedades'!$S$61:$S$70</definedName>
    <definedName name="_xlchart.v1.76" hidden="1">'Análisis estadístico volúmenes'!$C$2</definedName>
    <definedName name="_xlchart.v1.77" hidden="1">'Análisis estadístico volúmenes'!$M$14</definedName>
    <definedName name="_xlchart.v1.78" hidden="1">'Pruebas variedades'!$S$2:$S$17</definedName>
    <definedName name="_xlchart.v1.79" hidden="1">'Pruebas variedades'!$S$57:$S$65</definedName>
    <definedName name="_xlchart.v1.8" hidden="1">'Pruebas variedades'!$C$10</definedName>
    <definedName name="_xlchart.v1.80" hidden="1">'Análisis estadístico variedades'!$AB$61:$AB$69</definedName>
    <definedName name="_xlchart.v1.81" hidden="1">'Pruebas variedades'!$AB$2:$AB$17</definedName>
    <definedName name="_xlchart.v1.82" hidden="1">'Pruebas variedades'!$AB$57:$AB$65</definedName>
    <definedName name="_xlchart.v1.83" hidden="1">'Pruebas variedades'!$AE$2:$AE$17</definedName>
    <definedName name="_xlchart.v1.84" hidden="1">'Pruebas variedades'!$AE$57:$AE$65</definedName>
    <definedName name="_xlchart.v1.85" hidden="1">'Pruebas variedades'!$AE$2:$AE$17</definedName>
    <definedName name="_xlchart.v1.86" hidden="1">'Pruebas variedades'!$AE$57:$AE$65</definedName>
    <definedName name="_xlchart.v1.87" hidden="1">'Pruebas variedades'!$AF$2:$AF$17</definedName>
    <definedName name="_xlchart.v1.88" hidden="1">'Pruebas variedades'!$AF$57:$AF$65</definedName>
    <definedName name="_xlchart.v1.89" hidden="1">'Pruebas variedades'!$AB$2:$AB$17</definedName>
    <definedName name="_xlchart.v1.9" hidden="1">'Pruebas variedades'!$C$14</definedName>
    <definedName name="_xlchart.v1.90" hidden="1">'Pruebas variedades'!$AB$57:$AB$65</definedName>
    <definedName name="_xlchart.v1.91" hidden="1">'Pruebas variedades'!$T$2:$T$17</definedName>
    <definedName name="_xlchart.v1.92" hidden="1">'Pruebas variedades'!$T$57:$T$65</definedName>
    <definedName name="_xlchart.v1.93" hidden="1">'Pruebas variedades'!$S$2:$S$17</definedName>
    <definedName name="_xlchart.v1.94" hidden="1">'Pruebas variedades'!$S$57:$S$65</definedName>
    <definedName name="_xlchart.v1.95" hidden="1">'Pruebas variedades'!$T$2:$T$17</definedName>
    <definedName name="_xlchart.v1.96" hidden="1">'Pruebas variedades'!$T$57:$T$65</definedName>
    <definedName name="_xlchart.v1.97" hidden="1">'Pruebas variedades'!$T$2:$T$17</definedName>
    <definedName name="_xlchart.v1.98" hidden="1">'Pruebas variedades'!$T$57:$T$65</definedName>
    <definedName name="_xlchart.v1.99" hidden="1">'Pruebas variedades'!$U$2:$U$17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8" i="5" l="1"/>
  <c r="C5" i="7" s="1"/>
  <c r="H67" i="5"/>
  <c r="J5" i="7" s="1"/>
  <c r="AB29" i="5"/>
  <c r="F3" i="7" s="1"/>
  <c r="T29" i="5"/>
  <c r="D3" i="7" s="1"/>
  <c r="U29" i="5"/>
  <c r="E3" i="7" s="1"/>
  <c r="AC29" i="5"/>
  <c r="G3" i="7" s="1"/>
  <c r="AE29" i="5"/>
  <c r="H3" i="7" s="1"/>
  <c r="AF29" i="5"/>
  <c r="I3" i="7" s="1"/>
  <c r="T30" i="5"/>
  <c r="D4" i="7" s="1"/>
  <c r="U30" i="5"/>
  <c r="E4" i="7" s="1"/>
  <c r="AB30" i="5"/>
  <c r="F4" i="7" s="1"/>
  <c r="AC30" i="5"/>
  <c r="G4" i="7" s="1"/>
  <c r="AE30" i="5"/>
  <c r="H4" i="7" s="1"/>
  <c r="AF30" i="5"/>
  <c r="I4" i="7" s="1"/>
  <c r="S30" i="5"/>
  <c r="C4" i="7" s="1"/>
  <c r="S29" i="5"/>
  <c r="C3" i="7" s="1"/>
  <c r="P64" i="5"/>
  <c r="Q64" i="5" s="1"/>
  <c r="P63" i="5"/>
  <c r="Q63" i="5" s="1"/>
  <c r="T68" i="5"/>
  <c r="D5" i="7" s="1"/>
  <c r="U68" i="5"/>
  <c r="E5" i="7" s="1"/>
  <c r="AB68" i="5"/>
  <c r="F5" i="7" s="1"/>
  <c r="AC68" i="5"/>
  <c r="G5" i="7" s="1"/>
  <c r="AE68" i="5"/>
  <c r="H5" i="7" s="1"/>
  <c r="AF68" i="5"/>
  <c r="I5" i="7" s="1"/>
  <c r="T69" i="5"/>
  <c r="D6" i="7" s="1"/>
  <c r="U69" i="5"/>
  <c r="E6" i="7" s="1"/>
  <c r="AB69" i="5"/>
  <c r="F6" i="7" s="1"/>
  <c r="AC69" i="5"/>
  <c r="G6" i="7" s="1"/>
  <c r="AE69" i="5"/>
  <c r="H6" i="7" s="1"/>
  <c r="AF69" i="5"/>
  <c r="I6" i="7" s="1"/>
  <c r="S69" i="5"/>
  <c r="C6" i="7" s="1"/>
  <c r="P62" i="5"/>
  <c r="Q62" i="5" s="1"/>
  <c r="Q65" i="5"/>
  <c r="P61" i="5"/>
  <c r="Q61" i="5" s="1"/>
  <c r="P60" i="5"/>
  <c r="Q60" i="5" s="1"/>
  <c r="T53" i="5"/>
  <c r="T52" i="5"/>
  <c r="U53" i="5"/>
  <c r="AB53" i="5"/>
  <c r="AC53" i="5"/>
  <c r="AE53" i="5"/>
  <c r="AF53" i="5"/>
  <c r="U52" i="5"/>
  <c r="AB52" i="5"/>
  <c r="AC52" i="5"/>
  <c r="AE52" i="5"/>
  <c r="AF52" i="5"/>
  <c r="S53" i="5"/>
  <c r="S52" i="5"/>
  <c r="Q48" i="5"/>
  <c r="P49" i="5"/>
  <c r="Q49" i="5" s="1"/>
  <c r="P47" i="5"/>
  <c r="Q47" i="5" s="1"/>
  <c r="P46" i="5"/>
  <c r="Q46" i="5" s="1"/>
  <c r="P45" i="5"/>
  <c r="Q45" i="5" s="1"/>
  <c r="J9" i="6"/>
  <c r="L9" i="6" s="1"/>
  <c r="J7" i="6"/>
  <c r="L7" i="6" s="1"/>
  <c r="J5" i="6"/>
  <c r="L5" i="6" s="1"/>
  <c r="J3" i="6"/>
  <c r="L3" i="6" s="1"/>
  <c r="H26" i="5"/>
  <c r="H24" i="5"/>
  <c r="H22" i="5"/>
  <c r="H20" i="5"/>
  <c r="P36" i="5"/>
  <c r="Q36" i="5" s="1"/>
  <c r="P35" i="5"/>
  <c r="Q35" i="5" s="1"/>
  <c r="P34" i="5"/>
  <c r="Q34" i="5" s="1"/>
  <c r="P44" i="5"/>
  <c r="Q44" i="5" s="1"/>
  <c r="P43" i="5"/>
  <c r="Q43" i="5" s="1"/>
  <c r="P42" i="5"/>
  <c r="Q42" i="5" s="1"/>
  <c r="P17" i="5"/>
  <c r="Q17" i="5" s="1"/>
  <c r="S27" i="5"/>
  <c r="C10" i="6" s="1"/>
  <c r="Q16" i="5"/>
  <c r="P15" i="5"/>
  <c r="Q15" i="5" s="1"/>
  <c r="T27" i="5"/>
  <c r="D10" i="6" s="1"/>
  <c r="U27" i="5"/>
  <c r="E10" i="6" s="1"/>
  <c r="AB27" i="5"/>
  <c r="F10" i="6" s="1"/>
  <c r="AC27" i="5"/>
  <c r="G10" i="6" s="1"/>
  <c r="AE27" i="5"/>
  <c r="H10" i="6" s="1"/>
  <c r="AF27" i="5"/>
  <c r="I10" i="6" s="1"/>
  <c r="S26" i="5"/>
  <c r="C9" i="6" s="1"/>
  <c r="AC26" i="5"/>
  <c r="G9" i="6" s="1"/>
  <c r="T26" i="5"/>
  <c r="D9" i="6" s="1"/>
  <c r="U26" i="5"/>
  <c r="E9" i="6" s="1"/>
  <c r="AB26" i="5"/>
  <c r="F9" i="6" s="1"/>
  <c r="AE26" i="5"/>
  <c r="H9" i="6" s="1"/>
  <c r="AF26" i="5"/>
  <c r="I9" i="6" s="1"/>
  <c r="P14" i="5"/>
  <c r="Q14" i="5" s="1"/>
  <c r="P59" i="5"/>
  <c r="Q59" i="5" s="1"/>
  <c r="P58" i="5"/>
  <c r="Q58" i="5" s="1"/>
  <c r="P57" i="5"/>
  <c r="Q57" i="5" s="1"/>
  <c r="S22" i="5"/>
  <c r="C5" i="6" s="1"/>
  <c r="U24" i="5"/>
  <c r="E7" i="6" s="1"/>
  <c r="U25" i="5"/>
  <c r="E8" i="6" s="1"/>
  <c r="T24" i="5"/>
  <c r="D7" i="6" s="1"/>
  <c r="AB24" i="5"/>
  <c r="F7" i="6" s="1"/>
  <c r="AC24" i="5"/>
  <c r="G7" i="6" s="1"/>
  <c r="AE24" i="5"/>
  <c r="H7" i="6" s="1"/>
  <c r="AF24" i="5"/>
  <c r="I7" i="6" s="1"/>
  <c r="T25" i="5"/>
  <c r="D8" i="6" s="1"/>
  <c r="AB25" i="5"/>
  <c r="F8" i="6" s="1"/>
  <c r="AC25" i="5"/>
  <c r="G8" i="6" s="1"/>
  <c r="AE25" i="5"/>
  <c r="H8" i="6" s="1"/>
  <c r="AF25" i="5"/>
  <c r="I8" i="6" s="1"/>
  <c r="S25" i="5"/>
  <c r="C8" i="6" s="1"/>
  <c r="S24" i="5"/>
  <c r="C7" i="6" s="1"/>
  <c r="U23" i="5"/>
  <c r="E6" i="6" s="1"/>
  <c r="T23" i="5"/>
  <c r="D6" i="6" s="1"/>
  <c r="AB23" i="5"/>
  <c r="F6" i="6" s="1"/>
  <c r="AC23" i="5"/>
  <c r="G6" i="6" s="1"/>
  <c r="AE23" i="5"/>
  <c r="H6" i="6" s="1"/>
  <c r="AF23" i="5"/>
  <c r="I6" i="6" s="1"/>
  <c r="T22" i="5"/>
  <c r="D5" i="6" s="1"/>
  <c r="U22" i="5"/>
  <c r="E5" i="6" s="1"/>
  <c r="AB22" i="5"/>
  <c r="F5" i="6" s="1"/>
  <c r="AC22" i="5"/>
  <c r="G5" i="6" s="1"/>
  <c r="AE22" i="5"/>
  <c r="H5" i="6" s="1"/>
  <c r="AF22" i="5"/>
  <c r="I5" i="6" s="1"/>
  <c r="S23" i="5"/>
  <c r="C6" i="6" s="1"/>
  <c r="AB21" i="5"/>
  <c r="F4" i="6" s="1"/>
  <c r="AC21" i="5"/>
  <c r="G4" i="6" s="1"/>
  <c r="AE21" i="5"/>
  <c r="H4" i="6" s="1"/>
  <c r="AF21" i="5"/>
  <c r="I4" i="6" s="1"/>
  <c r="T21" i="5"/>
  <c r="D4" i="6" s="1"/>
  <c r="U21" i="5"/>
  <c r="E4" i="6" s="1"/>
  <c r="U20" i="5"/>
  <c r="E3" i="6" s="1"/>
  <c r="T20" i="5"/>
  <c r="D3" i="6" s="1"/>
  <c r="AB20" i="5"/>
  <c r="F3" i="6" s="1"/>
  <c r="AC20" i="5"/>
  <c r="G3" i="6" s="1"/>
  <c r="AE20" i="5"/>
  <c r="H3" i="6" s="1"/>
  <c r="AF20" i="5"/>
  <c r="I3" i="6" s="1"/>
  <c r="S21" i="5"/>
  <c r="C4" i="6" s="1"/>
  <c r="S20" i="5"/>
  <c r="C3" i="6" s="1"/>
  <c r="Q13" i="5"/>
  <c r="P12" i="5"/>
  <c r="Q12" i="5" s="1"/>
  <c r="P11" i="5"/>
  <c r="Q11" i="5" s="1"/>
  <c r="P10" i="5"/>
  <c r="Q10" i="5" s="1"/>
  <c r="P9" i="5"/>
  <c r="Q9" i="5" s="1"/>
  <c r="P8" i="5"/>
  <c r="Q8" i="5" s="1"/>
  <c r="P7" i="5"/>
  <c r="Q7" i="5" s="1"/>
  <c r="P6" i="5"/>
  <c r="Q6" i="5" s="1"/>
  <c r="P5" i="5"/>
  <c r="Q5" i="5" s="1"/>
  <c r="P2" i="5"/>
  <c r="Q2" i="5" s="1"/>
  <c r="P4" i="5"/>
  <c r="Q4" i="5" s="1"/>
  <c r="P3" i="5"/>
  <c r="Q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  <c r="J3" i="7" l="1"/>
  <c r="L3" i="7"/>
  <c r="C14" i="7"/>
  <c r="L5" i="7"/>
  <c r="C18" i="6"/>
  <c r="G21" i="6"/>
  <c r="F21" i="6"/>
  <c r="H17" i="6"/>
  <c r="E18" i="6"/>
  <c r="F17" i="6"/>
  <c r="I24" i="6"/>
  <c r="D20" i="6"/>
  <c r="E24" i="6"/>
  <c r="E15" i="6"/>
  <c r="G24" i="6"/>
  <c r="C19" i="6"/>
  <c r="C24" i="6"/>
  <c r="D16" i="6"/>
  <c r="E21" i="6"/>
  <c r="F24" i="6"/>
  <c r="D15" i="6"/>
  <c r="D24" i="6"/>
  <c r="H21" i="6"/>
  <c r="H18" i="6"/>
  <c r="G18" i="6"/>
  <c r="D21" i="6"/>
  <c r="F18" i="6"/>
  <c r="I19" i="6"/>
  <c r="G17" i="6"/>
  <c r="I18" i="6"/>
  <c r="I17" i="6"/>
  <c r="D18" i="6"/>
  <c r="H19" i="6"/>
  <c r="F19" i="6"/>
  <c r="E20" i="6"/>
  <c r="H24" i="6"/>
  <c r="G19" i="6"/>
  <c r="F25" i="6"/>
  <c r="C15" i="6"/>
  <c r="C16" i="6"/>
  <c r="C17" i="6"/>
  <c r="E25" i="6"/>
  <c r="C23" i="6"/>
  <c r="C25" i="6"/>
  <c r="D26" i="6"/>
  <c r="I25" i="6"/>
  <c r="D23" i="6"/>
  <c r="H25" i="6"/>
  <c r="I23" i="6"/>
  <c r="G25" i="6"/>
  <c r="E17" i="6"/>
  <c r="E19" i="6"/>
  <c r="C26" i="6"/>
  <c r="D25" i="6"/>
  <c r="I15" i="6"/>
  <c r="D17" i="6"/>
  <c r="D19" i="6"/>
  <c r="I21" i="6"/>
  <c r="I26" i="6"/>
  <c r="C21" i="6"/>
  <c r="I16" i="6"/>
  <c r="I20" i="6"/>
  <c r="C22" i="6"/>
  <c r="H26" i="6"/>
  <c r="C20" i="6"/>
  <c r="H16" i="6"/>
  <c r="H20" i="6"/>
  <c r="I22" i="6"/>
  <c r="G26" i="6"/>
  <c r="G16" i="6"/>
  <c r="G20" i="6"/>
  <c r="H22" i="6"/>
  <c r="F26" i="6"/>
  <c r="F16" i="6"/>
  <c r="F20" i="6"/>
  <c r="G22" i="6"/>
  <c r="E26" i="6"/>
  <c r="E16" i="6"/>
  <c r="F22" i="6"/>
  <c r="H23" i="6"/>
  <c r="E22" i="6"/>
  <c r="G23" i="6"/>
  <c r="H15" i="6"/>
  <c r="D22" i="6"/>
  <c r="F23" i="6"/>
  <c r="G15" i="6"/>
  <c r="E23" i="6"/>
  <c r="F15" i="6"/>
  <c r="C15" i="7" l="1"/>
  <c r="C16" i="7" s="1"/>
  <c r="E15" i="7"/>
  <c r="H15" i="7"/>
  <c r="I15" i="7"/>
  <c r="D15" i="7"/>
  <c r="F15" i="7"/>
  <c r="G15" i="7"/>
  <c r="I31" i="6"/>
  <c r="G31" i="6"/>
  <c r="D28" i="6"/>
  <c r="D32" i="6"/>
  <c r="C31" i="6"/>
  <c r="E30" i="6"/>
  <c r="C30" i="6"/>
  <c r="C28" i="6"/>
  <c r="I30" i="6"/>
  <c r="E31" i="6"/>
  <c r="I29" i="6"/>
  <c r="G27" i="6"/>
  <c r="H29" i="6"/>
  <c r="E28" i="6"/>
  <c r="F29" i="6"/>
  <c r="G29" i="6"/>
  <c r="F27" i="6"/>
  <c r="F30" i="6"/>
  <c r="E27" i="6"/>
  <c r="G30" i="6"/>
  <c r="H30" i="6"/>
  <c r="D27" i="6"/>
  <c r="C29" i="6"/>
  <c r="D30" i="6"/>
  <c r="H14" i="7"/>
  <c r="E32" i="6"/>
  <c r="H31" i="6"/>
  <c r="H27" i="6"/>
  <c r="F28" i="6"/>
  <c r="F31" i="6"/>
  <c r="E14" i="7"/>
  <c r="E16" i="7" s="1"/>
  <c r="C32" i="6"/>
  <c r="C27" i="6"/>
  <c r="H28" i="6"/>
  <c r="F32" i="6"/>
  <c r="D31" i="6"/>
  <c r="I14" i="7"/>
  <c r="D29" i="6"/>
  <c r="H32" i="6"/>
  <c r="I27" i="6"/>
  <c r="F14" i="7"/>
  <c r="G32" i="6"/>
  <c r="I32" i="6"/>
  <c r="G28" i="6"/>
  <c r="I28" i="6"/>
  <c r="E29" i="6"/>
  <c r="D14" i="7"/>
  <c r="G14" i="7"/>
  <c r="G16" i="7" s="1"/>
  <c r="F16" i="7" l="1"/>
  <c r="D16" i="7"/>
  <c r="I16" i="7"/>
  <c r="H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<sst xmlns="http://schemas.openxmlformats.org/spreadsheetml/2006/main" count="952" uniqueCount="192">
  <si>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</si>
  <si>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</si>
  <si>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</si>
  <si>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</si>
  <si>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</si>
  <si>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</si>
  <si>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</si>
  <si>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</si>
  <si>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</si>
  <si>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</si>
  <si>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</si>
  <si>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</si>
  <si>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</si>
  <si>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</si>
  <si>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</si>
  <si>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</si>
  <si>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</si>
  <si>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</si>
  <si>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</si>
  <si>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</si>
  <si>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</si>
  <si>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</si>
  <si>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</si>
  <si>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</si>
  <si>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</si>
  <si>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</si>
  <si>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</si>
  <si>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</si>
  <si>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</si>
  <si>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</si>
  <si>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</si>
  <si>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</si>
  <si>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</si>
  <si>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</si>
  <si>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</si>
  <si>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</si>
  <si>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</si>
  <si>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</si>
  <si>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</si>
  <si>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</si>
  <si>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</si>
  <si>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</si>
  <si>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</si>
  <si>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</si>
  <si>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</si>
  <si>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</si>
  <si>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</si>
  <si>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</si>
  <si>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</si>
  <si>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</si>
  <si>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</si>
  <si>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</si>
  <si>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</si>
  <si>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</si>
  <si>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</si>
  <si>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</si>
  <si>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</si>
  <si>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</si>
  <si>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</si>
  <si>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</si>
  <si>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</si>
  <si>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</si>
  <si>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</si>
  <si>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</si>
  <si>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</si>
  <si>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</si>
  <si>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</si>
  <si>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</si>
  <si>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</si>
  <si>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</si>
  <si>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</si>
  <si>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</si>
  <si>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</si>
  <si>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</si>
  <si>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</si>
  <si>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</si>
  <si>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</si>
  <si>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</si>
  <si>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</si>
  <si>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</si>
  <si>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</si>
  <si>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</si>
  <si>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</si>
  <si>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</si>
  <si>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</si>
  <si>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</si>
  <si>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</si>
  <si>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</si>
  <si>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</si>
  <si>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</si>
  <si>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</si>
  <si>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</si>
  <si>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</si>
  <si>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</si>
  <si>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</si>
  <si>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</si>
  <si>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</si>
  <si>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</si>
  <si>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</si>
  <si>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</si>
  <si>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</si>
  <si>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</si>
  <si>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</si>
  <si>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</si>
  <si>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</si>
  <si>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</si>
  <si>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</si>
  <si>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</si>
  <si>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</si>
  <si>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</si>
  <si>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</si>
  <si>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</si>
  <si>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</si>
  <si>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</si>
  <si>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</si>
  <si>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</si>
  <si>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</si>
  <si>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</si>
  <si>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</si>
  <si>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</si>
  <si>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</si>
  <si>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</si>
  <si>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</si>
  <si>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</si>
  <si>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</si>
  <si>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</si>
  <si>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</si>
  <si>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</si>
  <si>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</si>
  <si>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</si>
  <si>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</si>
  <si>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</si>
  <si>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</si>
  <si>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</si>
  <si>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</si>
  <si>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</si>
  <si>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</si>
  <si>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</si>
  <si>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</si>
  <si>
    <t>Data CA 24 VAL estanque 31.xlsx</t>
  </si>
  <si>
    <t>Carmenere</t>
  </si>
  <si>
    <t>Promedio CA</t>
  </si>
  <si>
    <t>Data CA 24 VAL estanque 59.xlsx</t>
  </si>
  <si>
    <t>Desv. Est. CA</t>
  </si>
  <si>
    <t>Data CA 24 VAL estanque 62.xlsx</t>
  </si>
  <si>
    <t>Data CA 25 F.N. estanque 68.xlsx</t>
  </si>
  <si>
    <t>Set de datos (80.000 L)</t>
  </si>
  <si>
    <t>Data CS 25 BOLDO + STA MARTA estanque 41.xlsx</t>
  </si>
  <si>
    <t>Data CS 25 EL BOLDO (C88 - 89) estanque 50.xlsx</t>
  </si>
  <si>
    <t>Data CS+MA 24 COL+JMU+IVALDES estanque 41.xlsx</t>
  </si>
  <si>
    <t>Marca levadura</t>
  </si>
  <si>
    <t>IOC R 9008</t>
  </si>
  <si>
    <t>Siembra</t>
  </si>
  <si>
    <t>ESTIMACIÓN 100.000 L CON LOS 4 SETS DE DATOS</t>
  </si>
  <si>
    <t>-</t>
  </si>
  <si>
    <t>No muy bueno</t>
  </si>
  <si>
    <t>Bueno para los sets, no perfecto</t>
  </si>
  <si>
    <t>X0</t>
  </si>
  <si>
    <t>N0</t>
  </si>
  <si>
    <t>G0/F0</t>
  </si>
  <si>
    <t>Cantidad de datos en el perfil de azúcares</t>
  </si>
  <si>
    <t>Relativamente bueno (excepto el primero)</t>
  </si>
  <si>
    <t>N de datos</t>
  </si>
  <si>
    <t>CS-SY</t>
  </si>
  <si>
    <t>CS-ME</t>
  </si>
  <si>
    <t>CS-CA</t>
  </si>
  <si>
    <t>SY-ME</t>
  </si>
  <si>
    <t>SY-CA</t>
  </si>
  <si>
    <t>ME-CA</t>
  </si>
  <si>
    <t>t</t>
  </si>
  <si>
    <t>N fermentaciones</t>
  </si>
  <si>
    <t>df</t>
  </si>
  <si>
    <t>dfi</t>
  </si>
  <si>
    <t>N° params</t>
  </si>
  <si>
    <t>p-value</t>
  </si>
  <si>
    <t>100 K</t>
  </si>
  <si>
    <t>52,4 K</t>
  </si>
  <si>
    <t>100 - 52,4</t>
  </si>
  <si>
    <t>Data CA 25 VAL estanque 38.xlsx</t>
  </si>
  <si>
    <t>Data ME 24 QAGUA estanque 48.xlsx</t>
  </si>
  <si>
    <t>Data ME 25 Q. AGUA estanque 40.xlsx</t>
  </si>
  <si>
    <t>Data SY 24 LOU estanque 41.xlsx</t>
  </si>
  <si>
    <t>Data ME 25 Q. AGUA estanque 45.xlsx</t>
  </si>
  <si>
    <t>Data CA 25 LOU estanque 150.xlsx</t>
  </si>
  <si>
    <t>Data ME 25 Q. AGUA estanque 147</t>
  </si>
  <si>
    <t>Data ME 25 Q. AGUA estanque 171.xlsx</t>
  </si>
  <si>
    <t>Data SY 24 LOU estanque 152.xlsx</t>
  </si>
  <si>
    <t>Data SY 25 LOU estanque 142.xlsx</t>
  </si>
  <si>
    <t>Data SY 25 LOU + VAL estanque 156.xlsx</t>
  </si>
  <si>
    <t>IOC R 9009</t>
  </si>
  <si>
    <t>Promedio tot</t>
  </si>
  <si>
    <t>Desv. Est. 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</si>
</sst>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  <numFmt numFmtId="176" formatCode="#,##0.00000"/>
    <numFmt numFmtId="177" formatCode="0.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92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70" fontId="0" fillId="9" borderId="1" xfId="0" applyNumberFormat="1" applyFill="1" applyBorder="1"/>
    <xf numFmtId="9" fontId="0" fillId="0" borderId="3" xfId="0" applyNumberFormat="1" applyBorder="1"/>
    <xf numFmtId="9" fontId="0" fillId="0" borderId="6" xfId="0" applyNumberFormat="1" applyBorder="1"/>
    <xf numFmtId="9" fontId="0" fillId="0" borderId="0" xfId="0" applyNumberFormat="1"/>
    <xf numFmtId="168" fontId="0" fillId="9" borderId="1" xfId="0" applyNumberFormat="1" applyFill="1" applyBorder="1"/>
    <xf numFmtId="168" fontId="0" fillId="0" borderId="10" xfId="0" applyNumberFormat="1" applyBorder="1"/>
    <xf numFmtId="0" fontId="0" fillId="11" borderId="1" xfId="0" applyFill="1" applyBorder="1"/>
    <xf numFmtId="0" fontId="0" fillId="11" borderId="6" xfId="0" applyFill="1" applyBorder="1"/>
    <xf numFmtId="172" fontId="0" fillId="9" borderId="1" xfId="0" applyNumberFormat="1" applyFill="1" applyBorder="1"/>
    <xf numFmtId="0" fontId="0" fillId="12" borderId="1" xfId="0" applyFill="1" applyBorder="1"/>
    <xf numFmtId="168" fontId="0" fillId="11" borderId="1" xfId="0" applyNumberFormat="1" applyFill="1" applyBorder="1"/>
    <xf numFmtId="9" fontId="0" fillId="0" borderId="21" xfId="0" applyNumberFormat="1" applyBorder="1"/>
    <xf numFmtId="165" fontId="0" fillId="0" borderId="21" xfId="0" applyNumberFormat="1" applyBorder="1"/>
    <xf numFmtId="0" fontId="0" fillId="0" borderId="29" xfId="0" applyBorder="1"/>
    <xf numFmtId="0" fontId="1" fillId="4" borderId="31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 wrapText="1"/>
    </xf>
    <xf numFmtId="0" fontId="1" fillId="4" borderId="3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 vertical="center"/>
    </xf>
    <xf numFmtId="168" fontId="0" fillId="0" borderId="21" xfId="0" applyNumberFormat="1" applyBorder="1"/>
    <xf numFmtId="0" fontId="0" fillId="7" borderId="0" xfId="0" applyFill="1"/>
    <xf numFmtId="176" fontId="0" fillId="0" borderId="3" xfId="0" applyNumberFormat="1" applyBorder="1"/>
    <xf numFmtId="176" fontId="0" fillId="0" borderId="1" xfId="0" applyNumberFormat="1" applyBorder="1"/>
    <xf numFmtId="177" fontId="0" fillId="0" borderId="1" xfId="0" applyNumberFormat="1" applyBorder="1"/>
    <xf numFmtId="0" fontId="3" fillId="12" borderId="1" xfId="0" applyFont="1" applyFill="1" applyBorder="1"/>
    <xf numFmtId="0" fontId="0" fillId="13" borderId="1" xfId="0" applyFill="1" applyBorder="1"/>
    <xf numFmtId="0" fontId="0" fillId="14" borderId="1" xfId="0" applyFill="1" applyBorder="1"/>
    <xf numFmtId="170" fontId="0" fillId="12" borderId="1" xfId="0" applyNumberFormat="1" applyFill="1" applyBorder="1"/>
    <xf numFmtId="170" fontId="0" fillId="13" borderId="1" xfId="0" applyNumberFormat="1" applyFill="1" applyBorder="1"/>
    <xf numFmtId="170" fontId="0" fillId="14" borderId="1" xfId="0" applyNumberFormat="1" applyFill="1" applyBorder="1"/>
    <xf numFmtId="170" fontId="0" fillId="3" borderId="1" xfId="0" applyNumberFormat="1" applyFill="1" applyBorder="1"/>
    <xf numFmtId="176" fontId="0" fillId="0" borderId="0" xfId="0" applyNumberFormat="1"/>
    <xf numFmtId="176" fontId="0" fillId="0" borderId="21" xfId="0" applyNumberFormat="1" applyBorder="1"/>
    <xf numFmtId="0" fontId="1" fillId="4" borderId="30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77" fontId="0" fillId="0" borderId="6" xfId="0" applyNumberFormat="1" applyBorder="1"/>
    <xf numFmtId="177" fontId="0" fillId="0" borderId="21" xfId="0" applyNumberFormat="1" applyBorder="1"/>
    <xf numFmtId="176" fontId="0" fillId="0" borderId="6" xfId="0" applyNumberFormat="1" applyBorder="1"/>
    <xf numFmtId="177" fontId="0" fillId="0" borderId="3" xfId="0" applyNumberFormat="1" applyBorder="1"/>
    <xf numFmtId="177" fontId="0" fillId="15" borderId="1" xfId="0" applyNumberFormat="1" applyFill="1" applyBorder="1"/>
    <xf numFmtId="177" fontId="0" fillId="15" borderId="3" xfId="0" applyNumberFormat="1" applyFill="1" applyBorder="1"/>
    <xf numFmtId="177" fontId="0" fillId="15" borderId="6" xfId="0" applyNumberFormat="1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7" fontId="0" fillId="0" borderId="0" xfId="0" applyNumberFormat="1"/>
    <xf numFmtId="0" fontId="1" fillId="4" borderId="3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177" fontId="0" fillId="0" borderId="1" xfId="0" applyNumberFormat="1" applyFill="1" applyBorder="1"/>
    <xf numFmtId="176" fontId="0" fillId="0" borderId="1" xfId="0" applyNumberFormat="1" applyFill="1" applyBorder="1"/>
  </cellXfs>
  <cellStyles count="2">
    <cellStyle name="Normal" xfId="0" builtinId="0"/>
    <cellStyle name="Porcentaje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  <cx:data id="1">
      <cx:numDim type="val">
        <cx:f>_xlchart.v1.15</cx:f>
      </cx:numDim>
    </cx:data>
    <cx:data id="2">
      <cx:numDim type="val">
        <cx:f>_xlchart.v1.12</cx:f>
      </cx:numDim>
    </cx:data>
    <cx:data id="3">
      <cx:numDim type="val">
        <cx:f>_xlchart.v1.13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mu0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_xlchart.v1.10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_xlchart.v1.11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_xlchart.v1.8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_xlchart.v1.9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  <cx:data id="1">
      <cx:numDim type="val">
        <cx:f>_xlchart.v1.47</cx:f>
      </cx:numDim>
    </cx:data>
    <cx:data id="2">
      <cx:numDim type="val">
        <cx:f>_xlchart.v1.44</cx:f>
      </cx:numDim>
    </cx:data>
    <cx:data id="3">
      <cx:numDim type="val">
        <cx:f>_xlchart.v1.45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betaG0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_xlchart.v1.42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_xlchart.v1.43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_xlchart.v1.40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_xlchart.v1.41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  <cx:data id="1">
      <cx:numDim type="val">
        <cx:f>_xlchart.v1.23</cx:f>
      </cx:numDim>
    </cx:data>
    <cx:data id="2">
      <cx:numDim type="val">
        <cx:f>_xlchart.v1.20</cx:f>
      </cx:numDim>
    </cx:data>
    <cx:data id="3">
      <cx:numDim type="val">
        <cx:f>_xlchart.v1.21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betaF0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_xlchart.v1.18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_xlchart.v1.19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_xlchart.v1.16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_xlchart.v1.17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  <cx:data id="1">
      <cx:numDim type="val">
        <cx:f>_xlchart.v1.3</cx:f>
      </cx:numDim>
    </cx:data>
    <cx:data id="2">
      <cx:numDim type="val">
        <cx:f>_xlchart.v1.0</cx:f>
      </cx:numDim>
    </cx:data>
    <cx:data id="3">
      <cx:numDim type="val">
        <cx:f>_xlchart.v1.1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_xlchart.v1.6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_xlchart.v1.7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_xlchart.v1.4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_xlchart.v1.5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_xlchart.v1.26</cx:f>
      </cx:numDim>
    </cx:data>
    <cx:data id="1">
      <cx:numDim type="val">
        <cx:f>_xlchart.v1.27</cx:f>
      </cx:numDim>
    </cx:data>
    <cx:data id="2">
      <cx:numDim type="val">
        <cx:f>_xlchart.v1.24</cx:f>
      </cx:numDim>
    </cx:data>
    <cx:data id="3">
      <cx:numDim type="val">
        <cx:f>_xlchart.v1.25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_xlchart.v1.30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_xlchart.v1.31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_xlchart.v1.28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_xlchart.v1.29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_xlchart.v1.50</cx:f>
      </cx:numDim>
    </cx:data>
    <cx:data id="1">
      <cx:numDim type="val">
        <cx:f>_xlchart.v1.51</cx:f>
      </cx:numDim>
    </cx:data>
    <cx:data id="2">
      <cx:numDim type="val">
        <cx:f>_xlchart.v1.48</cx:f>
      </cx:numDim>
    </cx:data>
    <cx:data id="3">
      <cx:numDim type="val">
        <cx:f>_xlchart.v1.49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_xlchart.v1.54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_xlchart.v1.55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_xlchart.v1.52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_xlchart.v1.53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_xlchart.v1.34</cx:f>
      </cx:numDim>
    </cx:data>
    <cx:data id="1">
      <cx:numDim type="val">
        <cx:f>_xlchart.v1.35</cx:f>
      </cx:numDim>
    </cx:data>
    <cx:data id="2">
      <cx:numDim type="val">
        <cx:f>_xlchart.v1.32</cx:f>
      </cx:numDim>
    </cx:data>
    <cx:data id="3">
      <cx:numDim type="val">
        <cx:f>_xlchart.v1.33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Yef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_xlchart.v1.38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_xlchart.v1.39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_xlchart.v1.36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_xlchart.v1.37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_xlchart.v1.79</cx:f>
      </cx:numDim>
    </cx:data>
    <cx:data id="1">
      <cx:numDim type="val">
        <cx:f>_xlchart.v1.78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mu0</a:t>
          </a:r>
        </a:p>
      </cx:txPr>
    </cx:title>
    <cx:plotArea>
      <cx:plotAreaRegion>
        <cx:series layoutId="boxWhisker" uniqueId="{00000002-E411-4A17-ACBC-7FA0056DB477}">
          <cx:tx>
            <cx:txData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_xlchart.v1.96</cx:f>
      </cx:numDim>
    </cx:data>
    <cx:data id="1">
      <cx:numDim type="val">
        <cx:f>_xlchart.v1.95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betaG0</a:t>
          </a:r>
        </a:p>
      </cx:txPr>
    </cx:title>
    <cx:plotArea>
      <cx:plotAreaRegion>
        <cx:series layoutId="boxWhisker" uniqueId="{00000002-E411-4A17-ACBC-7FA0056DB477}">
          <cx:tx>
            <cx:txData>
              <cx:f/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f/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_xlchart.v1.100</cx:f>
      </cx:numDim>
    </cx:data>
    <cx:data id="1">
      <cx:numDim type="val">
        <cx:f>_xlchart.v1.99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betaF0</a:t>
          </a:r>
        </a:p>
      </cx:txPr>
    </cx:title>
    <cx:plotArea>
      <cx:plotAreaRegion>
        <cx:series layoutId="boxWhisker" uniqueId="{00000002-E411-4A17-ACBC-7FA0056DB477}">
          <cx:tx>
            <cx:txData>
              <cx:f/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f/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_xlchart.v1.90</cx:f>
      </cx:numDim>
    </cx:data>
    <cx:data id="1">
      <cx:numDim type="val">
        <cx:f>_xlchart.v1.89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0000002-E411-4A17-ACBC-7FA0056DB477}">
          <cx:tx>
            <cx:txData>
              <cx:f/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f/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_xlchart.v1.104</cx:f>
      </cx:numDim>
    </cx:data>
    <cx:data id="1">
      <cx:numDim type="val">
        <cx:f>_xlchart.v1.103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Yxg</a:t>
          </a:r>
        </a:p>
      </cx:txPr>
    </cx:title>
    <cx:plotArea>
      <cx:plotAreaRegion>
        <cx:series layoutId="boxWhisker" uniqueId="{00000002-E411-4A17-ACBC-7FA0056DB477}">
          <cx:tx>
            <cx:txData>
              <cx:f/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f/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_xlchart.v1.84</cx:f>
      </cx:numDim>
    </cx:data>
    <cx:data id="1">
      <cx:numDim type="val">
        <cx:f>_xlchart.v1.83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Yeg</a:t>
          </a:r>
        </a:p>
      </cx:txPr>
    </cx:title>
    <cx:plotArea>
      <cx:plotAreaRegion>
        <cx:series layoutId="boxWhisker" uniqueId="{00000002-E411-4A17-ACBC-7FA0056DB477}">
          <cx:tx>
            <cx:txData>
              <cx:f/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f/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_xlchart.v1.88</cx:f>
      </cx:numDim>
    </cx:data>
    <cx:data id="1">
      <cx:numDim type="val">
        <cx:f>_xlchart.v1.87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Yef</a:t>
          </a:r>
        </a:p>
      </cx:txPr>
    </cx:title>
    <cx:plotArea>
      <cx:plotAreaRegion>
        <cx:series layoutId="boxWhisker" uniqueId="{00000002-E411-4A17-ACBC-7FA0056DB477}">
          <cx:tx>
            <cx:txData>
              <cx:f/>
              <cx:v>52.400 L</cx:v>
            </cx:txData>
          </cx:tx>
          <cx:dataId val="0"/>
          <cx:layoutPr>
            <cx:statistics quartileMethod="exclusive"/>
          </cx:layoutPr>
        </cx:series>
        <cx:series layoutId="boxWhisker" uniqueId="{00000003-E411-4A17-ACBC-7FA0056DB477}">
          <cx:tx>
            <cx:txData>
              <cx:f/>
              <cx:v>100.000 L</cx:v>
            </cx:txData>
          </cx:tx>
          <cx:dataId val="1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14/relationships/chartEx" Target="../charts/chartEx10.xml"/><Relationship Id="rId7" Type="http://schemas.microsoft.com/office/2014/relationships/chartEx" Target="../charts/chartEx14.xml"/><Relationship Id="rId2" Type="http://schemas.microsoft.com/office/2014/relationships/chartEx" Target="../charts/chartEx9.xml"/><Relationship Id="rId1" Type="http://schemas.microsoft.com/office/2014/relationships/chartEx" Target="../charts/chartEx8.xml"/><Relationship Id="rId6" Type="http://schemas.microsoft.com/office/2014/relationships/chartEx" Target="../charts/chartEx13.xml"/><Relationship Id="rId5" Type="http://schemas.microsoft.com/office/2014/relationships/chartEx" Target="../charts/chartEx12.xml"/><Relationship Id="rId4" Type="http://schemas.microsoft.com/office/2014/relationships/chartEx" Target="../charts/chartEx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0</xdr:row>
      <xdr:rowOff>171450</xdr:rowOff>
    </xdr:from>
    <xdr:to>
      <xdr:col>19</xdr:col>
      <xdr:colOff>762000</xdr:colOff>
      <xdr:row>15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D17F1AA-5CAC-17F8-32A4-18B070FAB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19460" y="171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30480</xdr:colOff>
      <xdr:row>1</xdr:row>
      <xdr:rowOff>0</xdr:rowOff>
    </xdr:from>
    <xdr:to>
      <xdr:col>25</xdr:col>
      <xdr:colOff>640080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B9B5737-5D81-4501-A134-319F05FB69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52420" y="1828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739140</xdr:colOff>
      <xdr:row>1</xdr:row>
      <xdr:rowOff>15240</xdr:rowOff>
    </xdr:from>
    <xdr:to>
      <xdr:col>31</xdr:col>
      <xdr:colOff>556260</xdr:colOff>
      <xdr:row>16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9D392375-B3BD-4674-A616-505FB2081E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23480" y="19812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15240</xdr:colOff>
      <xdr:row>16</xdr:row>
      <xdr:rowOff>121920</xdr:rowOff>
    </xdr:from>
    <xdr:to>
      <xdr:col>25</xdr:col>
      <xdr:colOff>624840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A7A557D0-B0FF-48EC-BE98-6D00CD71EB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37180" y="3048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716280</xdr:colOff>
      <xdr:row>16</xdr:row>
      <xdr:rowOff>121920</xdr:rowOff>
    </xdr:from>
    <xdr:to>
      <xdr:col>31</xdr:col>
      <xdr:colOff>533400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0A5DA7EA-77E6-4E60-8718-D773D5AE01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0620" y="3048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7620</xdr:colOff>
      <xdr:row>32</xdr:row>
      <xdr:rowOff>160020</xdr:rowOff>
    </xdr:from>
    <xdr:to>
      <xdr:col>25</xdr:col>
      <xdr:colOff>617220</xdr:colOff>
      <xdr:row>47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65B9822-3CF5-4729-A158-A1504925CC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29560" y="60121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708660</xdr:colOff>
      <xdr:row>32</xdr:row>
      <xdr:rowOff>106680</xdr:rowOff>
    </xdr:from>
    <xdr:to>
      <xdr:col>31</xdr:col>
      <xdr:colOff>525780</xdr:colOff>
      <xdr:row>47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5256B23-129F-439C-9F66-0F89A5C3DA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93000" y="59588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83820</xdr:colOff>
      <xdr:row>17</xdr:row>
      <xdr:rowOff>0</xdr:rowOff>
    </xdr:from>
    <xdr:to>
      <xdr:col>18</xdr:col>
      <xdr:colOff>594360</xdr:colOff>
      <xdr:row>25</xdr:row>
      <xdr:rowOff>129540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A08A1AB5-9423-3C62-F30A-53BBFA3AD8CD}"/>
                </a:ext>
              </a:extLst>
            </xdr:cNvPr>
            <xdr:cNvSpPr txBox="1"/>
          </xdr:nvSpPr>
          <xdr:spPr>
            <a:xfrm>
              <a:off x="11666220" y="310896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̅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e>
                        </m:acc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acc>
                          <m:accPr>
                            <m:chr m:val="̅"/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e>
                        </m:acc>
                      </m:num>
                      <m:den>
                        <m:rad>
                          <m:radPr>
                            <m:degHide m:val="on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</m:den>
                    </m:f>
                  </m:oMath>
                </m:oMathPara>
              </a14:m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𝑑𝑡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1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2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den>
                        </m:f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den>
                        </m:f>
                      </m:den>
                    </m:f>
                  </m:oMath>
                </m:oMathPara>
              </a14:m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;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</m:oMath>
                </m:oMathPara>
              </a14:m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Choice>
      <mc:Fallback xmlns="">
        <xdr:sp macro="" textlink="">
          <xdr:nvSpPr>
            <xdr:cNvPr id="10" name="CuadroTexto 9">
              <a:extLst>
                <a:ext uri="{FF2B5EF4-FFF2-40B4-BE49-F238E27FC236}">
                  <a16:creationId xmlns:a16="http://schemas.microsoft.com/office/drawing/2014/main" id="{A08A1AB5-9423-3C62-F30A-53BBFA3AD8CD}"/>
                </a:ext>
              </a:extLst>
            </xdr:cNvPr>
            <xdr:cNvSpPr txBox="1"/>
          </xdr:nvSpPr>
          <xdr:spPr>
            <a:xfrm>
              <a:off x="11666220" y="310896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r>
                <a:rPr lang="es-MX" sz="1100" b="0" i="0">
                  <a:latin typeface="Cambria Math" panose="02040503050406030204" pitchFamily="18" charset="0"/>
                </a:rPr>
                <a:t>𝑡=((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𝜃_1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 ̅</a:t>
              </a:r>
              <a:r>
                <a:rPr lang="es-MX" sz="1100" b="0" i="0">
                  <a:latin typeface="Cambria Math" panose="02040503050406030204" pitchFamily="18" charset="0"/>
                </a:rPr>
                <a:t>−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(𝜃_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 ̅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)/√(〖</a:t>
              </a:r>
              <a:r>
                <a:rPr lang="es-MX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s-MX" sz="1100" b="0" i="0">
                  <a:latin typeface="Cambria Math" panose="02040503050406030204" pitchFamily="18" charset="0"/>
                </a:rPr>
                <a:t>1〗^2+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〗^2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𝑑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𝑡=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〖𝜎_1〗^2+〖𝜎_2〗^2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/(〖𝜎_1〗^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4/〖𝑑𝑓〗_1 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〖𝜎_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〗^4/〖𝑑𝑓〗_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</a:t>
              </a:r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〖𝑑𝑓〗_1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=𝑛_1−𝑝;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〖𝑑𝑓〗_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=𝑛_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−𝑝</a:t>
              </a:r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320040</xdr:colOff>
      <xdr:row>1</xdr:row>
      <xdr:rowOff>19050</xdr:rowOff>
    </xdr:from>
    <xdr:to>
      <xdr:col>18</xdr:col>
      <xdr:colOff>137160</xdr:colOff>
      <xdr:row>16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E8391786-C6C1-3FAD-CAD2-718D1BBC75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89820" y="20193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510540</xdr:colOff>
      <xdr:row>1</xdr:row>
      <xdr:rowOff>22860</xdr:rowOff>
    </xdr:from>
    <xdr:to>
      <xdr:col>24</xdr:col>
      <xdr:colOff>327660</xdr:colOff>
      <xdr:row>16</xdr:row>
      <xdr:rowOff>22860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6EE1C1-D712-434C-9E45-20CD0BE3B4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057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24</xdr:col>
      <xdr:colOff>533400</xdr:colOff>
      <xdr:row>1</xdr:row>
      <xdr:rowOff>30480</xdr:rowOff>
    </xdr:from>
    <xdr:to>
      <xdr:col>30</xdr:col>
      <xdr:colOff>350520</xdr:colOff>
      <xdr:row>16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DD7747DF-50A1-4AD4-B54D-6107EE0CF9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12940" y="21336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12</xdr:col>
      <xdr:colOff>609600</xdr:colOff>
      <xdr:row>16</xdr:row>
      <xdr:rowOff>121920</xdr:rowOff>
    </xdr:from>
    <xdr:to>
      <xdr:col>17</xdr:col>
      <xdr:colOff>327660</xdr:colOff>
      <xdr:row>25</xdr:row>
      <xdr:rowOff>68580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97C806CF-8247-4195-91E4-3B748B7B7124}"/>
                </a:ext>
              </a:extLst>
            </xdr:cNvPr>
            <xdr:cNvSpPr txBox="1"/>
          </xdr:nvSpPr>
          <xdr:spPr>
            <a:xfrm>
              <a:off x="10279380" y="304800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̅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e>
                        </m:acc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acc>
                          <m:accPr>
                            <m:chr m:val="̅"/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𝜃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e>
                        </m:acc>
                      </m:num>
                      <m:den>
                        <m:rad>
                          <m:radPr>
                            <m:degHide m:val="on"/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</m:den>
                    </m:f>
                  </m:oMath>
                </m:oMathPara>
              </a14:m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𝑑𝑡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1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sSub>
                                      <m:sSubPr>
                                        <m:ctrlP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𝜎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2</m:t>
                                        </m:r>
                                      </m:sub>
                                    </m:sSub>
                                  </m:e>
                                  <m:sup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sub>
                            </m:sSub>
                          </m:den>
                        </m:f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s-MX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MX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sSub>
                              <m:sSubPr>
                                <m:ctrlP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𝑑𝑓</m:t>
                                </m:r>
                              </m:e>
                              <m:sub>
                                <m:r>
                                  <a:rPr lang="es-MX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b>
                            </m:sSub>
                          </m:den>
                        </m:f>
                      </m:den>
                    </m:f>
                  </m:oMath>
                </m:oMathPara>
              </a14:m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;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𝑑𝑓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>
                      <a:rPr lang="es-MX" sz="1100" b="0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𝑝</m:t>
                    </m:r>
                  </m:oMath>
                </m:oMathPara>
              </a14:m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Choice>
      <mc:Fallback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97C806CF-8247-4195-91E4-3B748B7B7124}"/>
                </a:ext>
              </a:extLst>
            </xdr:cNvPr>
            <xdr:cNvSpPr txBox="1"/>
          </xdr:nvSpPr>
          <xdr:spPr>
            <a:xfrm>
              <a:off x="10279380" y="3048000"/>
              <a:ext cx="3680460" cy="159258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s-CL" sz="1100"/>
                <a:t>Ecuaciones:</a:t>
              </a:r>
            </a:p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𝑡=((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𝜃_1 ) ̅</a:t>
              </a:r>
              <a:r>
                <a:rPr lang="es-MX" sz="1100" b="0" i="0">
                  <a:latin typeface="Cambria Math" panose="02040503050406030204" pitchFamily="18" charset="0"/>
                </a:rPr>
                <a:t>−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(𝜃_2 ) ̅)/√(〖</a:t>
              </a:r>
              <a:r>
                <a:rPr lang="es-MX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𝜎_</a:t>
              </a:r>
              <a:r>
                <a:rPr lang="es-MX" sz="1100" b="0" i="0">
                  <a:latin typeface="Cambria Math" panose="02040503050406030204" pitchFamily="18" charset="0"/>
                </a:rPr>
                <a:t>1〗^2+</a:t>
              </a: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〖𝜎_2〗^2 )</a:t>
              </a:r>
              <a:endParaRPr lang="es-CL" sz="1100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𝑑𝑡=(〖𝜎_1〗^2+〖𝜎_2〗^2 )^2/(〖𝜎_1〗^4/〖𝑑𝑓〗_1 +〖𝜎_2〗^4/〖𝑑𝑓〗_2 )</a:t>
              </a:r>
              <a:endParaRPr lang="es-CL">
                <a:effectLst/>
              </a:endParaRP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MX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〖𝑑𝑓〗_1=𝑛_1−𝑝;〖𝑑𝑓〗_2=𝑛_2−𝑝</a:t>
              </a:r>
              <a:endParaRPr lang="es-CL">
                <a:effectLst/>
              </a:endParaRPr>
            </a:p>
            <a:p>
              <a:endParaRPr lang="es-MX" sz="1100" b="0">
                <a:solidFill>
                  <a:schemeClr val="dk1"/>
                </a:solidFill>
                <a:effectLst/>
                <a:ea typeface="+mn-ea"/>
                <a:cs typeface="+mn-cs"/>
              </a:endParaRPr>
            </a:p>
            <a:p>
              <a:endParaRPr lang="es-CL" sz="1100"/>
            </a:p>
          </xdr:txBody>
        </xdr:sp>
      </mc:Fallback>
    </mc:AlternateContent>
    <xdr:clientData/>
  </xdr:twoCellAnchor>
  <xdr:twoCellAnchor>
    <xdr:from>
      <xdr:col>18</xdr:col>
      <xdr:colOff>525780</xdr:colOff>
      <xdr:row>16</xdr:row>
      <xdr:rowOff>160020</xdr:rowOff>
    </xdr:from>
    <xdr:to>
      <xdr:col>24</xdr:col>
      <xdr:colOff>342900</xdr:colOff>
      <xdr:row>31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AD2E00AF-FB1B-430D-9BC3-16CDD84EA8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0440" y="30861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24</xdr:col>
      <xdr:colOff>579120</xdr:colOff>
      <xdr:row>16</xdr:row>
      <xdr:rowOff>160020</xdr:rowOff>
    </xdr:from>
    <xdr:to>
      <xdr:col>30</xdr:col>
      <xdr:colOff>396240</xdr:colOff>
      <xdr:row>31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EB06B60-13EA-4380-BF00-18C3313C8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58660" y="30861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541020</xdr:colOff>
      <xdr:row>32</xdr:row>
      <xdr:rowOff>114300</xdr:rowOff>
    </xdr:from>
    <xdr:to>
      <xdr:col>24</xdr:col>
      <xdr:colOff>358140</xdr:colOff>
      <xdr:row>47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DFF78232-9E9B-4522-999C-C03B095DBF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65680" y="596646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24</xdr:col>
      <xdr:colOff>556260</xdr:colOff>
      <xdr:row>32</xdr:row>
      <xdr:rowOff>129540</xdr:rowOff>
    </xdr:from>
    <xdr:to>
      <xdr:col>30</xdr:col>
      <xdr:colOff>373380</xdr:colOff>
      <xdr:row>47</xdr:row>
      <xdr:rowOff>129540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8F547F8-95BC-4CEF-84A6-1EAC356B92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735800" y="59817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70" t="s">
        <v>1</v>
      </c>
      <c r="C2" s="269" t="s">
        <v>2</v>
      </c>
      <c r="D2" s="269"/>
      <c r="E2" s="269"/>
      <c r="F2" s="269"/>
      <c r="G2" s="272" t="s">
        <v>12</v>
      </c>
      <c r="H2" s="272" t="s">
        <v>9</v>
      </c>
      <c r="I2" s="272" t="s">
        <v>10</v>
      </c>
      <c r="J2" s="267" t="s">
        <v>6</v>
      </c>
      <c r="L2" t="s">
        <v>14</v>
      </c>
    </row>
    <row r="3" spans="1:12" ht="15" thickBot="1" x14ac:dyDescent="0.35">
      <c r="B3" s="271"/>
      <c r="C3" s="16" t="s">
        <v>3</v>
      </c>
      <c r="D3" s="16" t="s">
        <v>4</v>
      </c>
      <c r="E3" s="7" t="s">
        <v>30</v>
      </c>
      <c r="F3" s="7" t="s">
        <v>29</v>
      </c>
      <c r="G3" s="273"/>
      <c r="H3" s="273"/>
      <c r="I3" s="273"/>
      <c r="J3" s="274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70" t="s">
        <v>1</v>
      </c>
      <c r="C71" s="269" t="s">
        <v>2</v>
      </c>
      <c r="D71" s="269"/>
      <c r="E71" s="269"/>
      <c r="F71" s="269"/>
      <c r="G71" s="272" t="s">
        <v>12</v>
      </c>
      <c r="H71" s="272" t="s">
        <v>9</v>
      </c>
      <c r="I71" s="272" t="s">
        <v>10</v>
      </c>
      <c r="J71" s="267" t="s">
        <v>6</v>
      </c>
    </row>
    <row r="72" spans="1:12" ht="15" thickBot="1" x14ac:dyDescent="0.35">
      <c r="B72" s="275"/>
      <c r="C72" s="7" t="s">
        <v>3</v>
      </c>
      <c r="D72" s="7" t="s">
        <v>4</v>
      </c>
      <c r="E72" s="7" t="s">
        <v>30</v>
      </c>
      <c r="F72" s="7" t="s">
        <v>29</v>
      </c>
      <c r="G72" s="276"/>
      <c r="H72" s="276"/>
      <c r="I72" s="276"/>
      <c r="J72" s="268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81" t="s">
        <v>1</v>
      </c>
      <c r="C2" s="284" t="s">
        <v>2</v>
      </c>
      <c r="D2" s="284"/>
      <c r="E2" s="284"/>
      <c r="F2" s="284"/>
      <c r="G2" s="281" t="s">
        <v>9</v>
      </c>
      <c r="H2" s="281" t="s">
        <v>6</v>
      </c>
      <c r="I2" s="281" t="s">
        <v>34</v>
      </c>
      <c r="N2" s="281" t="s">
        <v>40</v>
      </c>
      <c r="O2" s="282" t="s">
        <v>1</v>
      </c>
      <c r="P2" s="278" t="s">
        <v>2</v>
      </c>
      <c r="Q2" s="279"/>
      <c r="R2" s="279"/>
      <c r="S2" s="280"/>
      <c r="T2" s="276" t="s">
        <v>9</v>
      </c>
      <c r="U2" s="276" t="s">
        <v>6</v>
      </c>
      <c r="V2" s="276" t="s">
        <v>34</v>
      </c>
    </row>
    <row r="3" spans="1:23" x14ac:dyDescent="0.3">
      <c r="B3" s="281"/>
      <c r="C3" s="50" t="s">
        <v>3</v>
      </c>
      <c r="D3" s="50" t="s">
        <v>4</v>
      </c>
      <c r="E3" s="50" t="s">
        <v>30</v>
      </c>
      <c r="F3" s="50" t="s">
        <v>29</v>
      </c>
      <c r="G3" s="281"/>
      <c r="H3" s="281"/>
      <c r="I3" s="281"/>
      <c r="N3" s="281"/>
      <c r="O3" s="282"/>
      <c r="P3" s="50" t="s">
        <v>3</v>
      </c>
      <c r="Q3" s="50" t="s">
        <v>4</v>
      </c>
      <c r="R3" s="50" t="s">
        <v>30</v>
      </c>
      <c r="S3" s="50" t="s">
        <v>29</v>
      </c>
      <c r="T3" s="277"/>
      <c r="U3" s="277"/>
      <c r="V3" s="277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81" t="s">
        <v>1</v>
      </c>
      <c r="C21" s="284" t="s">
        <v>2</v>
      </c>
      <c r="D21" s="284"/>
      <c r="E21" s="284"/>
      <c r="F21" s="284"/>
      <c r="G21" s="281" t="s">
        <v>9</v>
      </c>
      <c r="H21" s="281" t="s">
        <v>6</v>
      </c>
      <c r="I21" s="281" t="s">
        <v>34</v>
      </c>
    </row>
    <row r="22" spans="1:11" x14ac:dyDescent="0.3">
      <c r="B22" s="281"/>
      <c r="C22" s="50" t="s">
        <v>3</v>
      </c>
      <c r="D22" s="50" t="s">
        <v>4</v>
      </c>
      <c r="E22" s="50" t="s">
        <v>30</v>
      </c>
      <c r="F22" s="50" t="s">
        <v>29</v>
      </c>
      <c r="G22" s="281"/>
      <c r="H22" s="281"/>
      <c r="I22" s="281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81" t="s">
        <v>1</v>
      </c>
      <c r="C40" s="284" t="s">
        <v>2</v>
      </c>
      <c r="D40" s="284"/>
      <c r="E40" s="284"/>
      <c r="F40" s="284"/>
      <c r="G40" s="281" t="s">
        <v>9</v>
      </c>
      <c r="H40" s="281" t="s">
        <v>6</v>
      </c>
      <c r="I40" s="281" t="s">
        <v>34</v>
      </c>
      <c r="J40" s="283"/>
    </row>
    <row r="41" spans="1:11" x14ac:dyDescent="0.3">
      <c r="B41" s="281"/>
      <c r="C41" s="50" t="s">
        <v>3</v>
      </c>
      <c r="D41" s="50" t="s">
        <v>4</v>
      </c>
      <c r="E41" s="50" t="s">
        <v>30</v>
      </c>
      <c r="F41" s="50" t="s">
        <v>29</v>
      </c>
      <c r="G41" s="281"/>
      <c r="H41" s="281"/>
      <c r="I41" s="281"/>
      <c r="J41" s="283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topLeftCell="A11"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G73"/>
  <sheetViews>
    <sheetView zoomScale="80" zoomScaleNormal="80" workbookViewId="0">
      <selection sqref="A1:A17"/>
    </sheetView>
  </sheetViews>
  <sheetFormatPr baseColWidth="10" defaultRowHeight="14.4" x14ac:dyDescent="0.3"/>
  <cols>
    <col min="1" max="1" width="49.88671875" customWidth="1"/>
    <col min="2" max="2" width="14.77734375" customWidth="1"/>
    <col min="3" max="3" width="19.21875" customWidth="1"/>
    <col min="4" max="4" width="13" customWidth="1"/>
    <col min="8" max="8" width="22.109375" customWidth="1"/>
    <col min="10" max="10" width="16.33203125" customWidth="1"/>
    <col min="13" max="13" width="13.33203125" customWidth="1"/>
    <col min="14" max="15" width="13.33203125" bestFit="1" customWidth="1"/>
    <col min="16" max="16" width="12.44140625" bestFit="1" customWidth="1"/>
    <col min="18" max="18" width="13" customWidth="1"/>
    <col min="21" max="21" width="12.44140625" bestFit="1" customWidth="1"/>
    <col min="23" max="24" width="12.44140625" bestFit="1" customWidth="1"/>
    <col min="26" max="27" width="12.44140625" bestFit="1" customWidth="1"/>
  </cols>
  <sheetData>
    <row r="1" spans="1:33" ht="36" customHeight="1" thickBot="1" x14ac:dyDescent="0.35">
      <c r="A1" s="248" t="s">
        <v>132</v>
      </c>
      <c r="B1" s="227" t="s">
        <v>45</v>
      </c>
      <c r="C1" s="225" t="s">
        <v>109</v>
      </c>
      <c r="D1" s="227" t="s">
        <v>150</v>
      </c>
      <c r="E1" s="227" t="s">
        <v>157</v>
      </c>
      <c r="F1" s="227" t="s">
        <v>158</v>
      </c>
      <c r="G1" s="227" t="s">
        <v>159</v>
      </c>
      <c r="H1" s="227" t="s">
        <v>160</v>
      </c>
      <c r="I1" s="225" t="s">
        <v>47</v>
      </c>
      <c r="J1" s="225" t="s">
        <v>46</v>
      </c>
      <c r="K1" s="225" t="s">
        <v>48</v>
      </c>
      <c r="L1" s="225" t="s">
        <v>49</v>
      </c>
      <c r="M1" s="225" t="s">
        <v>50</v>
      </c>
      <c r="N1" s="227" t="s">
        <v>104</v>
      </c>
      <c r="O1" s="227" t="s">
        <v>9</v>
      </c>
      <c r="P1" s="227" t="s">
        <v>6</v>
      </c>
      <c r="Q1" s="227" t="s">
        <v>34</v>
      </c>
      <c r="R1" s="227" t="s">
        <v>113</v>
      </c>
      <c r="S1" s="249" t="s">
        <v>52</v>
      </c>
      <c r="T1" s="249" t="s">
        <v>53</v>
      </c>
      <c r="U1" s="249" t="s">
        <v>54</v>
      </c>
      <c r="V1" s="250" t="s">
        <v>55</v>
      </c>
      <c r="W1" s="250" t="s">
        <v>56</v>
      </c>
      <c r="X1" s="250" t="s">
        <v>57</v>
      </c>
      <c r="Y1" s="250" t="s">
        <v>58</v>
      </c>
      <c r="Z1" s="250" t="s">
        <v>59</v>
      </c>
      <c r="AA1" s="250" t="s">
        <v>60</v>
      </c>
      <c r="AB1" s="249" t="s">
        <v>61</v>
      </c>
      <c r="AC1" s="249" t="s">
        <v>65</v>
      </c>
      <c r="AD1" s="251" t="s">
        <v>62</v>
      </c>
      <c r="AE1" s="249" t="s">
        <v>63</v>
      </c>
      <c r="AF1" s="252" t="s">
        <v>64</v>
      </c>
    </row>
    <row r="2" spans="1:33" x14ac:dyDescent="0.3">
      <c r="A2" s="8" t="s">
        <v>112</v>
      </c>
      <c r="B2" s="9" t="s">
        <v>70</v>
      </c>
      <c r="C2" s="9" t="s">
        <v>110</v>
      </c>
      <c r="D2" s="9" t="s">
        <v>151</v>
      </c>
      <c r="E2" s="9">
        <v>3.703E-2</v>
      </c>
      <c r="F2" s="9">
        <v>0.12959000000000001</v>
      </c>
      <c r="G2" s="236">
        <v>121.17482</v>
      </c>
      <c r="H2" s="9">
        <v>62</v>
      </c>
      <c r="I2" s="9">
        <v>1000</v>
      </c>
      <c r="J2" s="9">
        <v>25</v>
      </c>
      <c r="K2" s="9">
        <v>1.5</v>
      </c>
      <c r="L2" s="9">
        <v>1.5</v>
      </c>
      <c r="M2" s="9">
        <v>0.7</v>
      </c>
      <c r="N2" s="212">
        <v>0.01</v>
      </c>
      <c r="O2" s="9">
        <v>9.1703383080884396E-4</v>
      </c>
      <c r="P2" s="9">
        <f>12*60+42.48</f>
        <v>762.48</v>
      </c>
      <c r="Q2" s="66">
        <f t="shared" ref="Q2:Q10" si="0">P2/60</f>
        <v>12.708</v>
      </c>
      <c r="R2" s="9">
        <v>1001</v>
      </c>
      <c r="S2" s="9">
        <v>4.94801127619185E-2</v>
      </c>
      <c r="T2" s="40">
        <v>2.8123834061945798</v>
      </c>
      <c r="U2" s="9">
        <v>0.99007892976186596</v>
      </c>
      <c r="V2" s="68">
        <v>9.6469999999999993E-3</v>
      </c>
      <c r="W2" s="68">
        <v>8.5518540000000005</v>
      </c>
      <c r="X2" s="68">
        <v>7.1656500000000003</v>
      </c>
      <c r="Y2" s="68">
        <v>44.150669999999998</v>
      </c>
      <c r="Z2" s="68">
        <v>42.528283999999999</v>
      </c>
      <c r="AA2" s="68">
        <v>1E-4</v>
      </c>
      <c r="AB2" s="40">
        <v>6.5145360017396499</v>
      </c>
      <c r="AC2" s="40">
        <v>4.8258843066456301</v>
      </c>
      <c r="AD2" s="68">
        <v>1.6426339999999999</v>
      </c>
      <c r="AE2" s="9">
        <v>0.17887038422377</v>
      </c>
      <c r="AF2" s="11">
        <v>0.96760882811171001</v>
      </c>
    </row>
    <row r="3" spans="1:33" x14ac:dyDescent="0.3">
      <c r="A3" s="12" t="s">
        <v>18</v>
      </c>
      <c r="B3" s="2" t="s">
        <v>70</v>
      </c>
      <c r="C3" s="2" t="s">
        <v>110</v>
      </c>
      <c r="D3" s="2" t="s">
        <v>151</v>
      </c>
      <c r="E3" s="238">
        <v>3.2579999999999998E-2</v>
      </c>
      <c r="F3" s="238">
        <v>0.14119999999999999</v>
      </c>
      <c r="G3" s="238">
        <v>122.21625</v>
      </c>
      <c r="H3" s="2">
        <v>48</v>
      </c>
      <c r="I3" s="2">
        <v>1000</v>
      </c>
      <c r="J3" s="2">
        <v>25</v>
      </c>
      <c r="K3" s="2">
        <v>1.5</v>
      </c>
      <c r="L3" s="2">
        <v>1.5</v>
      </c>
      <c r="M3" s="2">
        <v>0.7</v>
      </c>
      <c r="N3" s="208">
        <v>0.01</v>
      </c>
      <c r="O3" s="217">
        <v>5.3728371690244599E-4</v>
      </c>
      <c r="P3" s="58">
        <f>3*60+57.5</f>
        <v>237.5</v>
      </c>
      <c r="Q3" s="51">
        <f t="shared" si="0"/>
        <v>3.9583333333333335</v>
      </c>
      <c r="R3" s="2">
        <v>187</v>
      </c>
      <c r="S3" s="220">
        <v>0.17572710819101101</v>
      </c>
      <c r="T3" s="2">
        <v>0.92101837173550205</v>
      </c>
      <c r="U3" s="28">
        <v>7.00299601712093</v>
      </c>
      <c r="V3" s="64">
        <v>9.6469999999999993E-3</v>
      </c>
      <c r="W3" s="64">
        <v>8.5518540000000005</v>
      </c>
      <c r="X3" s="64">
        <v>7.1656500000000003</v>
      </c>
      <c r="Y3" s="64">
        <v>44.150669999999998</v>
      </c>
      <c r="Z3" s="64">
        <v>42.528283999999999</v>
      </c>
      <c r="AA3" s="64">
        <v>1E-4</v>
      </c>
      <c r="AB3" s="28">
        <v>1.4245541826203501</v>
      </c>
      <c r="AC3" s="28">
        <v>8.4950237560708608</v>
      </c>
      <c r="AD3" s="64">
        <v>1.6426339999999999</v>
      </c>
      <c r="AE3" s="2">
        <v>0.151063418330069</v>
      </c>
      <c r="AF3" s="146">
        <v>0.80636650349953598</v>
      </c>
    </row>
    <row r="4" spans="1:33" x14ac:dyDescent="0.3">
      <c r="A4" s="12" t="s">
        <v>111</v>
      </c>
      <c r="B4" s="2" t="s">
        <v>70</v>
      </c>
      <c r="C4" s="2" t="s">
        <v>110</v>
      </c>
      <c r="D4" s="2" t="s">
        <v>151</v>
      </c>
      <c r="E4" s="257">
        <v>5.9499999999999997E-2</v>
      </c>
      <c r="F4" s="2">
        <v>0.23386000000000001</v>
      </c>
      <c r="G4" s="237">
        <v>118.59993</v>
      </c>
      <c r="H4" s="2">
        <v>47</v>
      </c>
      <c r="I4" s="2">
        <v>1000</v>
      </c>
      <c r="J4" s="2">
        <v>25</v>
      </c>
      <c r="K4" s="2">
        <v>1.5</v>
      </c>
      <c r="L4" s="2">
        <v>1.5</v>
      </c>
      <c r="M4" s="2">
        <v>0.7</v>
      </c>
      <c r="N4" s="208">
        <v>0.01</v>
      </c>
      <c r="O4" s="2">
        <v>2.5958116203005401E-3</v>
      </c>
      <c r="P4" s="2">
        <f>60+20.57</f>
        <v>80.569999999999993</v>
      </c>
      <c r="Q4" s="51">
        <f t="shared" si="0"/>
        <v>1.3428333333333333</v>
      </c>
      <c r="R4" s="2">
        <v>160</v>
      </c>
      <c r="S4" s="2">
        <v>7.1635567882672502E-2</v>
      </c>
      <c r="T4" s="2">
        <v>0.336854386443387</v>
      </c>
      <c r="U4" s="28">
        <v>9.9287094723392109</v>
      </c>
      <c r="V4" s="64">
        <v>9.6469999999999993E-3</v>
      </c>
      <c r="W4" s="64">
        <v>8.5518540000000005</v>
      </c>
      <c r="X4" s="64">
        <v>7.1656500000000003</v>
      </c>
      <c r="Y4" s="64">
        <v>44.150669999999998</v>
      </c>
      <c r="Z4" s="64">
        <v>42.528283999999999</v>
      </c>
      <c r="AA4" s="64">
        <v>1E-4</v>
      </c>
      <c r="AB4" s="28">
        <v>2.53053621555713</v>
      </c>
      <c r="AC4" s="28">
        <v>5.1700245636405597</v>
      </c>
      <c r="AD4" s="64">
        <v>1.6426339999999999</v>
      </c>
      <c r="AE4" s="2">
        <v>0.10430418240273399</v>
      </c>
      <c r="AF4" s="13">
        <v>0.57638438653270396</v>
      </c>
      <c r="AG4" t="s">
        <v>114</v>
      </c>
    </row>
    <row r="5" spans="1:33" ht="15" thickBot="1" x14ac:dyDescent="0.35">
      <c r="A5" s="15" t="s">
        <v>115</v>
      </c>
      <c r="B5" s="6" t="s">
        <v>70</v>
      </c>
      <c r="C5" s="6" t="s">
        <v>110</v>
      </c>
      <c r="D5" s="6" t="s">
        <v>151</v>
      </c>
      <c r="E5" s="253">
        <v>5.79E-2</v>
      </c>
      <c r="F5" s="253">
        <v>0.17011000000000001</v>
      </c>
      <c r="G5" s="253">
        <v>116.79993</v>
      </c>
      <c r="H5" s="6">
        <v>46</v>
      </c>
      <c r="I5" s="6">
        <v>1000</v>
      </c>
      <c r="J5" s="6">
        <v>25</v>
      </c>
      <c r="K5" s="6">
        <v>1.5</v>
      </c>
      <c r="L5" s="6">
        <v>1.5</v>
      </c>
      <c r="M5" s="6">
        <v>0.7</v>
      </c>
      <c r="N5" s="213">
        <v>0.01</v>
      </c>
      <c r="O5" s="6">
        <v>1.28824834718083E-3</v>
      </c>
      <c r="P5" s="6">
        <f>60+59.04</f>
        <v>119.03999999999999</v>
      </c>
      <c r="Q5" s="172">
        <f t="shared" si="0"/>
        <v>1.9839999999999998</v>
      </c>
      <c r="R5" s="6">
        <v>212</v>
      </c>
      <c r="S5" s="6">
        <v>7.2350665902395805E-2</v>
      </c>
      <c r="T5" s="6">
        <v>1.661370709394</v>
      </c>
      <c r="U5" s="131">
        <v>5.27666352393301</v>
      </c>
      <c r="V5" s="130">
        <v>9.6469999999999993E-3</v>
      </c>
      <c r="W5" s="130">
        <v>8.5518540000000005</v>
      </c>
      <c r="X5" s="130">
        <v>7.1656500000000003</v>
      </c>
      <c r="Y5" s="130">
        <v>44.150669999999998</v>
      </c>
      <c r="Z5" s="130">
        <v>42.528283999999999</v>
      </c>
      <c r="AA5" s="130">
        <v>1E-4</v>
      </c>
      <c r="AB5" s="131">
        <v>3.56670862546062</v>
      </c>
      <c r="AC5" s="131">
        <v>7.4683228372815602</v>
      </c>
      <c r="AD5" s="130">
        <v>1.6426339999999999</v>
      </c>
      <c r="AE5" s="6">
        <v>0.99391512324229703</v>
      </c>
      <c r="AF5" s="27">
        <v>0.25184995954331102</v>
      </c>
    </row>
    <row r="6" spans="1:33" x14ac:dyDescent="0.3">
      <c r="A6" s="161" t="s">
        <v>117</v>
      </c>
      <c r="B6" s="162" t="s">
        <v>70</v>
      </c>
      <c r="C6" s="162" t="s">
        <v>116</v>
      </c>
      <c r="D6" s="162" t="s">
        <v>151</v>
      </c>
      <c r="E6" s="162">
        <v>6.2909999999999994E-2</v>
      </c>
      <c r="F6" s="162">
        <v>0.14862</v>
      </c>
      <c r="G6" s="247">
        <v>119.32777</v>
      </c>
      <c r="H6" s="162">
        <v>36</v>
      </c>
      <c r="I6" s="162">
        <v>1000</v>
      </c>
      <c r="J6" s="162">
        <v>25</v>
      </c>
      <c r="K6" s="162">
        <v>1.5</v>
      </c>
      <c r="L6" s="162">
        <v>1.5</v>
      </c>
      <c r="M6" s="162">
        <v>0.7</v>
      </c>
      <c r="N6" s="222">
        <v>0.01</v>
      </c>
      <c r="O6" s="162">
        <v>5.45242703721959E-4</v>
      </c>
      <c r="P6" s="162">
        <f>4*60+3.21</f>
        <v>243.21</v>
      </c>
      <c r="Q6" s="76">
        <f t="shared" si="0"/>
        <v>4.0535000000000005</v>
      </c>
      <c r="R6" s="162">
        <v>308</v>
      </c>
      <c r="S6" s="162">
        <v>9.2688582178426501E-2</v>
      </c>
      <c r="T6" s="162">
        <v>0.82698514617913099</v>
      </c>
      <c r="U6" s="223">
        <v>3.3130029661054099</v>
      </c>
      <c r="V6" s="164">
        <v>9.6469999999999993E-3</v>
      </c>
      <c r="W6" s="164">
        <v>8.5518540000000005</v>
      </c>
      <c r="X6" s="164">
        <v>7.1656500000000003</v>
      </c>
      <c r="Y6" s="164">
        <v>44.150669999999998</v>
      </c>
      <c r="Z6" s="164">
        <v>42.528283999999999</v>
      </c>
      <c r="AA6" s="164">
        <v>1E-4</v>
      </c>
      <c r="AB6" s="223">
        <v>3.1433656080569699</v>
      </c>
      <c r="AC6" s="223">
        <v>9.3510696982053094</v>
      </c>
      <c r="AD6" s="164">
        <v>1.6426339999999999</v>
      </c>
      <c r="AE6" s="162">
        <v>0.215128011883576</v>
      </c>
      <c r="AF6" s="224">
        <v>0.58559062847041299</v>
      </c>
      <c r="AG6" t="s">
        <v>92</v>
      </c>
    </row>
    <row r="7" spans="1:33" x14ac:dyDescent="0.3">
      <c r="A7" s="12" t="s">
        <v>118</v>
      </c>
      <c r="B7" s="2" t="s">
        <v>70</v>
      </c>
      <c r="C7" s="2" t="s">
        <v>116</v>
      </c>
      <c r="D7" s="2" t="s">
        <v>151</v>
      </c>
      <c r="E7" s="238">
        <v>2.5499999999999998E-2</v>
      </c>
      <c r="F7" s="2">
        <v>0.14379</v>
      </c>
      <c r="G7" s="237">
        <v>121.05225</v>
      </c>
      <c r="H7" s="2">
        <v>35</v>
      </c>
      <c r="I7" s="2">
        <v>1000</v>
      </c>
      <c r="J7" s="2">
        <v>25</v>
      </c>
      <c r="K7" s="2">
        <v>1.5</v>
      </c>
      <c r="L7" s="2">
        <v>1.5</v>
      </c>
      <c r="M7" s="2">
        <v>0.7</v>
      </c>
      <c r="N7" s="208">
        <v>0.01</v>
      </c>
      <c r="O7" s="217">
        <v>5.1794160110028799E-4</v>
      </c>
      <c r="P7" s="2">
        <f>2*60+31.04</f>
        <v>151.04</v>
      </c>
      <c r="Q7" s="51">
        <f t="shared" si="0"/>
        <v>2.5173333333333332</v>
      </c>
      <c r="R7" s="2">
        <v>136</v>
      </c>
      <c r="S7" s="220">
        <v>0.184225106052644</v>
      </c>
      <c r="T7" s="28">
        <v>2.9503726109964701</v>
      </c>
      <c r="U7" s="28">
        <v>2.0427886845833201</v>
      </c>
      <c r="V7" s="64">
        <v>9.6469999999999993E-3</v>
      </c>
      <c r="W7" s="64">
        <v>8.5518540000000005</v>
      </c>
      <c r="X7" s="64">
        <v>7.1656500000000003</v>
      </c>
      <c r="Y7" s="64">
        <v>44.150669999999998</v>
      </c>
      <c r="Z7" s="64">
        <v>42.528283999999999</v>
      </c>
      <c r="AA7" s="64">
        <v>1E-4</v>
      </c>
      <c r="AB7" s="28">
        <v>4.4918699630599797</v>
      </c>
      <c r="AC7" s="28">
        <v>6.9729048484649603</v>
      </c>
      <c r="AD7" s="64">
        <v>1.6426339999999999</v>
      </c>
      <c r="AE7" s="2">
        <v>0.40447641067149598</v>
      </c>
      <c r="AF7" s="13">
        <v>0.37700283178585597</v>
      </c>
    </row>
    <row r="8" spans="1:33" x14ac:dyDescent="0.3">
      <c r="A8" s="12" t="s">
        <v>119</v>
      </c>
      <c r="B8" s="2" t="s">
        <v>70</v>
      </c>
      <c r="C8" s="2" t="s">
        <v>116</v>
      </c>
      <c r="D8" s="2" t="s">
        <v>151</v>
      </c>
      <c r="E8" s="257">
        <v>5.9499999999999997E-2</v>
      </c>
      <c r="F8" s="2">
        <v>0.28656999999999999</v>
      </c>
      <c r="G8" s="237">
        <v>121.6</v>
      </c>
      <c r="H8" s="2">
        <v>40</v>
      </c>
      <c r="I8" s="2">
        <v>1000</v>
      </c>
      <c r="J8" s="2">
        <v>25</v>
      </c>
      <c r="K8" s="2">
        <v>1.5</v>
      </c>
      <c r="L8" s="2">
        <v>1.5</v>
      </c>
      <c r="M8" s="2">
        <v>0.7</v>
      </c>
      <c r="N8" s="208">
        <v>0.01</v>
      </c>
      <c r="O8" s="2">
        <v>2.6807562214175599E-3</v>
      </c>
      <c r="P8" s="2">
        <f>14*60+48.75</f>
        <v>888.75</v>
      </c>
      <c r="Q8" s="51">
        <f t="shared" si="0"/>
        <v>14.8125</v>
      </c>
      <c r="R8" s="2">
        <v>82</v>
      </c>
      <c r="S8" s="2">
        <v>9.2611654619837794E-2</v>
      </c>
      <c r="T8" s="28">
        <v>2.3968675731176798</v>
      </c>
      <c r="U8" s="28">
        <v>1.02819811558411</v>
      </c>
      <c r="V8" s="64">
        <v>9.6469999999999993E-3</v>
      </c>
      <c r="W8" s="64">
        <v>8.5518540000000005</v>
      </c>
      <c r="X8" s="64">
        <v>7.1656500000000003</v>
      </c>
      <c r="Y8" s="64">
        <v>44.150669999999998</v>
      </c>
      <c r="Z8" s="64">
        <v>42.528283999999999</v>
      </c>
      <c r="AA8" s="64">
        <v>1E-4</v>
      </c>
      <c r="AB8" s="28">
        <v>5.9702543904673604</v>
      </c>
      <c r="AC8" s="28">
        <v>4.5947725392950103</v>
      </c>
      <c r="AD8" s="64">
        <v>1.6426339999999999</v>
      </c>
      <c r="AE8" s="65">
        <v>0.356330797947227</v>
      </c>
      <c r="AF8" s="13">
        <v>0.64854762525253196</v>
      </c>
    </row>
    <row r="9" spans="1:33" ht="15" thickBot="1" x14ac:dyDescent="0.35">
      <c r="A9" s="15" t="s">
        <v>120</v>
      </c>
      <c r="B9" s="6" t="s">
        <v>70</v>
      </c>
      <c r="C9" s="6" t="s">
        <v>116</v>
      </c>
      <c r="D9" s="6" t="s">
        <v>151</v>
      </c>
      <c r="E9" s="6">
        <v>5.1389999999999998E-2</v>
      </c>
      <c r="F9" s="6">
        <v>0.19664999999999999</v>
      </c>
      <c r="G9" s="255">
        <v>118.81677999999999</v>
      </c>
      <c r="H9" s="6">
        <v>35</v>
      </c>
      <c r="I9" s="6">
        <v>1000</v>
      </c>
      <c r="J9" s="6">
        <v>25</v>
      </c>
      <c r="K9" s="6">
        <v>1.5</v>
      </c>
      <c r="L9" s="6">
        <v>1.5</v>
      </c>
      <c r="M9" s="6">
        <v>0.7</v>
      </c>
      <c r="N9" s="213">
        <v>0.01</v>
      </c>
      <c r="O9" s="149">
        <v>2.0583968975858001E-3</v>
      </c>
      <c r="P9" s="6">
        <f>2*60+32.66</f>
        <v>152.66</v>
      </c>
      <c r="Q9" s="172">
        <f t="shared" si="0"/>
        <v>2.5443333333333333</v>
      </c>
      <c r="R9" s="6">
        <v>279</v>
      </c>
      <c r="S9" s="149">
        <v>8.8806501677895E-2</v>
      </c>
      <c r="T9" s="131">
        <v>3.3523979079684798</v>
      </c>
      <c r="U9" s="131">
        <v>3.38237645491412</v>
      </c>
      <c r="V9" s="130">
        <v>9.6469999999999993E-3</v>
      </c>
      <c r="W9" s="130">
        <v>8.5518540000000005</v>
      </c>
      <c r="X9" s="130">
        <v>7.1656500000000003</v>
      </c>
      <c r="Y9" s="130">
        <v>44.150669999999998</v>
      </c>
      <c r="Z9" s="130">
        <v>42.528283999999999</v>
      </c>
      <c r="AA9" s="130">
        <v>1E-4</v>
      </c>
      <c r="AB9" s="131">
        <v>4.6632521409408598</v>
      </c>
      <c r="AC9" s="131">
        <v>3.37161231449543</v>
      </c>
      <c r="AD9" s="130">
        <v>1.6426339999999999</v>
      </c>
      <c r="AE9" s="6">
        <v>0.93668432182181804</v>
      </c>
      <c r="AF9" s="27">
        <v>0.22641692257075399</v>
      </c>
    </row>
    <row r="10" spans="1:33" x14ac:dyDescent="0.3">
      <c r="A10" s="8" t="s">
        <v>121</v>
      </c>
      <c r="B10" s="9" t="s">
        <v>70</v>
      </c>
      <c r="C10" s="9" t="s">
        <v>122</v>
      </c>
      <c r="D10" s="9" t="s">
        <v>151</v>
      </c>
      <c r="E10" s="258">
        <v>5.9499999999999997E-2</v>
      </c>
      <c r="F10" s="256">
        <v>0.14987</v>
      </c>
      <c r="G10" s="236">
        <v>120.99569</v>
      </c>
      <c r="H10" s="162">
        <v>49</v>
      </c>
      <c r="I10" s="9">
        <v>1000</v>
      </c>
      <c r="J10" s="9">
        <v>25</v>
      </c>
      <c r="K10" s="9">
        <v>1.5</v>
      </c>
      <c r="L10" s="9">
        <v>1.5</v>
      </c>
      <c r="M10" s="9">
        <v>0.7</v>
      </c>
      <c r="N10" s="212">
        <v>0.01</v>
      </c>
      <c r="O10" s="191">
        <v>1.0803960696777501E-3</v>
      </c>
      <c r="P10" s="9">
        <f>2*60+6.49</f>
        <v>126.49</v>
      </c>
      <c r="Q10" s="66">
        <f t="shared" si="0"/>
        <v>2.1081666666666665</v>
      </c>
      <c r="R10" s="9">
        <v>305</v>
      </c>
      <c r="S10" s="191">
        <v>2.8278903668067599E-2</v>
      </c>
      <c r="T10" s="40">
        <v>2.38404996610933</v>
      </c>
      <c r="U10" s="40">
        <v>4.4014286023129197</v>
      </c>
      <c r="V10" s="68">
        <v>9.6469999999999993E-3</v>
      </c>
      <c r="W10" s="68">
        <v>8.5518540000000005</v>
      </c>
      <c r="X10" s="68">
        <v>7.1656500000000003</v>
      </c>
      <c r="Y10" s="68">
        <v>44.150669999999998</v>
      </c>
      <c r="Z10" s="68">
        <v>42.528283999999999</v>
      </c>
      <c r="AA10" s="68">
        <v>1E-4</v>
      </c>
      <c r="AB10" s="40">
        <v>1.8014323415062901</v>
      </c>
      <c r="AC10" s="40">
        <v>4.5414411133846002</v>
      </c>
      <c r="AD10" s="68">
        <v>1.6426339999999999</v>
      </c>
      <c r="AE10" s="9">
        <v>0.51124238628788099</v>
      </c>
      <c r="AF10" s="11">
        <v>0.29495795253380303</v>
      </c>
    </row>
    <row r="11" spans="1:33" x14ac:dyDescent="0.3">
      <c r="A11" s="12" t="s">
        <v>123</v>
      </c>
      <c r="B11" s="2" t="s">
        <v>70</v>
      </c>
      <c r="C11" s="2" t="s">
        <v>122</v>
      </c>
      <c r="D11" s="2" t="s">
        <v>151</v>
      </c>
      <c r="E11" s="238">
        <v>3.8530000000000002E-2</v>
      </c>
      <c r="F11" s="238">
        <v>0.14248</v>
      </c>
      <c r="G11" s="237">
        <v>121</v>
      </c>
      <c r="H11" s="2">
        <v>41</v>
      </c>
      <c r="I11" s="2">
        <v>1000</v>
      </c>
      <c r="J11" s="2">
        <v>25</v>
      </c>
      <c r="K11" s="2">
        <v>1.5</v>
      </c>
      <c r="L11" s="2">
        <v>1.5</v>
      </c>
      <c r="M11" s="2">
        <v>0.7</v>
      </c>
      <c r="N11" s="208">
        <v>0.01</v>
      </c>
      <c r="O11" s="217">
        <v>4.3972553486052698E-4</v>
      </c>
      <c r="P11" s="2">
        <f>60+40.41</f>
        <v>100.41</v>
      </c>
      <c r="Q11" s="51">
        <f t="shared" ref="Q11:Q13" si="1">P11/60</f>
        <v>1.6735</v>
      </c>
      <c r="R11" s="2">
        <v>128</v>
      </c>
      <c r="S11" s="2">
        <v>9.22037845501157E-2</v>
      </c>
      <c r="T11" s="28">
        <v>2.6433716459905501</v>
      </c>
      <c r="U11" s="101">
        <v>0.66858669961273698</v>
      </c>
      <c r="V11" s="64">
        <v>9.6469999999999993E-3</v>
      </c>
      <c r="W11" s="64">
        <v>8.5518540000000005</v>
      </c>
      <c r="X11" s="64">
        <v>7.1656500000000003</v>
      </c>
      <c r="Y11" s="64">
        <v>44.150669999999998</v>
      </c>
      <c r="Z11" s="64">
        <v>42.528283999999999</v>
      </c>
      <c r="AA11" s="64">
        <v>1E-4</v>
      </c>
      <c r="AB11" s="28">
        <v>4.1989298495253999</v>
      </c>
      <c r="AC11" s="28">
        <v>6.0398716017856096</v>
      </c>
      <c r="AD11" s="64">
        <v>1.6426339999999999</v>
      </c>
      <c r="AE11" s="2">
        <v>0.51999971548750701</v>
      </c>
      <c r="AF11" s="13">
        <v>0.164395651736431</v>
      </c>
    </row>
    <row r="12" spans="1:33" x14ac:dyDescent="0.3">
      <c r="A12" s="12" t="s">
        <v>124</v>
      </c>
      <c r="B12" s="2" t="s">
        <v>70</v>
      </c>
      <c r="C12" s="2" t="s">
        <v>122</v>
      </c>
      <c r="D12" s="2" t="s">
        <v>151</v>
      </c>
      <c r="E12" s="257">
        <v>5.9499999999999997E-2</v>
      </c>
      <c r="F12" s="238">
        <v>0.1497</v>
      </c>
      <c r="G12" s="237">
        <v>121.38906</v>
      </c>
      <c r="H12" s="2">
        <v>52</v>
      </c>
      <c r="I12" s="2">
        <v>1000</v>
      </c>
      <c r="J12" s="2">
        <v>25</v>
      </c>
      <c r="K12" s="2">
        <v>1.5</v>
      </c>
      <c r="L12" s="2">
        <v>1.5</v>
      </c>
      <c r="M12" s="2">
        <v>0.7</v>
      </c>
      <c r="N12" s="208">
        <v>0.01</v>
      </c>
      <c r="O12" s="2">
        <v>1.24854757679294E-3</v>
      </c>
      <c r="P12" s="2">
        <f>60+2.87</f>
        <v>62.87</v>
      </c>
      <c r="Q12" s="51">
        <f t="shared" si="1"/>
        <v>1.0478333333333334</v>
      </c>
      <c r="R12" s="2">
        <v>131</v>
      </c>
      <c r="S12" s="2">
        <v>2.96311889904202E-2</v>
      </c>
      <c r="T12" s="28">
        <v>1.14071996123754</v>
      </c>
      <c r="U12" s="3">
        <v>9.9999999999877502</v>
      </c>
      <c r="V12" s="64">
        <v>9.6469999999999993E-3</v>
      </c>
      <c r="W12" s="64">
        <v>8.5518540000000005</v>
      </c>
      <c r="X12" s="64">
        <v>7.1656500000000003</v>
      </c>
      <c r="Y12" s="64">
        <v>44.150669999999998</v>
      </c>
      <c r="Z12" s="64">
        <v>42.528283999999999</v>
      </c>
      <c r="AA12" s="64">
        <v>1E-4</v>
      </c>
      <c r="AB12" s="2">
        <v>0.96881493251810902</v>
      </c>
      <c r="AC12" s="28">
        <v>8.9496248051770806</v>
      </c>
      <c r="AD12" s="64">
        <v>1.6426339999999999</v>
      </c>
      <c r="AE12" s="2">
        <v>0.10000481200891199</v>
      </c>
      <c r="AF12" s="13">
        <v>0.80615988242499903</v>
      </c>
    </row>
    <row r="13" spans="1:33" ht="15" thickBot="1" x14ac:dyDescent="0.35">
      <c r="A13" s="15" t="s">
        <v>125</v>
      </c>
      <c r="B13" s="6" t="s">
        <v>70</v>
      </c>
      <c r="C13" s="6" t="s">
        <v>122</v>
      </c>
      <c r="D13" s="6" t="s">
        <v>152</v>
      </c>
      <c r="E13" s="253">
        <v>0.2</v>
      </c>
      <c r="F13" s="253">
        <v>0.15121000000000001</v>
      </c>
      <c r="G13" s="255">
        <v>121.10926000000001</v>
      </c>
      <c r="H13" s="6">
        <v>35</v>
      </c>
      <c r="I13" s="6">
        <v>1000</v>
      </c>
      <c r="J13" s="6">
        <v>25</v>
      </c>
      <c r="K13" s="6">
        <v>1.5</v>
      </c>
      <c r="L13" s="6">
        <v>1.5</v>
      </c>
      <c r="M13" s="6">
        <v>0.7</v>
      </c>
      <c r="N13" s="213">
        <v>0.01</v>
      </c>
      <c r="O13" s="6">
        <v>3.2809640951366801E-3</v>
      </c>
      <c r="P13" s="128">
        <v>42</v>
      </c>
      <c r="Q13" s="172">
        <f t="shared" si="1"/>
        <v>0.7</v>
      </c>
      <c r="R13" s="6">
        <v>75</v>
      </c>
      <c r="S13" s="149">
        <v>4.0822695083438602E-2</v>
      </c>
      <c r="T13" s="131">
        <v>3.9857931809526601</v>
      </c>
      <c r="U13" s="131">
        <v>5.4224424779974996</v>
      </c>
      <c r="V13" s="130">
        <v>9.6469999999999993E-3</v>
      </c>
      <c r="W13" s="130">
        <v>8.5518540000000005</v>
      </c>
      <c r="X13" s="130">
        <v>7.1656500000000003</v>
      </c>
      <c r="Y13" s="130">
        <v>44.150669999999998</v>
      </c>
      <c r="Z13" s="130">
        <v>42.528283999999999</v>
      </c>
      <c r="AA13" s="130">
        <v>1E-4</v>
      </c>
      <c r="AB13" s="6">
        <v>0.11828668451781101</v>
      </c>
      <c r="AC13" s="131">
        <v>6.1500927633445803</v>
      </c>
      <c r="AD13" s="130">
        <v>1.6426339999999999</v>
      </c>
      <c r="AE13" s="149">
        <v>0.24508389712613601</v>
      </c>
      <c r="AF13" s="27">
        <v>0.71906850575006298</v>
      </c>
    </row>
    <row r="14" spans="1:33" x14ac:dyDescent="0.3">
      <c r="A14" s="161" t="s">
        <v>139</v>
      </c>
      <c r="B14" s="162" t="s">
        <v>70</v>
      </c>
      <c r="C14" s="162" t="s">
        <v>140</v>
      </c>
      <c r="D14" s="162" t="s">
        <v>151</v>
      </c>
      <c r="E14" s="254">
        <v>7.3230000000000003E-2</v>
      </c>
      <c r="F14" s="254">
        <v>7.8829999999999997E-2</v>
      </c>
      <c r="G14" s="247">
        <v>121.0861</v>
      </c>
      <c r="H14" s="162">
        <v>53</v>
      </c>
      <c r="I14" s="162">
        <v>1000</v>
      </c>
      <c r="J14" s="162">
        <v>25</v>
      </c>
      <c r="K14" s="162">
        <v>1.5</v>
      </c>
      <c r="L14" s="162">
        <v>1.5</v>
      </c>
      <c r="M14" s="162">
        <v>0.7</v>
      </c>
      <c r="N14" s="222">
        <v>0.01</v>
      </c>
      <c r="O14" s="234">
        <v>1.46499317332461E-3</v>
      </c>
      <c r="P14" s="162">
        <f>2*60+22.57</f>
        <v>142.57</v>
      </c>
      <c r="Q14" s="76">
        <f>P14/60</f>
        <v>2.3761666666666668</v>
      </c>
      <c r="R14" s="162">
        <v>152</v>
      </c>
      <c r="S14" s="234">
        <v>9.2110415700104906E-2</v>
      </c>
      <c r="T14" s="223">
        <v>3.7385119063900598</v>
      </c>
      <c r="U14" s="223">
        <v>1.05726685618283</v>
      </c>
      <c r="V14" s="164">
        <v>9.6469999999999993E-3</v>
      </c>
      <c r="W14" s="164">
        <v>8.5518540000000005</v>
      </c>
      <c r="X14" s="164">
        <v>7.1656500000000003</v>
      </c>
      <c r="Y14" s="164">
        <v>44.150669999999998</v>
      </c>
      <c r="Z14" s="164">
        <v>42.528283999999999</v>
      </c>
      <c r="AA14" s="164">
        <v>1E-4</v>
      </c>
      <c r="AB14" s="223">
        <v>4.4737864636368698</v>
      </c>
      <c r="AC14" s="223">
        <v>9.7209060939352803</v>
      </c>
      <c r="AD14" s="164">
        <v>1.6426339999999999</v>
      </c>
      <c r="AE14" s="162">
        <v>0.60032924445368796</v>
      </c>
      <c r="AF14" s="224">
        <v>0.17328355438927301</v>
      </c>
    </row>
    <row r="15" spans="1:33" x14ac:dyDescent="0.3">
      <c r="A15" s="12" t="s">
        <v>142</v>
      </c>
      <c r="B15" s="2" t="s">
        <v>70</v>
      </c>
      <c r="C15" s="2" t="s">
        <v>140</v>
      </c>
      <c r="D15" s="2" t="s">
        <v>151</v>
      </c>
      <c r="E15" s="238">
        <v>8.2890000000000005E-2</v>
      </c>
      <c r="F15" s="238">
        <v>0.13661000000000001</v>
      </c>
      <c r="G15" s="237">
        <v>121.37479</v>
      </c>
      <c r="H15" s="2">
        <v>47</v>
      </c>
      <c r="I15" s="2">
        <v>1000</v>
      </c>
      <c r="J15" s="2">
        <v>25</v>
      </c>
      <c r="K15" s="2">
        <v>1.5</v>
      </c>
      <c r="L15" s="2">
        <v>1.5</v>
      </c>
      <c r="M15" s="2">
        <v>0.7</v>
      </c>
      <c r="N15" s="208">
        <v>0.01</v>
      </c>
      <c r="O15" s="2">
        <v>2.9740324177451099E-3</v>
      </c>
      <c r="P15" s="2">
        <f>6*60+33.59</f>
        <v>393.59000000000003</v>
      </c>
      <c r="Q15" s="51">
        <f>P15/60</f>
        <v>6.5598333333333336</v>
      </c>
      <c r="R15" s="2">
        <v>430</v>
      </c>
      <c r="S15" s="65">
        <v>8.4825421172936594E-2</v>
      </c>
      <c r="T15" s="28">
        <v>0.48818172934975801</v>
      </c>
      <c r="U15" s="101">
        <v>1.43081256531017</v>
      </c>
      <c r="V15" s="64">
        <v>9.6469999999999993E-3</v>
      </c>
      <c r="W15" s="64">
        <v>8.5518540000000005</v>
      </c>
      <c r="X15" s="64">
        <v>7.1656500000000003</v>
      </c>
      <c r="Y15" s="64">
        <v>44.150669999999998</v>
      </c>
      <c r="Z15" s="64">
        <v>42.528283999999999</v>
      </c>
      <c r="AA15" s="64">
        <v>1E-4</v>
      </c>
      <c r="AB15" s="28">
        <v>9.9990891917298299</v>
      </c>
      <c r="AC15" s="28">
        <v>7.4850888163935601</v>
      </c>
      <c r="AD15" s="64">
        <v>1.6426339999999999</v>
      </c>
      <c r="AE15" s="2">
        <v>0.44781587798914801</v>
      </c>
      <c r="AF15" s="13">
        <v>0.31687108587711099</v>
      </c>
    </row>
    <row r="16" spans="1:33" x14ac:dyDescent="0.3">
      <c r="A16" s="12" t="s">
        <v>144</v>
      </c>
      <c r="B16" s="2" t="s">
        <v>70</v>
      </c>
      <c r="C16" s="2" t="s">
        <v>140</v>
      </c>
      <c r="D16" s="2" t="s">
        <v>151</v>
      </c>
      <c r="E16" s="238">
        <v>7.3029999999999998E-2</v>
      </c>
      <c r="F16" s="238">
        <v>0.13259000000000001</v>
      </c>
      <c r="G16" s="237">
        <v>121.85446</v>
      </c>
      <c r="H16" s="2">
        <v>64</v>
      </c>
      <c r="I16" s="2">
        <v>1000</v>
      </c>
      <c r="J16" s="2">
        <v>25</v>
      </c>
      <c r="K16" s="2">
        <v>1.5</v>
      </c>
      <c r="L16" s="2">
        <v>1.5</v>
      </c>
      <c r="M16" s="2">
        <v>0.7</v>
      </c>
      <c r="N16" s="208">
        <v>0.01</v>
      </c>
      <c r="O16" s="2">
        <v>3.46614518743284E-3</v>
      </c>
      <c r="P16" s="2">
        <v>47.79</v>
      </c>
      <c r="Q16" s="51">
        <f>P16/60</f>
        <v>0.79649999999999999</v>
      </c>
      <c r="R16" s="2">
        <v>103</v>
      </c>
      <c r="S16" s="65">
        <v>2.66817702329844E-2</v>
      </c>
      <c r="T16" s="28">
        <v>0.86784840904392901</v>
      </c>
      <c r="U16" s="28">
        <v>3.1751498661104298</v>
      </c>
      <c r="V16" s="64">
        <v>9.6469999999999993E-3</v>
      </c>
      <c r="W16" s="64">
        <v>8.5518540000000005</v>
      </c>
      <c r="X16" s="64">
        <v>7.1656500000000003</v>
      </c>
      <c r="Y16" s="64">
        <v>44.150669999999998</v>
      </c>
      <c r="Z16" s="64">
        <v>42.528283999999999</v>
      </c>
      <c r="AA16" s="64">
        <v>1E-4</v>
      </c>
      <c r="AB16" s="28">
        <v>4.5834779575300502</v>
      </c>
      <c r="AC16" s="28">
        <v>8.7896370186943606</v>
      </c>
      <c r="AD16" s="64">
        <v>1.6426339999999999</v>
      </c>
      <c r="AE16" s="65">
        <v>0.104624499501194</v>
      </c>
      <c r="AF16" s="216">
        <v>0.60302840011112602</v>
      </c>
    </row>
    <row r="17" spans="1:32" ht="15" thickBot="1" x14ac:dyDescent="0.35">
      <c r="A17" s="15" t="s">
        <v>145</v>
      </c>
      <c r="B17" s="6" t="s">
        <v>70</v>
      </c>
      <c r="C17" s="6" t="s">
        <v>140</v>
      </c>
      <c r="D17" s="6" t="s">
        <v>151</v>
      </c>
      <c r="E17" s="259">
        <v>5.9499999999999997E-2</v>
      </c>
      <c r="F17" s="253">
        <v>0.14532999999999999</v>
      </c>
      <c r="G17" s="255">
        <v>121.0857</v>
      </c>
      <c r="H17" s="6">
        <v>54</v>
      </c>
      <c r="I17" s="6">
        <v>1000</v>
      </c>
      <c r="J17" s="6">
        <v>25</v>
      </c>
      <c r="K17" s="6">
        <v>1.5</v>
      </c>
      <c r="L17" s="6">
        <v>1.5</v>
      </c>
      <c r="M17" s="6">
        <v>0.7</v>
      </c>
      <c r="N17" s="213">
        <v>0.01</v>
      </c>
      <c r="O17" s="218">
        <v>7.2261569658176202E-4</v>
      </c>
      <c r="P17" s="6">
        <f>60+5.13</f>
        <v>65.13</v>
      </c>
      <c r="Q17" s="172">
        <f>P17/60</f>
        <v>1.0854999999999999</v>
      </c>
      <c r="R17" s="6">
        <v>123</v>
      </c>
      <c r="S17" s="149">
        <v>5.2129883046071399E-2</v>
      </c>
      <c r="T17" s="131">
        <v>6.4001389510222797</v>
      </c>
      <c r="U17" s="131">
        <v>2.7768277294663402</v>
      </c>
      <c r="V17" s="130">
        <v>9.6469999999999993E-3</v>
      </c>
      <c r="W17" s="130">
        <v>8.5518540000000005</v>
      </c>
      <c r="X17" s="130">
        <v>7.1656500000000003</v>
      </c>
      <c r="Y17" s="130">
        <v>44.150669999999998</v>
      </c>
      <c r="Z17" s="130">
        <v>42.528283999999999</v>
      </c>
      <c r="AA17" s="130">
        <v>1E-4</v>
      </c>
      <c r="AB17" s="131">
        <v>1.74194908515178</v>
      </c>
      <c r="AC17" s="131">
        <v>3.1982747491214298</v>
      </c>
      <c r="AD17" s="130">
        <v>1.6426339999999999</v>
      </c>
      <c r="AE17" s="149">
        <v>0.72818569861117499</v>
      </c>
      <c r="AF17" s="27">
        <v>0.199932647799377</v>
      </c>
    </row>
    <row r="18" spans="1:32" x14ac:dyDescent="0.3">
      <c r="G18" s="246"/>
    </row>
    <row r="20" spans="1:32" x14ac:dyDescent="0.3">
      <c r="H20">
        <f>SUM(H2:H5)</f>
        <v>203</v>
      </c>
      <c r="M20" s="214"/>
      <c r="R20" s="210" t="s">
        <v>127</v>
      </c>
      <c r="S20" s="210">
        <f>AVERAGE(S2:S5)</f>
        <v>9.2298363684499451E-2</v>
      </c>
      <c r="T20" s="219">
        <f>AVERAGE(T2:T5)</f>
        <v>1.4329067184418673</v>
      </c>
      <c r="U20" s="215">
        <f>AVERAGE(U2:U5)</f>
        <v>5.7996119857887543</v>
      </c>
      <c r="V20" s="210"/>
      <c r="W20" s="210"/>
      <c r="X20" s="210"/>
      <c r="Y20" s="210"/>
      <c r="Z20" s="210"/>
      <c r="AA20" s="210"/>
      <c r="AB20" s="215">
        <f>AVERAGE(AB2:AB5)</f>
        <v>3.5090837563444373</v>
      </c>
      <c r="AC20" s="215">
        <f>AVERAGE(AC2:AC5)</f>
        <v>6.4898138659096531</v>
      </c>
      <c r="AD20" s="210"/>
      <c r="AE20" s="215">
        <f>AVERAGE(AE2:AE5)</f>
        <v>0.35703827704971747</v>
      </c>
      <c r="AF20" s="215">
        <f>AVERAGE(AF2:AF5)</f>
        <v>0.6505524194218153</v>
      </c>
    </row>
    <row r="21" spans="1:32" x14ac:dyDescent="0.3">
      <c r="M21" s="214"/>
      <c r="R21" s="52" t="s">
        <v>126</v>
      </c>
      <c r="S21" s="2">
        <f>_xlfn.STDEV.S(S2:S5)</f>
        <v>5.6623375029387607E-2</v>
      </c>
      <c r="T21" s="110">
        <f>_xlfn.STDEV.S(T2:T5)</f>
        <v>1.0674755455728331</v>
      </c>
      <c r="U21" s="65">
        <f>_xlfn.STDEV.S(U2:U5)</f>
        <v>3.7373191145113278</v>
      </c>
      <c r="V21" s="2"/>
      <c r="W21" s="2"/>
      <c r="X21" s="2"/>
      <c r="Y21" s="2"/>
      <c r="Z21" s="2"/>
      <c r="AA21" s="2"/>
      <c r="AB21" s="65">
        <f>_xlfn.STDEV.S(AB2:AB5)</f>
        <v>2.1862359325412095</v>
      </c>
      <c r="AC21" s="65">
        <f>_xlfn.STDEV.S(AC2:AC5)</f>
        <v>1.7784686194618968</v>
      </c>
      <c r="AD21" s="2"/>
      <c r="AE21" s="65">
        <f>_xlfn.STDEV.S(AE2:AE5)</f>
        <v>0.42569788985141976</v>
      </c>
      <c r="AF21" s="65">
        <f>_xlfn.STDEV.S(AF2:AF5)</f>
        <v>0.31051964173200736</v>
      </c>
    </row>
    <row r="22" spans="1:32" x14ac:dyDescent="0.3">
      <c r="H22">
        <f>SUM(H6:H9)</f>
        <v>146</v>
      </c>
      <c r="M22" s="214"/>
      <c r="R22" s="210" t="s">
        <v>128</v>
      </c>
      <c r="S22" s="210">
        <f>AVERAGE(S6:S9)</f>
        <v>0.11458296113220082</v>
      </c>
      <c r="T22" s="219">
        <f>AVERAGE(T6:T9)</f>
        <v>2.3816558095654399</v>
      </c>
      <c r="U22" s="215">
        <f>AVERAGE(U6:U9)</f>
        <v>2.44159155529674</v>
      </c>
      <c r="V22" s="210"/>
      <c r="W22" s="210"/>
      <c r="X22" s="210"/>
      <c r="Y22" s="210"/>
      <c r="Z22" s="210"/>
      <c r="AA22" s="210"/>
      <c r="AB22" s="215">
        <f>AVERAGE(AB6:AB9)</f>
        <v>4.5671855256312925</v>
      </c>
      <c r="AC22" s="215">
        <f>AVERAGE(AC6:AC9)</f>
        <v>6.072589850115178</v>
      </c>
      <c r="AD22" s="210"/>
      <c r="AE22" s="215">
        <f>AVERAGE(AE6:AE9)</f>
        <v>0.47815488558102925</v>
      </c>
      <c r="AF22" s="215">
        <f>AVERAGE(AF6:AF9)</f>
        <v>0.45938950201988871</v>
      </c>
    </row>
    <row r="23" spans="1:32" x14ac:dyDescent="0.3">
      <c r="R23" s="2" t="s">
        <v>129</v>
      </c>
      <c r="S23" s="2">
        <f>_xlfn.STDEV.S(S6:S9)</f>
        <v>4.6463449257637505E-2</v>
      </c>
      <c r="T23" s="110">
        <f>_xlfn.STDEV.S(T6:T9)</f>
        <v>1.1080029017991904</v>
      </c>
      <c r="U23" s="65">
        <f>_xlfn.STDEV.S(U6:U9)</f>
        <v>1.1256344609963469</v>
      </c>
      <c r="V23" s="2"/>
      <c r="W23" s="2"/>
      <c r="X23" s="2"/>
      <c r="Y23" s="2"/>
      <c r="Z23" s="2"/>
      <c r="AA23" s="2"/>
      <c r="AB23" s="65">
        <f>_xlfn.STDEV.S(AB6:AB9)</f>
        <v>1.1562535226175066</v>
      </c>
      <c r="AC23" s="65">
        <f>_xlfn.STDEV.S(AC6:AC9)</f>
        <v>2.6481579045737234</v>
      </c>
      <c r="AD23" s="2"/>
      <c r="AE23" s="65">
        <f>_xlfn.STDEV.S(AE6:AE9)</f>
        <v>0.3160706704621371</v>
      </c>
      <c r="AF23" s="65">
        <f>_xlfn.STDEV.S(AF6:AF9)</f>
        <v>0.19388252982129142</v>
      </c>
    </row>
    <row r="24" spans="1:32" x14ac:dyDescent="0.3">
      <c r="H24">
        <f>SUM(H10:H13)</f>
        <v>177</v>
      </c>
      <c r="O24" s="119"/>
      <c r="R24" s="210" t="s">
        <v>130</v>
      </c>
      <c r="S24" s="215">
        <f>AVERAGE(S10:S13)</f>
        <v>4.7734143073010528E-2</v>
      </c>
      <c r="T24" s="219">
        <f>AVERAGE(T10:T13)</f>
        <v>2.5384836885725202</v>
      </c>
      <c r="U24" s="215">
        <f>AVERAGE(U10:U13)</f>
        <v>5.1231144449777268</v>
      </c>
      <c r="V24" s="211"/>
      <c r="W24" s="211"/>
      <c r="X24" s="211"/>
      <c r="Y24" s="211"/>
      <c r="Z24" s="211"/>
      <c r="AA24" s="211"/>
      <c r="AB24" s="215">
        <f>AVERAGE(AB10:AB13)</f>
        <v>1.7718659520169024</v>
      </c>
      <c r="AC24" s="215">
        <f>AVERAGE(AC10:AC13)</f>
        <v>6.4202575709229679</v>
      </c>
      <c r="AD24" s="211"/>
      <c r="AE24" s="215">
        <f>AVERAGE(AE10:AE13)</f>
        <v>0.34408270272760899</v>
      </c>
      <c r="AF24" s="215">
        <f>AVERAGE(AF10:AF13)</f>
        <v>0.49614549811132402</v>
      </c>
    </row>
    <row r="25" spans="1:32" x14ac:dyDescent="0.3">
      <c r="R25" s="2" t="s">
        <v>131</v>
      </c>
      <c r="S25" s="2">
        <f>_xlfn.STDEV.S(S10:S13)</f>
        <v>3.0174715758036277E-2</v>
      </c>
      <c r="T25" s="110">
        <f>_xlfn.STDEV.S(T10:T13)</f>
        <v>1.1666618279564698</v>
      </c>
      <c r="U25" s="65">
        <f>_xlfn.STDEV.S(U10:U13)</f>
        <v>3.840019873114644</v>
      </c>
      <c r="V25" s="2"/>
      <c r="W25" s="2"/>
      <c r="X25" s="2"/>
      <c r="Y25" s="2"/>
      <c r="Z25" s="2"/>
      <c r="AA25" s="2"/>
      <c r="AB25" s="65">
        <f>_xlfn.STDEV.S(AB10:AB13)</f>
        <v>1.7579086692049222</v>
      </c>
      <c r="AC25" s="65">
        <f>_xlfn.STDEV.S(AC10:AC13)</f>
        <v>1.838960974355333</v>
      </c>
      <c r="AD25" s="2"/>
      <c r="AE25" s="65">
        <f>_xlfn.STDEV.S(AE10:AE13)</f>
        <v>0.20677196411711046</v>
      </c>
      <c r="AF25" s="65">
        <f>_xlfn.STDEV.S(AF10:AF13)</f>
        <v>0.31429178315771072</v>
      </c>
    </row>
    <row r="26" spans="1:32" x14ac:dyDescent="0.3">
      <c r="H26">
        <f>SUM(H14:H17)</f>
        <v>218</v>
      </c>
      <c r="O26" s="119"/>
      <c r="R26" s="210" t="s">
        <v>141</v>
      </c>
      <c r="S26" s="215">
        <f>AVERAGE(S14:S17)</f>
        <v>6.3936872538024325E-2</v>
      </c>
      <c r="T26" s="219">
        <f>AVERAGE(T14:T17)</f>
        <v>2.8736702489515067</v>
      </c>
      <c r="U26" s="215">
        <f>AVERAGE(U14:U17)</f>
        <v>2.1100142542674427</v>
      </c>
      <c r="V26" s="215"/>
      <c r="W26" s="215"/>
      <c r="X26" s="215"/>
      <c r="Y26" s="215"/>
      <c r="Z26" s="215"/>
      <c r="AA26" s="215"/>
      <c r="AB26" s="215">
        <f>AVERAGE(AB14:AB17)</f>
        <v>5.1995756745121327</v>
      </c>
      <c r="AC26" s="215">
        <f>AVERAGE(AC14:AC17)</f>
        <v>7.298476669536158</v>
      </c>
      <c r="AD26" s="215"/>
      <c r="AE26" s="215">
        <f>AVERAGE(AE14:AE17)</f>
        <v>0.47023883013880124</v>
      </c>
      <c r="AF26" s="215">
        <f>AVERAGE(AF14:AF17)</f>
        <v>0.32327892204422176</v>
      </c>
    </row>
    <row r="27" spans="1:32" x14ac:dyDescent="0.3">
      <c r="R27" s="2" t="s">
        <v>143</v>
      </c>
      <c r="S27" s="2">
        <f>_xlfn.STDEV.S(S14:S17)</f>
        <v>3.0317363820099252E-2</v>
      </c>
      <c r="T27" s="110">
        <f>_xlfn.STDEV.S(T14:T17)</f>
        <v>2.7627166177350237</v>
      </c>
      <c r="U27" s="65">
        <f>_xlfn.STDEV.S(U14:U17)</f>
        <v>1.0244911095725024</v>
      </c>
      <c r="V27" s="2"/>
      <c r="W27" s="2"/>
      <c r="X27" s="2"/>
      <c r="Y27" s="2"/>
      <c r="Z27" s="2"/>
      <c r="AA27" s="2"/>
      <c r="AB27" s="65">
        <f>_xlfn.STDEV.S(AB14:AB17)</f>
        <v>3.4591356342734225</v>
      </c>
      <c r="AC27" s="65">
        <f>_xlfn.STDEV.S(AC14:AC17)</f>
        <v>2.8831813091689531</v>
      </c>
      <c r="AD27" s="2"/>
      <c r="AE27" s="65">
        <f>_xlfn.STDEV.S(AE14:AE17)</f>
        <v>0.26934286105384592</v>
      </c>
      <c r="AF27" s="65">
        <f>_xlfn.STDEV.S(AF14:AF17)</f>
        <v>0.19665006528609602</v>
      </c>
    </row>
    <row r="29" spans="1:32" x14ac:dyDescent="0.3">
      <c r="R29" s="2" t="s">
        <v>190</v>
      </c>
      <c r="S29" s="2">
        <f>AVERAGE(S2:S17)</f>
        <v>7.9638085106933793E-2</v>
      </c>
      <c r="T29" s="2">
        <f t="shared" ref="T29:AF29" si="2">AVERAGE(T2:T17)</f>
        <v>2.3066791163828335</v>
      </c>
      <c r="U29" s="2">
        <f t="shared" si="2"/>
        <v>3.8685830600826661</v>
      </c>
      <c r="V29" s="2"/>
      <c r="W29" s="2"/>
      <c r="X29" s="2"/>
      <c r="Y29" s="2"/>
      <c r="Z29" s="2"/>
      <c r="AA29" s="2"/>
      <c r="AB29" s="28">
        <f>AVERAGE(AB2:AB17)</f>
        <v>3.7619277271261913</v>
      </c>
      <c r="AC29" s="2">
        <f t="shared" si="2"/>
        <v>6.5702844891209882</v>
      </c>
      <c r="AD29" s="2"/>
      <c r="AE29" s="2">
        <f t="shared" si="2"/>
        <v>0.41237867387428928</v>
      </c>
      <c r="AF29" s="2">
        <f t="shared" si="2"/>
        <v>0.48234158539931243</v>
      </c>
    </row>
    <row r="30" spans="1:32" x14ac:dyDescent="0.3">
      <c r="R30" s="2" t="s">
        <v>191</v>
      </c>
      <c r="S30" s="2">
        <f>_xlfn.STDEV.S(S2:S17)</f>
        <v>4.6308682152289234E-2</v>
      </c>
      <c r="T30" s="2">
        <f t="shared" ref="T30:AF30" si="3">_xlfn.STDEV.S(T2:T17)</f>
        <v>1.6054050424037105</v>
      </c>
      <c r="U30" s="2">
        <f t="shared" si="3"/>
        <v>2.9979569500736098</v>
      </c>
      <c r="V30" s="2"/>
      <c r="W30" s="2"/>
      <c r="X30" s="2"/>
      <c r="Y30" s="2"/>
      <c r="Z30" s="2"/>
      <c r="AA30" s="2"/>
      <c r="AB30" s="2">
        <f t="shared" si="3"/>
        <v>2.4559509590726711</v>
      </c>
      <c r="AC30" s="2">
        <f t="shared" si="3"/>
        <v>2.1422480115510791</v>
      </c>
      <c r="AD30" s="2"/>
      <c r="AE30" s="2">
        <f t="shared" si="3"/>
        <v>0.28877483499635925</v>
      </c>
      <c r="AF30" s="2">
        <f t="shared" si="3"/>
        <v>0.26225217075700041</v>
      </c>
    </row>
    <row r="32" spans="1:32" ht="15" thickBot="1" x14ac:dyDescent="0.35">
      <c r="A32" s="235" t="s">
        <v>153</v>
      </c>
    </row>
    <row r="33" spans="1:33" ht="30" customHeight="1" thickBot="1" x14ac:dyDescent="0.35">
      <c r="A33" s="99" t="s">
        <v>132</v>
      </c>
      <c r="B33" s="98" t="s">
        <v>45</v>
      </c>
      <c r="C33" s="233" t="s">
        <v>109</v>
      </c>
      <c r="D33" s="226" t="s">
        <v>150</v>
      </c>
      <c r="E33" s="2"/>
      <c r="F33" s="2"/>
      <c r="G33" s="2"/>
      <c r="H33" s="2"/>
      <c r="I33" s="228" t="s">
        <v>47</v>
      </c>
      <c r="J33" s="228" t="s">
        <v>46</v>
      </c>
      <c r="K33" s="228" t="s">
        <v>48</v>
      </c>
      <c r="L33" s="228" t="s">
        <v>49</v>
      </c>
      <c r="M33" s="228" t="s">
        <v>50</v>
      </c>
      <c r="N33" s="98" t="s">
        <v>104</v>
      </c>
      <c r="O33" s="98" t="s">
        <v>9</v>
      </c>
      <c r="P33" s="98" t="s">
        <v>6</v>
      </c>
      <c r="Q33" s="98" t="s">
        <v>34</v>
      </c>
      <c r="R33" s="98" t="s">
        <v>113</v>
      </c>
      <c r="S33" s="229" t="s">
        <v>52</v>
      </c>
      <c r="T33" s="229" t="s">
        <v>53</v>
      </c>
      <c r="U33" s="229" t="s">
        <v>54</v>
      </c>
      <c r="V33" s="230" t="s">
        <v>55</v>
      </c>
      <c r="W33" s="230" t="s">
        <v>56</v>
      </c>
      <c r="X33" s="230" t="s">
        <v>57</v>
      </c>
      <c r="Y33" s="230" t="s">
        <v>58</v>
      </c>
      <c r="Z33" s="230" t="s">
        <v>59</v>
      </c>
      <c r="AA33" s="230" t="s">
        <v>60</v>
      </c>
      <c r="AB33" s="229" t="s">
        <v>61</v>
      </c>
      <c r="AC33" s="229" t="s">
        <v>65</v>
      </c>
      <c r="AD33" s="231" t="s">
        <v>62</v>
      </c>
      <c r="AE33" s="229" t="s">
        <v>63</v>
      </c>
      <c r="AF33" s="232" t="s">
        <v>64</v>
      </c>
    </row>
    <row r="34" spans="1:33" x14ac:dyDescent="0.3">
      <c r="A34" s="8" t="s">
        <v>154</v>
      </c>
      <c r="B34" s="9" t="s">
        <v>70</v>
      </c>
      <c r="C34" s="9" t="s">
        <v>110</v>
      </c>
      <c r="D34" s="9" t="s">
        <v>154</v>
      </c>
      <c r="E34" s="2"/>
      <c r="F34" s="2"/>
      <c r="G34" s="2"/>
      <c r="H34" s="2"/>
      <c r="I34" s="9">
        <v>1000</v>
      </c>
      <c r="J34" s="9">
        <v>25</v>
      </c>
      <c r="K34" s="9">
        <v>1.5</v>
      </c>
      <c r="L34" s="9">
        <v>1.5</v>
      </c>
      <c r="M34" s="9">
        <v>0.7</v>
      </c>
      <c r="N34" s="212">
        <v>0.01</v>
      </c>
      <c r="O34" s="9">
        <v>4.43238963346941E-2</v>
      </c>
      <c r="P34" s="9">
        <f>18*60+32.02</f>
        <v>1112.02</v>
      </c>
      <c r="Q34" s="66">
        <f>P34/60</f>
        <v>18.533666666666665</v>
      </c>
      <c r="R34" s="9">
        <v>319</v>
      </c>
      <c r="S34" s="9">
        <v>6.71945046103649E-2</v>
      </c>
      <c r="T34" s="40">
        <v>3.58520773484722</v>
      </c>
      <c r="U34" s="40">
        <v>2.58416993359742</v>
      </c>
      <c r="V34" s="68">
        <v>9.6469999999999993E-3</v>
      </c>
      <c r="W34" s="68">
        <v>8.5518540000000005</v>
      </c>
      <c r="X34" s="68">
        <v>7.1656500000000003</v>
      </c>
      <c r="Y34" s="68">
        <v>44.150669999999998</v>
      </c>
      <c r="Z34" s="68">
        <v>42.528283999999999</v>
      </c>
      <c r="AA34" s="68">
        <v>1E-4</v>
      </c>
      <c r="AB34" s="40">
        <v>1.5522365381504699</v>
      </c>
      <c r="AC34" s="40">
        <v>3.1992791964640799</v>
      </c>
      <c r="AD34" s="68">
        <v>1.6426339999999999</v>
      </c>
      <c r="AE34" s="9">
        <v>0.99509343943039796</v>
      </c>
      <c r="AF34" s="11">
        <v>0.111232970845613</v>
      </c>
      <c r="AG34" t="s">
        <v>156</v>
      </c>
    </row>
    <row r="35" spans="1:33" x14ac:dyDescent="0.3">
      <c r="A35" s="12" t="s">
        <v>154</v>
      </c>
      <c r="B35" s="2" t="s">
        <v>70</v>
      </c>
      <c r="C35" s="2" t="s">
        <v>116</v>
      </c>
      <c r="D35" s="2" t="s">
        <v>154</v>
      </c>
      <c r="E35" s="2"/>
      <c r="F35" s="2"/>
      <c r="G35" s="2"/>
      <c r="H35" s="2"/>
      <c r="I35" s="2">
        <v>1000</v>
      </c>
      <c r="J35" s="2">
        <v>25</v>
      </c>
      <c r="K35" s="2">
        <v>1.5</v>
      </c>
      <c r="L35" s="2">
        <v>1.5</v>
      </c>
      <c r="M35" s="2">
        <v>0.7</v>
      </c>
      <c r="N35" s="208">
        <v>0.01</v>
      </c>
      <c r="O35" s="2">
        <v>0.10948936343382901</v>
      </c>
      <c r="P35" s="2">
        <f>116*60+28.63</f>
        <v>6988.63</v>
      </c>
      <c r="Q35" s="51">
        <f>P35/60</f>
        <v>116.47716666666666</v>
      </c>
      <c r="R35" s="2">
        <v>250</v>
      </c>
      <c r="S35" s="2">
        <v>0.109710871514294</v>
      </c>
      <c r="T35" s="28">
        <v>4.3921531186507199</v>
      </c>
      <c r="U35" s="2">
        <v>0.66659481465148995</v>
      </c>
      <c r="V35" s="64">
        <v>9.6469999999999993E-3</v>
      </c>
      <c r="W35" s="64">
        <v>8.5518540000000005</v>
      </c>
      <c r="X35" s="64">
        <v>7.1656500000000003</v>
      </c>
      <c r="Y35" s="64">
        <v>44.150669999999998</v>
      </c>
      <c r="Z35" s="64">
        <v>42.528283999999999</v>
      </c>
      <c r="AA35" s="64">
        <v>1E-4</v>
      </c>
      <c r="AB35" s="28">
        <v>4.6756525326995702</v>
      </c>
      <c r="AC35" s="28">
        <v>4.9699679739576998</v>
      </c>
      <c r="AD35" s="64">
        <v>1.6426339999999999</v>
      </c>
      <c r="AE35" s="101">
        <v>0.62213630392112096</v>
      </c>
      <c r="AF35" s="13">
        <v>0.21172105918039699</v>
      </c>
      <c r="AG35" t="s">
        <v>155</v>
      </c>
    </row>
    <row r="36" spans="1:33" x14ac:dyDescent="0.3">
      <c r="A36" s="12" t="s">
        <v>154</v>
      </c>
      <c r="B36" s="2" t="s">
        <v>70</v>
      </c>
      <c r="C36" s="2" t="s">
        <v>122</v>
      </c>
      <c r="D36" s="2" t="s">
        <v>154</v>
      </c>
      <c r="E36" s="2"/>
      <c r="F36" s="2"/>
      <c r="G36" s="2"/>
      <c r="H36" s="2"/>
      <c r="I36" s="2">
        <v>1000</v>
      </c>
      <c r="J36" s="2">
        <v>25</v>
      </c>
      <c r="K36" s="2">
        <v>1.5</v>
      </c>
      <c r="L36" s="2">
        <v>1.5</v>
      </c>
      <c r="M36" s="2">
        <v>0.7</v>
      </c>
      <c r="N36" s="208">
        <v>0.01</v>
      </c>
      <c r="O36" s="2">
        <v>5.2039279251215001E-2</v>
      </c>
      <c r="P36" s="2">
        <f>9*60+59.45</f>
        <v>599.45000000000005</v>
      </c>
      <c r="Q36" s="51">
        <f>P36/60</f>
        <v>9.9908333333333346</v>
      </c>
      <c r="R36" s="2">
        <v>143</v>
      </c>
      <c r="S36" s="2">
        <v>9.3049520694203094E-2</v>
      </c>
      <c r="T36" s="28">
        <v>2.0666549393433198</v>
      </c>
      <c r="U36" s="2">
        <v>0.97768887548474503</v>
      </c>
      <c r="V36" s="64">
        <v>9.6469999999999993E-3</v>
      </c>
      <c r="W36" s="64">
        <v>8.5518540000000005</v>
      </c>
      <c r="X36" s="64">
        <v>7.1656500000000003</v>
      </c>
      <c r="Y36" s="64">
        <v>44.150669999999998</v>
      </c>
      <c r="Z36" s="64">
        <v>42.528283999999999</v>
      </c>
      <c r="AA36" s="64">
        <v>1E-4</v>
      </c>
      <c r="AB36" s="28">
        <v>4.2720680669276803</v>
      </c>
      <c r="AC36" s="28">
        <v>3.5218612712384498</v>
      </c>
      <c r="AD36" s="64">
        <v>1.6426339999999999</v>
      </c>
      <c r="AE36" s="2">
        <v>0.42123755378781103</v>
      </c>
      <c r="AF36" s="13">
        <v>0.415775288041493</v>
      </c>
      <c r="AG36" t="s">
        <v>161</v>
      </c>
    </row>
    <row r="37" spans="1:33" ht="15" thickBot="1" x14ac:dyDescent="0.35">
      <c r="A37" s="15" t="s">
        <v>154</v>
      </c>
      <c r="B37" s="6" t="s">
        <v>70</v>
      </c>
      <c r="C37" s="6" t="s">
        <v>140</v>
      </c>
      <c r="D37" s="6" t="s">
        <v>154</v>
      </c>
      <c r="E37" s="2"/>
      <c r="F37" s="2"/>
      <c r="G37" s="2"/>
      <c r="H37" s="2"/>
      <c r="I37" s="6">
        <v>1000</v>
      </c>
      <c r="J37" s="6">
        <v>25</v>
      </c>
      <c r="K37" s="6">
        <v>1.5</v>
      </c>
      <c r="L37" s="6">
        <v>1.5</v>
      </c>
      <c r="M37" s="6">
        <v>0.7</v>
      </c>
      <c r="N37" s="213">
        <v>0.01</v>
      </c>
      <c r="O37" s="6"/>
      <c r="P37" s="6"/>
      <c r="Q37" s="6"/>
      <c r="R37" s="6"/>
      <c r="S37" s="6"/>
      <c r="T37" s="6"/>
      <c r="U37" s="6"/>
      <c r="V37" s="130">
        <v>9.6469999999999993E-3</v>
      </c>
      <c r="W37" s="130">
        <v>8.5518540000000005</v>
      </c>
      <c r="X37" s="130">
        <v>7.1656500000000003</v>
      </c>
      <c r="Y37" s="130">
        <v>44.150669999999998</v>
      </c>
      <c r="Z37" s="130">
        <v>42.528283999999999</v>
      </c>
      <c r="AA37" s="130">
        <v>1E-4</v>
      </c>
      <c r="AB37" s="6"/>
      <c r="AC37" s="6"/>
      <c r="AD37" s="130">
        <v>1.6426339999999999</v>
      </c>
      <c r="AE37" s="6"/>
      <c r="AF37" s="27"/>
    </row>
    <row r="40" spans="1:33" ht="15" thickBot="1" x14ac:dyDescent="0.35"/>
    <row r="41" spans="1:33" ht="29.4" thickBot="1" x14ac:dyDescent="0.35">
      <c r="A41" s="99" t="s">
        <v>146</v>
      </c>
      <c r="B41" s="98" t="s">
        <v>45</v>
      </c>
      <c r="C41" s="233" t="s">
        <v>109</v>
      </c>
      <c r="D41" s="226" t="s">
        <v>150</v>
      </c>
      <c r="E41" s="226" t="s">
        <v>157</v>
      </c>
      <c r="F41" s="226" t="s">
        <v>158</v>
      </c>
      <c r="G41" s="226" t="s">
        <v>159</v>
      </c>
      <c r="H41" s="226" t="s">
        <v>160</v>
      </c>
      <c r="I41" s="228" t="s">
        <v>47</v>
      </c>
      <c r="J41" s="228" t="s">
        <v>46</v>
      </c>
      <c r="K41" s="228" t="s">
        <v>48</v>
      </c>
      <c r="L41" s="228" t="s">
        <v>49</v>
      </c>
      <c r="M41" s="228" t="s">
        <v>50</v>
      </c>
      <c r="N41" s="98" t="s">
        <v>104</v>
      </c>
      <c r="O41" s="98" t="s">
        <v>9</v>
      </c>
      <c r="P41" s="98" t="s">
        <v>6</v>
      </c>
      <c r="Q41" s="98" t="s">
        <v>34</v>
      </c>
      <c r="R41" s="98" t="s">
        <v>113</v>
      </c>
      <c r="S41" s="229" t="s">
        <v>52</v>
      </c>
      <c r="T41" s="229" t="s">
        <v>53</v>
      </c>
      <c r="U41" s="229" t="s">
        <v>54</v>
      </c>
      <c r="V41" s="230" t="s">
        <v>55</v>
      </c>
      <c r="W41" s="230" t="s">
        <v>56</v>
      </c>
      <c r="X41" s="230" t="s">
        <v>57</v>
      </c>
      <c r="Y41" s="230" t="s">
        <v>58</v>
      </c>
      <c r="Z41" s="230" t="s">
        <v>59</v>
      </c>
      <c r="AA41" s="230" t="s">
        <v>60</v>
      </c>
      <c r="AB41" s="229" t="s">
        <v>61</v>
      </c>
      <c r="AC41" s="229" t="s">
        <v>65</v>
      </c>
      <c r="AD41" s="231" t="s">
        <v>62</v>
      </c>
      <c r="AE41" s="229" t="s">
        <v>63</v>
      </c>
      <c r="AF41" s="232" t="s">
        <v>64</v>
      </c>
    </row>
    <row r="42" spans="1:33" x14ac:dyDescent="0.3">
      <c r="A42" s="8" t="s">
        <v>147</v>
      </c>
      <c r="B42" s="9" t="s">
        <v>70</v>
      </c>
      <c r="C42" s="9" t="s">
        <v>110</v>
      </c>
      <c r="D42" s="9" t="s">
        <v>151</v>
      </c>
      <c r="E42" s="256">
        <v>5.9499999999999997E-2</v>
      </c>
      <c r="F42" s="256">
        <v>0.13804</v>
      </c>
      <c r="G42" s="236">
        <v>121.6</v>
      </c>
      <c r="H42" s="9">
        <v>48</v>
      </c>
      <c r="I42" s="9">
        <v>1000</v>
      </c>
      <c r="J42" s="9">
        <v>25</v>
      </c>
      <c r="K42" s="9">
        <v>1.5</v>
      </c>
      <c r="L42" s="9">
        <v>1.5</v>
      </c>
      <c r="M42" s="9">
        <v>0.7</v>
      </c>
      <c r="N42" s="212">
        <v>0.01</v>
      </c>
      <c r="O42" s="9">
        <v>1.83812886252872E-3</v>
      </c>
      <c r="P42" s="9">
        <f>2*60+8.54</f>
        <v>128.54</v>
      </c>
      <c r="Q42" s="66">
        <f t="shared" ref="Q42:Q49" si="4">P42/60</f>
        <v>2.1423333333333332</v>
      </c>
      <c r="R42" s="9">
        <v>202</v>
      </c>
      <c r="S42" s="126">
        <v>6.3637803896061496E-2</v>
      </c>
      <c r="T42" s="125">
        <v>1.5582451134723101</v>
      </c>
      <c r="U42" s="40">
        <v>4.3183362238990002</v>
      </c>
      <c r="V42" s="68">
        <v>9.6469999999999993E-3</v>
      </c>
      <c r="W42" s="68">
        <v>8.5518540000000005</v>
      </c>
      <c r="X42" s="68">
        <v>7.1656500000000003</v>
      </c>
      <c r="Y42" s="68">
        <v>44.150669999999998</v>
      </c>
      <c r="Z42" s="68">
        <v>42.528283999999999</v>
      </c>
      <c r="AA42" s="68">
        <v>1E-4</v>
      </c>
      <c r="AB42" s="40">
        <v>2.6711944469252602</v>
      </c>
      <c r="AC42" s="40">
        <v>8.0181132483939201</v>
      </c>
      <c r="AD42" s="68">
        <v>1.6426339999999999</v>
      </c>
      <c r="AE42" s="126">
        <v>0.25945086423210201</v>
      </c>
      <c r="AF42" s="183">
        <v>0.40289323406199601</v>
      </c>
    </row>
    <row r="43" spans="1:33" x14ac:dyDescent="0.3">
      <c r="A43" s="12" t="s">
        <v>148</v>
      </c>
      <c r="B43" s="2" t="s">
        <v>70</v>
      </c>
      <c r="C43" s="2" t="s">
        <v>110</v>
      </c>
      <c r="D43" s="2" t="s">
        <v>151</v>
      </c>
      <c r="E43" s="238">
        <v>5.9499999999999997E-2</v>
      </c>
      <c r="F43" s="238">
        <v>0.14080999999999999</v>
      </c>
      <c r="G43" s="237">
        <v>121.17343</v>
      </c>
      <c r="H43" s="2">
        <v>42</v>
      </c>
      <c r="I43" s="2">
        <v>1000</v>
      </c>
      <c r="J43" s="2">
        <v>25</v>
      </c>
      <c r="K43" s="2">
        <v>1.5</v>
      </c>
      <c r="L43" s="2">
        <v>1.5</v>
      </c>
      <c r="M43" s="2">
        <v>0.7</v>
      </c>
      <c r="N43" s="208">
        <v>0.01</v>
      </c>
      <c r="O43" s="221">
        <v>1.07982403474934E-3</v>
      </c>
      <c r="P43" s="2">
        <f>8*60+35.86</f>
        <v>515.86</v>
      </c>
      <c r="Q43" s="51">
        <f t="shared" si="4"/>
        <v>8.597666666666667</v>
      </c>
      <c r="R43" s="2">
        <v>86</v>
      </c>
      <c r="S43" s="242">
        <v>0.23758341300668201</v>
      </c>
      <c r="T43" s="110">
        <v>3.54723712617362</v>
      </c>
      <c r="U43" s="28">
        <v>2.3849267724052399</v>
      </c>
      <c r="V43" s="64">
        <v>9.6469999999999993E-3</v>
      </c>
      <c r="W43" s="64">
        <v>8.5518540000000005</v>
      </c>
      <c r="X43" s="64">
        <v>7.1656500000000003</v>
      </c>
      <c r="Y43" s="64">
        <v>44.150669999999998</v>
      </c>
      <c r="Z43" s="64">
        <v>42.528283999999999</v>
      </c>
      <c r="AA43" s="64">
        <v>1E-4</v>
      </c>
      <c r="AB43" s="28">
        <v>2.0984517801625402</v>
      </c>
      <c r="AC43" s="28">
        <v>1.1374317520703501</v>
      </c>
      <c r="AD43" s="64">
        <v>1.6426339999999999</v>
      </c>
      <c r="AE43" s="101">
        <v>0.34943006496378698</v>
      </c>
      <c r="AF43" s="146">
        <v>0.483180898686908</v>
      </c>
    </row>
    <row r="44" spans="1:33" x14ac:dyDescent="0.3">
      <c r="A44" s="12" t="s">
        <v>149</v>
      </c>
      <c r="B44" s="2" t="s">
        <v>70</v>
      </c>
      <c r="C44" s="2" t="s">
        <v>110</v>
      </c>
      <c r="D44" s="2" t="s">
        <v>151</v>
      </c>
      <c r="E44" s="238">
        <v>0.14832000000000001</v>
      </c>
      <c r="F44" s="238">
        <v>0.13338</v>
      </c>
      <c r="G44" s="237">
        <v>122.06081</v>
      </c>
      <c r="H44" s="2">
        <v>33</v>
      </c>
      <c r="I44" s="2">
        <v>1000</v>
      </c>
      <c r="J44" s="2">
        <v>25</v>
      </c>
      <c r="K44" s="2">
        <v>1.5</v>
      </c>
      <c r="L44" s="2">
        <v>1.5</v>
      </c>
      <c r="M44" s="2">
        <v>0.7</v>
      </c>
      <c r="N44" s="208">
        <v>0.01</v>
      </c>
      <c r="O44" s="65">
        <v>1.0881467083399101E-3</v>
      </c>
      <c r="P44" s="2">
        <f>7*60+55.85</f>
        <v>475.85</v>
      </c>
      <c r="Q44" s="51">
        <f t="shared" si="4"/>
        <v>7.9308333333333341</v>
      </c>
      <c r="R44" s="2">
        <v>283</v>
      </c>
      <c r="S44" s="101">
        <v>9.4936012442488699E-2</v>
      </c>
      <c r="T44" s="110">
        <v>4.9276953811634696</v>
      </c>
      <c r="U44" s="28">
        <v>1.6220266550245199</v>
      </c>
      <c r="V44" s="64">
        <v>9.6469999999999993E-3</v>
      </c>
      <c r="W44" s="64">
        <v>8.5518540000000005</v>
      </c>
      <c r="X44" s="64">
        <v>7.1656500000000003</v>
      </c>
      <c r="Y44" s="64">
        <v>44.150669999999998</v>
      </c>
      <c r="Z44" s="64">
        <v>42.528283999999999</v>
      </c>
      <c r="AA44" s="64">
        <v>1E-4</v>
      </c>
      <c r="AB44" s="28">
        <v>2.8194967209879098</v>
      </c>
      <c r="AC44" s="28">
        <v>8.9133347603365092</v>
      </c>
      <c r="AD44" s="64">
        <v>1.6426339999999999</v>
      </c>
      <c r="AE44" s="101">
        <v>0.39788094418599801</v>
      </c>
      <c r="AF44" s="146">
        <v>0.56462335717213896</v>
      </c>
    </row>
    <row r="45" spans="1:33" x14ac:dyDescent="0.3">
      <c r="A45" s="12" t="s">
        <v>178</v>
      </c>
      <c r="B45" s="2" t="s">
        <v>70</v>
      </c>
      <c r="C45" s="2" t="s">
        <v>140</v>
      </c>
      <c r="D45" s="2" t="s">
        <v>151</v>
      </c>
      <c r="E45" s="238">
        <v>5.9499999999999997E-2</v>
      </c>
      <c r="F45" s="238">
        <v>0.13869999999999999</v>
      </c>
      <c r="G45" s="2">
        <v>121.08707</v>
      </c>
      <c r="H45" s="2">
        <v>56</v>
      </c>
      <c r="I45" s="2">
        <v>1000</v>
      </c>
      <c r="J45" s="2">
        <v>25</v>
      </c>
      <c r="K45" s="2">
        <v>1.5</v>
      </c>
      <c r="L45" s="2">
        <v>1.5</v>
      </c>
      <c r="M45" s="2">
        <v>0.7</v>
      </c>
      <c r="N45" s="208">
        <v>0.01</v>
      </c>
      <c r="O45" s="65">
        <v>3.8402299939937101E-2</v>
      </c>
      <c r="P45" s="2">
        <f>60+30.08</f>
        <v>90.08</v>
      </c>
      <c r="Q45" s="51">
        <f t="shared" si="4"/>
        <v>1.5013333333333334</v>
      </c>
      <c r="R45" s="2">
        <v>178</v>
      </c>
      <c r="S45" s="101">
        <v>3.8402299939937101E-2</v>
      </c>
      <c r="T45" s="110">
        <v>2.11580058696231</v>
      </c>
      <c r="U45" s="28">
        <v>5.4999272322099904</v>
      </c>
      <c r="V45" s="64">
        <v>9.6469999999999993E-3</v>
      </c>
      <c r="W45" s="64">
        <v>8.5518540000000005</v>
      </c>
      <c r="X45" s="64">
        <v>7.1656500000000003</v>
      </c>
      <c r="Y45" s="64">
        <v>44.150669999999998</v>
      </c>
      <c r="Z45" s="64">
        <v>42.528283999999999</v>
      </c>
      <c r="AA45" s="64">
        <v>1E-4</v>
      </c>
      <c r="AB45" s="28">
        <v>1.8579908802857801</v>
      </c>
      <c r="AC45" s="28">
        <v>8.1775317408284103</v>
      </c>
      <c r="AD45" s="64">
        <v>1.6426339999999999</v>
      </c>
      <c r="AE45" s="101">
        <v>0.31757632337055403</v>
      </c>
      <c r="AF45" s="146">
        <v>0.54477960707819395</v>
      </c>
    </row>
    <row r="46" spans="1:33" x14ac:dyDescent="0.3">
      <c r="A46" s="12" t="s">
        <v>179</v>
      </c>
      <c r="B46" s="2" t="s">
        <v>70</v>
      </c>
      <c r="C46" s="2" t="s">
        <v>122</v>
      </c>
      <c r="D46" s="2" t="s">
        <v>151</v>
      </c>
      <c r="E46" s="238">
        <v>2.0799999999999999E-2</v>
      </c>
      <c r="F46" s="2">
        <v>0.13406999999999999</v>
      </c>
      <c r="G46" s="238">
        <v>112</v>
      </c>
      <c r="H46" s="2">
        <v>47</v>
      </c>
      <c r="I46" s="2">
        <v>1000</v>
      </c>
      <c r="J46" s="2">
        <v>25</v>
      </c>
      <c r="K46" s="2">
        <v>1.5</v>
      </c>
      <c r="L46" s="2">
        <v>1.5</v>
      </c>
      <c r="M46" s="2">
        <v>0.7</v>
      </c>
      <c r="N46" s="208">
        <v>0.01</v>
      </c>
      <c r="O46" s="2">
        <v>8.8265947591760607E-3</v>
      </c>
      <c r="P46" s="2">
        <f>60+43.74</f>
        <v>103.74000000000001</v>
      </c>
      <c r="Q46" s="2">
        <f t="shared" si="4"/>
        <v>1.7290000000000001</v>
      </c>
      <c r="R46" s="2">
        <v>89</v>
      </c>
      <c r="S46" s="101">
        <v>0.105383452092423</v>
      </c>
      <c r="T46" s="110">
        <v>3.5356768395665998</v>
      </c>
      <c r="U46" s="28">
        <v>9.9829332274648994</v>
      </c>
      <c r="V46" s="64">
        <v>9.6469999999999993E-3</v>
      </c>
      <c r="W46" s="64">
        <v>8.5518540000000005</v>
      </c>
      <c r="X46" s="64">
        <v>7.1656500000000003</v>
      </c>
      <c r="Y46" s="64">
        <v>44.150669999999998</v>
      </c>
      <c r="Z46" s="64">
        <v>42.528283999999999</v>
      </c>
      <c r="AA46" s="64">
        <v>1E-4</v>
      </c>
      <c r="AB46" s="28">
        <v>1.17567480978393</v>
      </c>
      <c r="AC46" s="28">
        <v>9.2070071771859094</v>
      </c>
      <c r="AD46" s="64">
        <v>1.6426339999999999</v>
      </c>
      <c r="AE46" s="101">
        <v>0.52073472294353196</v>
      </c>
      <c r="AF46" s="146">
        <v>0.44949092132032797</v>
      </c>
    </row>
    <row r="47" spans="1:33" x14ac:dyDescent="0.3">
      <c r="A47" s="12" t="s">
        <v>180</v>
      </c>
      <c r="B47" s="2" t="s">
        <v>70</v>
      </c>
      <c r="C47" s="2" t="s">
        <v>122</v>
      </c>
      <c r="D47" s="2" t="s">
        <v>151</v>
      </c>
      <c r="E47" s="238">
        <v>5.9499999999999997E-2</v>
      </c>
      <c r="F47" s="2">
        <v>0.14666999999999999</v>
      </c>
      <c r="G47" s="2">
        <v>122.27418</v>
      </c>
      <c r="H47" s="2">
        <v>38</v>
      </c>
      <c r="I47" s="2">
        <v>1000</v>
      </c>
      <c r="J47" s="2">
        <v>25</v>
      </c>
      <c r="K47" s="2">
        <v>1.5</v>
      </c>
      <c r="L47" s="2">
        <v>1.5</v>
      </c>
      <c r="M47" s="2">
        <v>0.7</v>
      </c>
      <c r="N47" s="208">
        <v>0.01</v>
      </c>
      <c r="O47" s="2">
        <v>4.8442652254288297E-4</v>
      </c>
      <c r="P47" s="2">
        <f>2*60+3.13</f>
        <v>123.13</v>
      </c>
      <c r="Q47" s="51">
        <f t="shared" si="4"/>
        <v>2.0521666666666665</v>
      </c>
      <c r="R47" s="2">
        <v>217</v>
      </c>
      <c r="S47" s="101">
        <v>4.8741437043934903E-2</v>
      </c>
      <c r="T47" s="110">
        <v>7.6603531988672797</v>
      </c>
      <c r="U47" s="28">
        <v>1.5229205950140501</v>
      </c>
      <c r="V47" s="64">
        <v>9.6469999999999993E-3</v>
      </c>
      <c r="W47" s="64">
        <v>8.5518540000000005</v>
      </c>
      <c r="X47" s="64">
        <v>7.1656500000000003</v>
      </c>
      <c r="Y47" s="64">
        <v>44.150669999999998</v>
      </c>
      <c r="Z47" s="64">
        <v>42.528283999999999</v>
      </c>
      <c r="AA47" s="64">
        <v>1E-4</v>
      </c>
      <c r="AB47" s="28">
        <v>3.9188958113487402</v>
      </c>
      <c r="AC47" s="28">
        <v>6.0185853241665903</v>
      </c>
      <c r="AD47" s="64">
        <v>1.6426339999999999</v>
      </c>
      <c r="AE47" s="2">
        <v>0.31333772959334999</v>
      </c>
      <c r="AF47" s="146">
        <v>0.445690928548931</v>
      </c>
    </row>
    <row r="48" spans="1:33" x14ac:dyDescent="0.3">
      <c r="A48" s="12" t="s">
        <v>182</v>
      </c>
      <c r="B48" s="2" t="s">
        <v>70</v>
      </c>
      <c r="C48" s="2" t="s">
        <v>122</v>
      </c>
      <c r="D48" s="2" t="s">
        <v>151</v>
      </c>
      <c r="E48" s="2">
        <v>7.6980000000000007E-2</v>
      </c>
      <c r="F48" s="2">
        <v>0.14529</v>
      </c>
      <c r="G48" s="238">
        <v>123.4</v>
      </c>
      <c r="H48" s="2">
        <v>57</v>
      </c>
      <c r="I48" s="2">
        <v>1000</v>
      </c>
      <c r="J48" s="2">
        <v>25</v>
      </c>
      <c r="K48" s="2">
        <v>1.5</v>
      </c>
      <c r="L48" s="2">
        <v>1.5</v>
      </c>
      <c r="M48" s="2">
        <v>0.7</v>
      </c>
      <c r="N48" s="208">
        <v>0.01</v>
      </c>
      <c r="O48" s="2">
        <v>1.4333531291543899E-3</v>
      </c>
      <c r="P48" s="2">
        <v>30.52</v>
      </c>
      <c r="Q48" s="51">
        <f t="shared" si="4"/>
        <v>0.50866666666666671</v>
      </c>
      <c r="R48" s="2">
        <v>132</v>
      </c>
      <c r="S48" s="101">
        <v>1.0000892577510899E-2</v>
      </c>
      <c r="T48" s="2">
        <v>0.99785393702425695</v>
      </c>
      <c r="U48" s="28">
        <v>9.2876608328669406</v>
      </c>
      <c r="V48" s="64">
        <v>9.6469999999999993E-3</v>
      </c>
      <c r="W48" s="64">
        <v>8.5518540000000005</v>
      </c>
      <c r="X48" s="64">
        <v>7.1656500000000003</v>
      </c>
      <c r="Y48" s="64">
        <v>44.150669999999998</v>
      </c>
      <c r="Z48" s="64">
        <v>42.528283999999999</v>
      </c>
      <c r="AA48" s="64">
        <v>1E-4</v>
      </c>
      <c r="AB48" s="28">
        <v>1.0642696956248601</v>
      </c>
      <c r="AC48" s="28">
        <v>9.9121718010147202</v>
      </c>
      <c r="AD48" s="64">
        <v>1.6426339999999999</v>
      </c>
      <c r="AE48" s="101">
        <v>0.100516760514839</v>
      </c>
      <c r="AF48" s="146">
        <v>0.63987436884745696</v>
      </c>
    </row>
    <row r="49" spans="1:32" ht="15" thickBot="1" x14ac:dyDescent="0.35">
      <c r="A49" s="15" t="s">
        <v>181</v>
      </c>
      <c r="B49" s="6" t="s">
        <v>70</v>
      </c>
      <c r="C49" s="6" t="s">
        <v>116</v>
      </c>
      <c r="D49" s="6" t="s">
        <v>151</v>
      </c>
      <c r="E49" s="6">
        <v>5.6370000000000003E-2</v>
      </c>
      <c r="F49" s="6">
        <v>0.14785000000000001</v>
      </c>
      <c r="G49" s="6">
        <v>119.64809</v>
      </c>
      <c r="H49" s="6">
        <v>53</v>
      </c>
      <c r="I49" s="6">
        <v>1000</v>
      </c>
      <c r="J49" s="6">
        <v>25</v>
      </c>
      <c r="K49" s="6">
        <v>1.5</v>
      </c>
      <c r="L49" s="6">
        <v>1.5</v>
      </c>
      <c r="M49" s="6">
        <v>0.7</v>
      </c>
      <c r="N49" s="213">
        <v>0.01</v>
      </c>
      <c r="O49" s="6">
        <v>4.2929184671257597E-3</v>
      </c>
      <c r="P49" s="6">
        <f>5*60+55.73</f>
        <v>355.73</v>
      </c>
      <c r="Q49" s="172">
        <f t="shared" si="4"/>
        <v>5.9288333333333334</v>
      </c>
      <c r="R49" s="6">
        <v>209</v>
      </c>
      <c r="S49" s="132">
        <v>8.2243522723927098E-2</v>
      </c>
      <c r="T49" s="6">
        <v>0.762943024140597</v>
      </c>
      <c r="U49" s="131">
        <v>1.1476906759786101</v>
      </c>
      <c r="V49" s="130">
        <v>9.6469999999999993E-3</v>
      </c>
      <c r="W49" s="130">
        <v>8.5518540000000005</v>
      </c>
      <c r="X49" s="130">
        <v>7.1656500000000003</v>
      </c>
      <c r="Y49" s="130">
        <v>44.150669999999998</v>
      </c>
      <c r="Z49" s="130">
        <v>42.528283999999999</v>
      </c>
      <c r="AA49" s="130">
        <v>1E-4</v>
      </c>
      <c r="AB49" s="131">
        <v>9.9738294283142306</v>
      </c>
      <c r="AC49" s="132">
        <v>0.75743814074872495</v>
      </c>
      <c r="AD49" s="130">
        <v>1.6426339999999999</v>
      </c>
      <c r="AE49" s="132">
        <v>0.42476251512003999</v>
      </c>
      <c r="AF49" s="150">
        <v>0.283241147673369</v>
      </c>
    </row>
    <row r="52" spans="1:32" x14ac:dyDescent="0.3">
      <c r="R52" s="210" t="s">
        <v>136</v>
      </c>
      <c r="S52" s="215">
        <f>AVERAGE(S42:S49)</f>
        <v>8.511610421537065E-2</v>
      </c>
      <c r="T52" s="215">
        <f>AVERAGE(T42:T49)</f>
        <v>3.1382256509213056</v>
      </c>
      <c r="U52" s="215">
        <f t="shared" ref="U52:AF52" si="5">AVERAGE(U42:U49)</f>
        <v>4.4708027768579059</v>
      </c>
      <c r="V52" s="215"/>
      <c r="W52" s="215"/>
      <c r="X52" s="215"/>
      <c r="Y52" s="215"/>
      <c r="Z52" s="215"/>
      <c r="AA52" s="215"/>
      <c r="AB52" s="215">
        <f t="shared" si="5"/>
        <v>3.1974754466791566</v>
      </c>
      <c r="AC52" s="215">
        <f t="shared" si="5"/>
        <v>6.5177017430931423</v>
      </c>
      <c r="AD52" s="215"/>
      <c r="AE52" s="215">
        <f t="shared" si="5"/>
        <v>0.33546124061552524</v>
      </c>
      <c r="AF52" s="215">
        <f t="shared" si="5"/>
        <v>0.4767218079236652</v>
      </c>
    </row>
    <row r="53" spans="1:32" x14ac:dyDescent="0.3">
      <c r="R53" s="2" t="s">
        <v>137</v>
      </c>
      <c r="S53" s="2">
        <f>_xlfn.STDEV.S(S42:S49)</f>
        <v>6.9045157363829324E-2</v>
      </c>
      <c r="T53" s="2">
        <f>_xlfn.STDEV.S(T42:T49)</f>
        <v>2.3220049049552745</v>
      </c>
      <c r="U53" s="2">
        <f t="shared" ref="U53:AF53" si="6">_xlfn.STDEV.S(U42:U49)</f>
        <v>3.5227329958823028</v>
      </c>
      <c r="V53" s="2"/>
      <c r="W53" s="2"/>
      <c r="X53" s="2"/>
      <c r="Y53" s="2"/>
      <c r="Z53" s="2"/>
      <c r="AA53" s="2"/>
      <c r="AB53" s="2">
        <f t="shared" si="6"/>
        <v>2.8908618771572852</v>
      </c>
      <c r="AC53" s="2">
        <f t="shared" si="6"/>
        <v>3.6228871220996934</v>
      </c>
      <c r="AD53" s="2"/>
      <c r="AE53" s="2">
        <f t="shared" si="6"/>
        <v>0.12431419547841235</v>
      </c>
      <c r="AF53" s="2">
        <f t="shared" si="6"/>
        <v>0.10928918731305186</v>
      </c>
    </row>
    <row r="55" spans="1:32" ht="15" thickBot="1" x14ac:dyDescent="0.35"/>
    <row r="56" spans="1:32" ht="28.8" x14ac:dyDescent="0.3">
      <c r="A56" s="99" t="s">
        <v>133</v>
      </c>
      <c r="B56" s="98" t="s">
        <v>45</v>
      </c>
      <c r="C56" s="266" t="s">
        <v>109</v>
      </c>
      <c r="D56" s="226" t="s">
        <v>150</v>
      </c>
      <c r="E56" s="226" t="s">
        <v>157</v>
      </c>
      <c r="F56" s="226" t="s">
        <v>158</v>
      </c>
      <c r="G56" s="226" t="s">
        <v>159</v>
      </c>
      <c r="H56" s="226" t="s">
        <v>160</v>
      </c>
      <c r="I56" s="228" t="s">
        <v>47</v>
      </c>
      <c r="J56" s="228" t="s">
        <v>46</v>
      </c>
      <c r="K56" s="228" t="s">
        <v>48</v>
      </c>
      <c r="L56" s="228" t="s">
        <v>49</v>
      </c>
      <c r="M56" s="228" t="s">
        <v>50</v>
      </c>
      <c r="N56" s="98" t="s">
        <v>104</v>
      </c>
      <c r="O56" s="98" t="s">
        <v>9</v>
      </c>
      <c r="P56" s="98" t="s">
        <v>6</v>
      </c>
      <c r="Q56" s="98" t="s">
        <v>34</v>
      </c>
      <c r="R56" s="98" t="s">
        <v>113</v>
      </c>
      <c r="S56" s="229" t="s">
        <v>52</v>
      </c>
      <c r="T56" s="229" t="s">
        <v>53</v>
      </c>
      <c r="U56" s="229" t="s">
        <v>54</v>
      </c>
      <c r="V56" s="230" t="s">
        <v>55</v>
      </c>
      <c r="W56" s="230" t="s">
        <v>56</v>
      </c>
      <c r="X56" s="230" t="s">
        <v>57</v>
      </c>
      <c r="Y56" s="230" t="s">
        <v>58</v>
      </c>
      <c r="Z56" s="230" t="s">
        <v>59</v>
      </c>
      <c r="AA56" s="230" t="s">
        <v>60</v>
      </c>
      <c r="AB56" s="229" t="s">
        <v>61</v>
      </c>
      <c r="AC56" s="229" t="s">
        <v>65</v>
      </c>
      <c r="AD56" s="231" t="s">
        <v>62</v>
      </c>
      <c r="AE56" s="229" t="s">
        <v>63</v>
      </c>
      <c r="AF56" s="232" t="s">
        <v>64</v>
      </c>
    </row>
    <row r="57" spans="1:32" x14ac:dyDescent="0.3">
      <c r="A57" s="2" t="s">
        <v>134</v>
      </c>
      <c r="B57" s="2" t="s">
        <v>70</v>
      </c>
      <c r="C57" s="2" t="s">
        <v>110</v>
      </c>
      <c r="D57" s="2" t="s">
        <v>152</v>
      </c>
      <c r="E57" s="238">
        <v>0.2</v>
      </c>
      <c r="F57" s="238">
        <v>0.28009000000000001</v>
      </c>
      <c r="G57" s="237">
        <v>120.81480000000001</v>
      </c>
      <c r="H57" s="2">
        <v>40</v>
      </c>
      <c r="I57" s="2">
        <v>1000</v>
      </c>
      <c r="J57" s="2">
        <v>25</v>
      </c>
      <c r="K57" s="2">
        <v>1.5</v>
      </c>
      <c r="L57" s="2">
        <v>1.5</v>
      </c>
      <c r="M57" s="2">
        <v>0.7</v>
      </c>
      <c r="N57" s="208">
        <v>0.01</v>
      </c>
      <c r="O57" s="65">
        <v>1.05437471085419E-3</v>
      </c>
      <c r="P57" s="2">
        <f>5*60+31.28</f>
        <v>331.28</v>
      </c>
      <c r="Q57" s="51">
        <f>P57/60</f>
        <v>5.5213333333333328</v>
      </c>
      <c r="R57" s="2">
        <v>491</v>
      </c>
      <c r="S57" s="65">
        <v>6.0474330476258199E-2</v>
      </c>
      <c r="T57" s="101">
        <v>0.80628107870271104</v>
      </c>
      <c r="U57" s="28">
        <v>0.917299244931577</v>
      </c>
      <c r="V57" s="64">
        <v>9.6469999999999993E-3</v>
      </c>
      <c r="W57" s="64">
        <v>8.5518540000000005</v>
      </c>
      <c r="X57" s="64">
        <v>7.1656500000000003</v>
      </c>
      <c r="Y57" s="64">
        <v>44.150669999999998</v>
      </c>
      <c r="Z57" s="64">
        <v>42.528283999999999</v>
      </c>
      <c r="AA57" s="64">
        <v>1E-4</v>
      </c>
      <c r="AB57" s="28">
        <v>3.91745413934524</v>
      </c>
      <c r="AC57" s="28">
        <v>3.4102711653503799</v>
      </c>
      <c r="AD57" s="64">
        <v>1.6426339999999999</v>
      </c>
      <c r="AE57" s="2">
        <v>0.27767596716205301</v>
      </c>
      <c r="AF57" s="65">
        <v>0.62829096093755399</v>
      </c>
    </row>
    <row r="58" spans="1:32" x14ac:dyDescent="0.3">
      <c r="A58" s="2" t="s">
        <v>135</v>
      </c>
      <c r="B58" s="2" t="s">
        <v>70</v>
      </c>
      <c r="C58" s="2" t="s">
        <v>110</v>
      </c>
      <c r="D58" s="2" t="s">
        <v>151</v>
      </c>
      <c r="E58" s="238">
        <v>5.9499999999999997E-2</v>
      </c>
      <c r="F58" s="238">
        <v>0.12887999999999999</v>
      </c>
      <c r="G58" s="237">
        <v>119.19372</v>
      </c>
      <c r="H58" s="2">
        <v>34</v>
      </c>
      <c r="I58" s="2">
        <v>1000</v>
      </c>
      <c r="J58" s="2">
        <v>25</v>
      </c>
      <c r="K58" s="2">
        <v>1.5</v>
      </c>
      <c r="L58" s="2">
        <v>1.5</v>
      </c>
      <c r="M58" s="2">
        <v>0.7</v>
      </c>
      <c r="N58" s="208">
        <v>0.01</v>
      </c>
      <c r="O58" s="65">
        <v>7.5686483089474103E-4</v>
      </c>
      <c r="P58" s="2">
        <f>5*60+55.08</f>
        <v>355.08</v>
      </c>
      <c r="Q58" s="51">
        <f>P58/60</f>
        <v>5.9180000000000001</v>
      </c>
      <c r="R58" s="2">
        <v>168</v>
      </c>
      <c r="S58" s="289">
        <v>0.110272721924296</v>
      </c>
      <c r="T58" s="101">
        <v>1.17076295572537</v>
      </c>
      <c r="U58" s="28">
        <v>2.25578090010531</v>
      </c>
      <c r="V58" s="64">
        <v>9.6469999999999993E-3</v>
      </c>
      <c r="W58" s="64">
        <v>8.5518540000000005</v>
      </c>
      <c r="X58" s="64">
        <v>7.1656500000000003</v>
      </c>
      <c r="Y58" s="64">
        <v>44.150669999999998</v>
      </c>
      <c r="Z58" s="64">
        <v>42.528283999999999</v>
      </c>
      <c r="AA58" s="64">
        <v>1E-4</v>
      </c>
      <c r="AB58" s="28">
        <v>5.3631699111812496</v>
      </c>
      <c r="AC58" s="28">
        <v>9.2128024788256297</v>
      </c>
      <c r="AD58" s="64">
        <v>1.6426339999999999</v>
      </c>
      <c r="AE58" s="110">
        <v>1.01837154620533</v>
      </c>
      <c r="AF58" s="2">
        <v>0.15050491430758201</v>
      </c>
    </row>
    <row r="59" spans="1:32" x14ac:dyDescent="0.3">
      <c r="A59" s="2" t="s">
        <v>138</v>
      </c>
      <c r="B59" s="2" t="s">
        <v>70</v>
      </c>
      <c r="C59" s="2" t="s">
        <v>110</v>
      </c>
      <c r="D59" s="2" t="s">
        <v>151</v>
      </c>
      <c r="E59" s="238">
        <v>6.9739999999999996E-2</v>
      </c>
      <c r="F59" s="238">
        <v>0.14746000000000001</v>
      </c>
      <c r="G59" s="237">
        <v>120.92178</v>
      </c>
      <c r="H59" s="2">
        <v>37</v>
      </c>
      <c r="I59" s="2">
        <v>1000</v>
      </c>
      <c r="J59" s="2">
        <v>25</v>
      </c>
      <c r="K59" s="2">
        <v>1.5</v>
      </c>
      <c r="L59" s="2">
        <v>1.5</v>
      </c>
      <c r="M59" s="2">
        <v>0.7</v>
      </c>
      <c r="N59" s="208">
        <v>0.01</v>
      </c>
      <c r="O59" s="65">
        <v>6.4367444323311796E-4</v>
      </c>
      <c r="P59" s="2">
        <f>15*60+22.24</f>
        <v>922.24</v>
      </c>
      <c r="Q59" s="51">
        <f>P59/60</f>
        <v>15.370666666666667</v>
      </c>
      <c r="R59" s="2">
        <v>1001</v>
      </c>
      <c r="S59" s="2">
        <v>8.6457123240578596E-2</v>
      </c>
      <c r="T59" s="101">
        <v>0.60511754362607695</v>
      </c>
      <c r="U59" s="28">
        <v>1.4096919303894699</v>
      </c>
      <c r="V59" s="64">
        <v>9.6469999999999993E-3</v>
      </c>
      <c r="W59" s="64">
        <v>8.5518540000000005</v>
      </c>
      <c r="X59" s="64">
        <v>7.1656500000000003</v>
      </c>
      <c r="Y59" s="64">
        <v>44.150669999999998</v>
      </c>
      <c r="Z59" s="64">
        <v>42.528283999999999</v>
      </c>
      <c r="AA59" s="64">
        <v>1E-4</v>
      </c>
      <c r="AB59" s="28">
        <v>5.54125213678254</v>
      </c>
      <c r="AC59" s="28">
        <v>0.49724142545709898</v>
      </c>
      <c r="AD59" s="64">
        <v>1.6426339999999999</v>
      </c>
      <c r="AE59" s="2">
        <v>0.117665351146806</v>
      </c>
      <c r="AF59" s="65">
        <v>0.71892168022052105</v>
      </c>
    </row>
    <row r="60" spans="1:32" x14ac:dyDescent="0.3">
      <c r="A60" s="2" t="s">
        <v>183</v>
      </c>
      <c r="B60" s="2" t="s">
        <v>70</v>
      </c>
      <c r="C60" s="2" t="s">
        <v>140</v>
      </c>
      <c r="D60" s="2" t="s">
        <v>151</v>
      </c>
      <c r="E60" s="238">
        <v>5.9499999999999997E-2</v>
      </c>
      <c r="F60" s="2">
        <v>0.15695000000000001</v>
      </c>
      <c r="G60" s="2">
        <v>121.17444</v>
      </c>
      <c r="H60" s="2">
        <v>30</v>
      </c>
      <c r="I60" s="2">
        <v>1000</v>
      </c>
      <c r="J60" s="2">
        <v>25</v>
      </c>
      <c r="K60" s="2">
        <v>1.5</v>
      </c>
      <c r="L60" s="2">
        <v>1.5</v>
      </c>
      <c r="M60" s="2">
        <v>0.7</v>
      </c>
      <c r="N60" s="208">
        <v>0.01</v>
      </c>
      <c r="O60" s="65">
        <v>7.2432533472031901E-4</v>
      </c>
      <c r="P60" s="2">
        <f>60+0.53</f>
        <v>60.53</v>
      </c>
      <c r="Q60" s="51">
        <f>P60/60</f>
        <v>1.0088333333333332</v>
      </c>
      <c r="R60" s="2">
        <v>108</v>
      </c>
      <c r="S60" s="2">
        <v>0.20737125139700999</v>
      </c>
      <c r="T60" s="28">
        <v>2.9540123964987499</v>
      </c>
      <c r="U60" s="28">
        <v>2.5559566332007999</v>
      </c>
      <c r="V60" s="64">
        <v>9.6469999999999993E-3</v>
      </c>
      <c r="W60" s="64">
        <v>8.5518540000000005</v>
      </c>
      <c r="X60" s="64">
        <v>7.1656500000000003</v>
      </c>
      <c r="Y60" s="64">
        <v>44.150669999999998</v>
      </c>
      <c r="Z60" s="64">
        <v>42.528283999999999</v>
      </c>
      <c r="AA60" s="64">
        <v>1E-4</v>
      </c>
      <c r="AB60" s="28">
        <v>3.2346623768793901</v>
      </c>
      <c r="AC60" s="28">
        <v>3.4276780144013901</v>
      </c>
      <c r="AD60" s="64">
        <v>1.6426339999999999</v>
      </c>
      <c r="AE60" s="2">
        <v>0.48174393207586202</v>
      </c>
      <c r="AF60" s="2">
        <v>0.332899589400666</v>
      </c>
    </row>
    <row r="61" spans="1:32" x14ac:dyDescent="0.3">
      <c r="A61" s="2" t="s">
        <v>184</v>
      </c>
      <c r="B61" s="2" t="s">
        <v>70</v>
      </c>
      <c r="C61" s="289" t="s">
        <v>122</v>
      </c>
      <c r="D61" s="2" t="s">
        <v>151</v>
      </c>
      <c r="E61" s="290">
        <v>4.9919999999999999E-2</v>
      </c>
      <c r="F61" s="290">
        <v>0.14782999999999999</v>
      </c>
      <c r="G61" s="291">
        <v>128.59369000000001</v>
      </c>
      <c r="H61" s="289">
        <v>62</v>
      </c>
      <c r="I61" s="2">
        <v>1000</v>
      </c>
      <c r="J61" s="2">
        <v>25</v>
      </c>
      <c r="K61" s="2">
        <v>1.5</v>
      </c>
      <c r="L61" s="2">
        <v>1.5</v>
      </c>
      <c r="M61" s="2">
        <v>0.7</v>
      </c>
      <c r="N61" s="208">
        <v>0.01</v>
      </c>
      <c r="O61" s="65">
        <v>1.88054082771313E-3</v>
      </c>
      <c r="P61" s="2">
        <f>2*60+32.24</f>
        <v>152.24</v>
      </c>
      <c r="Q61" s="51">
        <f>P61/60</f>
        <v>2.5373333333333337</v>
      </c>
      <c r="R61" s="2">
        <v>432</v>
      </c>
      <c r="S61" s="2">
        <v>3.306098316587E-2</v>
      </c>
      <c r="T61" s="101">
        <v>0.85101829995948897</v>
      </c>
      <c r="U61" s="114">
        <v>2.1196550196688402</v>
      </c>
      <c r="V61" s="64">
        <v>9.6469999999999993E-3</v>
      </c>
      <c r="W61" s="64">
        <v>8.5518540000000005</v>
      </c>
      <c r="X61" s="64">
        <v>7.1656500000000003</v>
      </c>
      <c r="Y61" s="64">
        <v>44.150669999999998</v>
      </c>
      <c r="Z61" s="64">
        <v>42.528283999999999</v>
      </c>
      <c r="AA61" s="64">
        <v>1E-4</v>
      </c>
      <c r="AB61" s="28">
        <v>2.44704417604575</v>
      </c>
      <c r="AC61" s="28">
        <v>7.7954768578171203</v>
      </c>
      <c r="AD61" s="64">
        <v>1.6426339999999999</v>
      </c>
      <c r="AE61" s="2">
        <v>0.100000201296137</v>
      </c>
      <c r="AF61" s="2">
        <v>0.94046177354485205</v>
      </c>
    </row>
    <row r="62" spans="1:32" x14ac:dyDescent="0.3">
      <c r="A62" s="2" t="s">
        <v>185</v>
      </c>
      <c r="B62" s="2" t="s">
        <v>70</v>
      </c>
      <c r="C62" s="289" t="s">
        <v>122</v>
      </c>
      <c r="D62" s="2" t="s">
        <v>151</v>
      </c>
      <c r="E62" s="2">
        <v>5.2519999999999997E-2</v>
      </c>
      <c r="F62" s="2">
        <v>0.14022999999999999</v>
      </c>
      <c r="G62" s="2">
        <v>120.97647000000001</v>
      </c>
      <c r="H62" s="2">
        <v>54</v>
      </c>
      <c r="I62" s="2">
        <v>1000</v>
      </c>
      <c r="J62" s="2">
        <v>25</v>
      </c>
      <c r="K62" s="2">
        <v>1.5</v>
      </c>
      <c r="L62" s="2">
        <v>1.5</v>
      </c>
      <c r="M62" s="2">
        <v>0.7</v>
      </c>
      <c r="N62" s="208">
        <v>0.01</v>
      </c>
      <c r="O62" s="2">
        <v>2.1189638355423499E-3</v>
      </c>
      <c r="P62" s="2">
        <f>60+33.87</f>
        <v>93.87</v>
      </c>
      <c r="Q62" s="51">
        <f t="shared" ref="Q62:Q64" si="7">P62/60</f>
        <v>1.5645</v>
      </c>
      <c r="R62" s="2">
        <v>160</v>
      </c>
      <c r="S62" s="2">
        <v>0.10497160376817399</v>
      </c>
      <c r="T62" s="28">
        <v>1.81113648420804</v>
      </c>
      <c r="U62" s="28">
        <v>1.4008234445816401</v>
      </c>
      <c r="V62" s="64">
        <v>9.6469999999999993E-3</v>
      </c>
      <c r="W62" s="64">
        <v>8.5518540000000005</v>
      </c>
      <c r="X62" s="64">
        <v>7.1656500000000003</v>
      </c>
      <c r="Y62" s="64">
        <v>44.150669999999998</v>
      </c>
      <c r="Z62" s="64">
        <v>42.528283999999999</v>
      </c>
      <c r="AA62" s="64">
        <v>1E-4</v>
      </c>
      <c r="AB62" s="28">
        <v>2.60984128166039</v>
      </c>
      <c r="AC62" s="101">
        <v>0.25611441352126701</v>
      </c>
      <c r="AD62" s="64">
        <v>1.6426339999999999</v>
      </c>
      <c r="AE62" s="2">
        <v>0.52902190090615497</v>
      </c>
      <c r="AF62" s="2">
        <v>0.23427506645869101</v>
      </c>
    </row>
    <row r="63" spans="1:32" x14ac:dyDescent="0.3">
      <c r="A63" s="2" t="s">
        <v>186</v>
      </c>
      <c r="B63" s="2" t="s">
        <v>70</v>
      </c>
      <c r="C63" s="2" t="s">
        <v>116</v>
      </c>
      <c r="D63" s="2" t="s">
        <v>151</v>
      </c>
      <c r="E63" s="2">
        <v>7.4940000000000007E-2</v>
      </c>
      <c r="F63" s="2">
        <v>0.14054</v>
      </c>
      <c r="G63" s="2">
        <v>119.65543</v>
      </c>
      <c r="H63" s="2">
        <v>58</v>
      </c>
      <c r="I63" s="2">
        <v>1000</v>
      </c>
      <c r="J63" s="2">
        <v>25</v>
      </c>
      <c r="K63" s="2">
        <v>1.5</v>
      </c>
      <c r="L63" s="2">
        <v>1.5</v>
      </c>
      <c r="M63" s="2">
        <v>0.7</v>
      </c>
      <c r="N63" s="208">
        <v>0.01</v>
      </c>
      <c r="O63" s="2">
        <v>2.5065368345805802E-3</v>
      </c>
      <c r="P63" s="2">
        <f>2*60+36.72</f>
        <v>156.72</v>
      </c>
      <c r="Q63" s="51">
        <f t="shared" si="7"/>
        <v>2.6120000000000001</v>
      </c>
      <c r="R63" s="2">
        <v>153</v>
      </c>
      <c r="S63" s="2">
        <v>7.8621865559943202E-2</v>
      </c>
      <c r="T63" s="101">
        <v>0.23093201499208299</v>
      </c>
      <c r="U63" s="28">
        <v>1.83848445981227</v>
      </c>
      <c r="V63" s="64">
        <v>9.6469999999999993E-3</v>
      </c>
      <c r="W63" s="64">
        <v>8.5518540000000005</v>
      </c>
      <c r="X63" s="64">
        <v>7.1656500000000003</v>
      </c>
      <c r="Y63" s="64">
        <v>44.150669999999998</v>
      </c>
      <c r="Z63" s="64">
        <v>42.528283999999999</v>
      </c>
      <c r="AA63" s="64">
        <v>1E-4</v>
      </c>
      <c r="AB63" s="28">
        <v>9.9985034014893692</v>
      </c>
      <c r="AC63" s="101">
        <v>0.10064899698815</v>
      </c>
      <c r="AD63" s="64">
        <v>1.6426339999999999</v>
      </c>
      <c r="AE63" s="2">
        <v>0.48079074282344603</v>
      </c>
      <c r="AF63" s="2">
        <v>0.50037732726501705</v>
      </c>
    </row>
    <row r="64" spans="1:32" x14ac:dyDescent="0.3">
      <c r="A64" s="2" t="s">
        <v>188</v>
      </c>
      <c r="B64" s="2" t="s">
        <v>70</v>
      </c>
      <c r="C64" s="2" t="s">
        <v>116</v>
      </c>
      <c r="D64" s="2" t="s">
        <v>189</v>
      </c>
      <c r="E64" s="2">
        <v>7.8109999999999999E-2</v>
      </c>
      <c r="F64" s="2">
        <v>0.16527</v>
      </c>
      <c r="G64" s="2">
        <v>121.52355</v>
      </c>
      <c r="H64" s="2">
        <v>32</v>
      </c>
      <c r="I64" s="2">
        <v>1000</v>
      </c>
      <c r="J64" s="2">
        <v>25</v>
      </c>
      <c r="K64" s="2">
        <v>1.5</v>
      </c>
      <c r="L64" s="2">
        <v>1.5</v>
      </c>
      <c r="M64" s="2">
        <v>0.7</v>
      </c>
      <c r="N64" s="208">
        <v>0.01</v>
      </c>
      <c r="O64" s="2">
        <v>9.2472072928004301E-4</v>
      </c>
      <c r="P64" s="2">
        <f>3*60+48.32</f>
        <v>228.32</v>
      </c>
      <c r="Q64" s="51">
        <f t="shared" si="7"/>
        <v>3.805333333333333</v>
      </c>
      <c r="R64" s="2">
        <v>87</v>
      </c>
      <c r="S64" s="2">
        <v>0.17745534764967999</v>
      </c>
      <c r="T64" s="28">
        <v>5.6298853605892303</v>
      </c>
      <c r="U64" s="101">
        <v>0.64609460084592596</v>
      </c>
      <c r="V64" s="64">
        <v>9.6469999999999993E-3</v>
      </c>
      <c r="W64" s="64">
        <v>8.5518540000000005</v>
      </c>
      <c r="X64" s="64">
        <v>7.1656500000000003</v>
      </c>
      <c r="Y64" s="64">
        <v>44.150669999999998</v>
      </c>
      <c r="Z64" s="64">
        <v>42.528283999999999</v>
      </c>
      <c r="AA64" s="64">
        <v>1E-4</v>
      </c>
      <c r="AB64" s="28">
        <v>3.12755478753372</v>
      </c>
      <c r="AC64" s="28">
        <v>2.9544679403201899</v>
      </c>
      <c r="AD64" s="64">
        <v>1.6426339999999999</v>
      </c>
      <c r="AE64" s="2">
        <v>0.52849544374017199</v>
      </c>
      <c r="AF64" s="2">
        <v>0.10986835706202</v>
      </c>
    </row>
    <row r="65" spans="1:32" x14ac:dyDescent="0.3">
      <c r="A65" s="2" t="s">
        <v>187</v>
      </c>
      <c r="B65" s="2" t="s">
        <v>70</v>
      </c>
      <c r="C65" s="2" t="s">
        <v>116</v>
      </c>
      <c r="D65" s="2" t="s">
        <v>151</v>
      </c>
      <c r="E65" s="2">
        <v>4.7879999999999999E-2</v>
      </c>
      <c r="F65" s="2">
        <v>0.13164999999999999</v>
      </c>
      <c r="G65" s="2">
        <v>121.00412</v>
      </c>
      <c r="H65" s="2">
        <v>31</v>
      </c>
      <c r="I65" s="2">
        <v>1000</v>
      </c>
      <c r="J65" s="2">
        <v>25</v>
      </c>
      <c r="K65" s="2">
        <v>1.5</v>
      </c>
      <c r="L65" s="2">
        <v>1.5</v>
      </c>
      <c r="M65" s="2">
        <v>0.7</v>
      </c>
      <c r="N65" s="208">
        <v>0.01</v>
      </c>
      <c r="O65" s="2">
        <v>1.73092545738551E-3</v>
      </c>
      <c r="P65" s="2">
        <v>50.16</v>
      </c>
      <c r="Q65" s="51">
        <f>P65/60</f>
        <v>0.83599999999999997</v>
      </c>
      <c r="R65" s="2">
        <v>87</v>
      </c>
      <c r="S65" s="2">
        <v>0.20102964185372199</v>
      </c>
      <c r="T65" s="28">
        <v>2.94853983476197</v>
      </c>
      <c r="U65" s="101">
        <v>0.86368794878733401</v>
      </c>
      <c r="V65" s="64">
        <v>9.6469999999999993E-3</v>
      </c>
      <c r="W65" s="64">
        <v>8.5518540000000005</v>
      </c>
      <c r="X65" s="64">
        <v>7.1656500000000003</v>
      </c>
      <c r="Y65" s="64">
        <v>44.150669999999998</v>
      </c>
      <c r="Z65" s="64">
        <v>42.528283999999999</v>
      </c>
      <c r="AA65" s="64">
        <v>1E-4</v>
      </c>
      <c r="AB65" s="28">
        <v>7.0208069734406697</v>
      </c>
      <c r="AC65" s="28">
        <v>6.6848072808319596</v>
      </c>
      <c r="AD65" s="64">
        <v>1.6426339999999999</v>
      </c>
      <c r="AE65" s="2">
        <v>0.51114647179317296</v>
      </c>
      <c r="AF65" s="2">
        <v>0.17851425620450601</v>
      </c>
    </row>
    <row r="66" spans="1:32" x14ac:dyDescent="0.3">
      <c r="A66" s="261"/>
      <c r="B66" s="261"/>
      <c r="C66" s="262"/>
      <c r="D66" s="260"/>
      <c r="E66" s="260"/>
      <c r="F66" s="260"/>
      <c r="G66" s="260"/>
      <c r="H66" s="260"/>
      <c r="I66" s="263"/>
      <c r="J66" s="263"/>
      <c r="K66" s="263"/>
      <c r="L66" s="263"/>
      <c r="M66" s="263"/>
      <c r="N66" s="261"/>
      <c r="O66" s="261"/>
      <c r="P66" s="261"/>
      <c r="Q66" s="261"/>
      <c r="R66" s="261"/>
      <c r="S66" s="263"/>
      <c r="T66" s="263"/>
      <c r="U66" s="263"/>
      <c r="V66" s="263"/>
      <c r="W66" s="263"/>
      <c r="X66" s="263"/>
      <c r="Y66" s="263"/>
      <c r="Z66" s="263"/>
      <c r="AA66" s="263"/>
      <c r="AB66" s="263"/>
      <c r="AC66" s="263"/>
      <c r="AD66" s="264"/>
      <c r="AE66" s="263"/>
      <c r="AF66" s="263"/>
    </row>
    <row r="67" spans="1:32" x14ac:dyDescent="0.3">
      <c r="H67">
        <f>SUM(H57:H65)</f>
        <v>378</v>
      </c>
      <c r="N67" s="214"/>
      <c r="Q67" s="265"/>
      <c r="T67" s="114"/>
      <c r="U67" s="114"/>
      <c r="V67" s="115"/>
      <c r="W67" s="115"/>
      <c r="X67" s="115"/>
      <c r="Y67" s="115"/>
      <c r="Z67" s="115"/>
      <c r="AA67" s="115"/>
      <c r="AB67" s="114"/>
      <c r="AC67" s="114"/>
      <c r="AD67" s="115"/>
    </row>
    <row r="68" spans="1:32" x14ac:dyDescent="0.3">
      <c r="N68" s="214"/>
      <c r="O68" s="119"/>
      <c r="Q68" s="265"/>
      <c r="R68" s="210" t="s">
        <v>136</v>
      </c>
      <c r="S68" s="215">
        <f>AVERAGE(S57:S65)</f>
        <v>0.11774609655950356</v>
      </c>
      <c r="T68" s="210">
        <f>AVERAGE(T57:T65)</f>
        <v>1.8897428854515244</v>
      </c>
      <c r="U68" s="210">
        <f>AVERAGE(U57:U65)</f>
        <v>1.5563860202581297</v>
      </c>
      <c r="V68" s="210"/>
      <c r="W68" s="210"/>
      <c r="X68" s="210"/>
      <c r="Y68" s="210"/>
      <c r="Z68" s="210"/>
      <c r="AA68" s="210"/>
      <c r="AB68" s="210">
        <f>AVERAGE(AB57:AB65)</f>
        <v>4.8066987982620359</v>
      </c>
      <c r="AC68" s="210">
        <f>AVERAGE(AC57:AC65)</f>
        <v>3.815500952612576</v>
      </c>
      <c r="AD68" s="210"/>
      <c r="AE68" s="210">
        <f>AVERAGE(AE57:AE65)</f>
        <v>0.44943461746101487</v>
      </c>
      <c r="AF68" s="210">
        <f>AVERAGE(AF57:AF65)</f>
        <v>0.42156821393348992</v>
      </c>
    </row>
    <row r="69" spans="1:32" x14ac:dyDescent="0.3">
      <c r="R69" s="2" t="s">
        <v>137</v>
      </c>
      <c r="S69" s="2">
        <f>_xlfn.STDEV.S(S57:S65)</f>
        <v>6.2962667391211521E-2</v>
      </c>
      <c r="T69" s="2">
        <f>_xlfn.STDEV.S(T57:T65)</f>
        <v>1.7110030477768026</v>
      </c>
      <c r="U69" s="2">
        <f>_xlfn.STDEV.S(U57:U65)</f>
        <v>0.67525531905871516</v>
      </c>
      <c r="V69" s="2"/>
      <c r="W69" s="2"/>
      <c r="X69" s="2"/>
      <c r="Y69" s="2"/>
      <c r="Z69" s="2"/>
      <c r="AA69" s="2"/>
      <c r="AB69" s="2">
        <f>_xlfn.STDEV.S(AB57:AB65)</f>
        <v>2.4794674534780832</v>
      </c>
      <c r="AC69" s="2">
        <f>_xlfn.STDEV.S(AC57:AC65)</f>
        <v>3.3863732501122064</v>
      </c>
      <c r="AD69" s="2"/>
      <c r="AE69" s="2">
        <f>_xlfn.STDEV.S(AE57:AE65)</f>
        <v>0.27472388898322808</v>
      </c>
      <c r="AF69" s="2">
        <f>_xlfn.STDEV.S(AF57:AF65)</f>
        <v>0.29138955201867056</v>
      </c>
    </row>
    <row r="73" spans="1:32" x14ac:dyDescent="0.3">
      <c r="A73" s="209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honeticPr fontId="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FD297-C4EF-47A3-9BB7-0714479252AA}">
  <dimension ref="A1:M32"/>
  <sheetViews>
    <sheetView zoomScaleNormal="100" workbookViewId="0">
      <selection activeCell="T32" sqref="T32"/>
    </sheetView>
  </sheetViews>
  <sheetFormatPr baseColWidth="10" defaultRowHeight="14.4" x14ac:dyDescent="0.3"/>
  <cols>
    <col min="1" max="1" width="4" customWidth="1"/>
    <col min="10" max="10" width="10" bestFit="1" customWidth="1"/>
    <col min="11" max="11" width="15.88671875" bestFit="1" customWidth="1"/>
  </cols>
  <sheetData>
    <row r="1" spans="1:13" x14ac:dyDescent="0.3">
      <c r="L1" t="s">
        <v>173</v>
      </c>
      <c r="M1">
        <v>7</v>
      </c>
    </row>
    <row r="2" spans="1:13" x14ac:dyDescent="0.3">
      <c r="C2" s="104" t="s">
        <v>52</v>
      </c>
      <c r="D2" s="104" t="s">
        <v>53</v>
      </c>
      <c r="E2" s="104" t="s">
        <v>54</v>
      </c>
      <c r="F2" s="104" t="s">
        <v>61</v>
      </c>
      <c r="G2" s="104" t="s">
        <v>65</v>
      </c>
      <c r="H2" s="104" t="s">
        <v>63</v>
      </c>
      <c r="I2" s="104" t="s">
        <v>64</v>
      </c>
      <c r="J2" s="104" t="s">
        <v>162</v>
      </c>
      <c r="K2" s="104" t="s">
        <v>170</v>
      </c>
      <c r="L2" s="104" t="s">
        <v>172</v>
      </c>
    </row>
    <row r="3" spans="1:13" x14ac:dyDescent="0.3">
      <c r="B3" s="220" t="s">
        <v>127</v>
      </c>
      <c r="C3" s="242">
        <f>'Pruebas variedades'!S20</f>
        <v>9.2298363684499451E-2</v>
      </c>
      <c r="D3" s="242">
        <f>'Pruebas variedades'!T20</f>
        <v>1.4329067184418673</v>
      </c>
      <c r="E3" s="242">
        <f>'Pruebas variedades'!U20</f>
        <v>5.7996119857887543</v>
      </c>
      <c r="F3" s="242">
        <f>'Pruebas variedades'!AB20</f>
        <v>3.5090837563444373</v>
      </c>
      <c r="G3" s="242">
        <f>'Pruebas variedades'!AC20</f>
        <v>6.4898138659096531</v>
      </c>
      <c r="H3" s="242">
        <f>'Pruebas variedades'!AE20</f>
        <v>0.35703827704971747</v>
      </c>
      <c r="I3" s="242">
        <f>'Pruebas variedades'!AF20</f>
        <v>0.6505524194218153</v>
      </c>
      <c r="J3" s="2">
        <f>SUM('Pruebas variedades'!H2:H5)+4</f>
        <v>207</v>
      </c>
      <c r="K3" s="2">
        <v>4</v>
      </c>
      <c r="L3" s="2">
        <f>J3-$M$1</f>
        <v>200</v>
      </c>
    </row>
    <row r="4" spans="1:13" x14ac:dyDescent="0.3">
      <c r="B4" s="239" t="s">
        <v>126</v>
      </c>
      <c r="C4" s="242">
        <f>'Pruebas variedades'!S21</f>
        <v>5.6623375029387607E-2</v>
      </c>
      <c r="D4" s="242">
        <f>'Pruebas variedades'!T21</f>
        <v>1.0674755455728331</v>
      </c>
      <c r="E4" s="242">
        <f>'Pruebas variedades'!U21</f>
        <v>3.7373191145113278</v>
      </c>
      <c r="F4" s="242">
        <f>'Pruebas variedades'!AB21</f>
        <v>2.1862359325412095</v>
      </c>
      <c r="G4" s="242">
        <f>'Pruebas variedades'!AC21</f>
        <v>1.7784686194618968</v>
      </c>
      <c r="H4" s="242">
        <f>'Pruebas variedades'!AE21</f>
        <v>0.42569788985141976</v>
      </c>
      <c r="I4" s="242">
        <f>'Pruebas variedades'!AF21</f>
        <v>0.31051964173200736</v>
      </c>
      <c r="J4" s="2"/>
      <c r="K4" s="2"/>
      <c r="L4" s="2"/>
    </row>
    <row r="5" spans="1:13" x14ac:dyDescent="0.3">
      <c r="B5" s="240" t="s">
        <v>128</v>
      </c>
      <c r="C5" s="243">
        <f>'Pruebas variedades'!S22</f>
        <v>0.11458296113220082</v>
      </c>
      <c r="D5" s="243">
        <f>'Pruebas variedades'!T22</f>
        <v>2.3816558095654399</v>
      </c>
      <c r="E5" s="243">
        <f>'Pruebas variedades'!U22</f>
        <v>2.44159155529674</v>
      </c>
      <c r="F5" s="243">
        <f>'Pruebas variedades'!AB22</f>
        <v>4.5671855256312925</v>
      </c>
      <c r="G5" s="243">
        <f>'Pruebas variedades'!AC22</f>
        <v>6.072589850115178</v>
      </c>
      <c r="H5" s="243">
        <f>'Pruebas variedades'!AE22</f>
        <v>0.47815488558102925</v>
      </c>
      <c r="I5" s="243">
        <f>'Pruebas variedades'!AF22</f>
        <v>0.45938950201988871</v>
      </c>
      <c r="J5" s="2">
        <f>SUM('Pruebas variedades'!H6:H9)+4</f>
        <v>150</v>
      </c>
      <c r="K5" s="2">
        <v>4</v>
      </c>
      <c r="L5" s="2">
        <f>J5-$M$1</f>
        <v>143</v>
      </c>
    </row>
    <row r="6" spans="1:13" x14ac:dyDescent="0.3">
      <c r="B6" s="240" t="s">
        <v>129</v>
      </c>
      <c r="C6" s="243">
        <f>'Pruebas variedades'!S23</f>
        <v>4.6463449257637505E-2</v>
      </c>
      <c r="D6" s="243">
        <f>'Pruebas variedades'!T23</f>
        <v>1.1080029017991904</v>
      </c>
      <c r="E6" s="243">
        <f>'Pruebas variedades'!U23</f>
        <v>1.1256344609963469</v>
      </c>
      <c r="F6" s="243">
        <f>'Pruebas variedades'!AB23</f>
        <v>1.1562535226175066</v>
      </c>
      <c r="G6" s="243">
        <f>'Pruebas variedades'!AC23</f>
        <v>2.6481579045737234</v>
      </c>
      <c r="H6" s="243">
        <f>'Pruebas variedades'!AE23</f>
        <v>0.3160706704621371</v>
      </c>
      <c r="I6" s="243">
        <f>'Pruebas variedades'!AF23</f>
        <v>0.19388252982129142</v>
      </c>
      <c r="J6" s="2"/>
      <c r="K6" s="2"/>
      <c r="L6" s="2"/>
    </row>
    <row r="7" spans="1:13" x14ac:dyDescent="0.3">
      <c r="B7" s="241" t="s">
        <v>130</v>
      </c>
      <c r="C7" s="244">
        <f>'Pruebas variedades'!S24</f>
        <v>4.7734143073010528E-2</v>
      </c>
      <c r="D7" s="244">
        <f>'Pruebas variedades'!T24</f>
        <v>2.5384836885725202</v>
      </c>
      <c r="E7" s="244">
        <f>'Pruebas variedades'!U24</f>
        <v>5.1231144449777268</v>
      </c>
      <c r="F7" s="244">
        <f>'Pruebas variedades'!AB24</f>
        <v>1.7718659520169024</v>
      </c>
      <c r="G7" s="244">
        <f>'Pruebas variedades'!AC24</f>
        <v>6.4202575709229679</v>
      </c>
      <c r="H7" s="244">
        <f>'Pruebas variedades'!AE24</f>
        <v>0.34408270272760899</v>
      </c>
      <c r="I7" s="244">
        <f>'Pruebas variedades'!AF24</f>
        <v>0.49614549811132402</v>
      </c>
      <c r="J7" s="2">
        <f>SUM('Pruebas variedades'!H10:H13)+4</f>
        <v>181</v>
      </c>
      <c r="K7" s="2">
        <v>4</v>
      </c>
      <c r="L7" s="2">
        <f>J7-$M$1</f>
        <v>174</v>
      </c>
    </row>
    <row r="8" spans="1:13" x14ac:dyDescent="0.3">
      <c r="B8" s="241" t="s">
        <v>131</v>
      </c>
      <c r="C8" s="244">
        <f>'Pruebas variedades'!S25</f>
        <v>3.0174715758036277E-2</v>
      </c>
      <c r="D8" s="244">
        <f>'Pruebas variedades'!T25</f>
        <v>1.1666618279564698</v>
      </c>
      <c r="E8" s="244">
        <f>'Pruebas variedades'!U25</f>
        <v>3.840019873114644</v>
      </c>
      <c r="F8" s="244">
        <f>'Pruebas variedades'!AB25</f>
        <v>1.7579086692049222</v>
      </c>
      <c r="G8" s="244">
        <f>'Pruebas variedades'!AC25</f>
        <v>1.838960974355333</v>
      </c>
      <c r="H8" s="244">
        <f>'Pruebas variedades'!AE25</f>
        <v>0.20677196411711046</v>
      </c>
      <c r="I8" s="244">
        <f>'Pruebas variedades'!AF25</f>
        <v>0.31429178315771072</v>
      </c>
      <c r="J8" s="2"/>
      <c r="K8" s="2"/>
      <c r="L8" s="2"/>
    </row>
    <row r="9" spans="1:13" x14ac:dyDescent="0.3">
      <c r="B9" s="167" t="s">
        <v>141</v>
      </c>
      <c r="C9" s="245">
        <f>'Pruebas variedades'!S26</f>
        <v>6.3936872538024325E-2</v>
      </c>
      <c r="D9" s="245">
        <f>'Pruebas variedades'!T26</f>
        <v>2.8736702489515067</v>
      </c>
      <c r="E9" s="245">
        <f>'Pruebas variedades'!U26</f>
        <v>2.1100142542674427</v>
      </c>
      <c r="F9" s="245">
        <f>'Pruebas variedades'!AB26</f>
        <v>5.1995756745121327</v>
      </c>
      <c r="G9" s="245">
        <f>'Pruebas variedades'!AC26</f>
        <v>7.298476669536158</v>
      </c>
      <c r="H9" s="245">
        <f>'Pruebas variedades'!AE26</f>
        <v>0.47023883013880124</v>
      </c>
      <c r="I9" s="245">
        <f>'Pruebas variedades'!AF26</f>
        <v>0.32327892204422176</v>
      </c>
      <c r="J9" s="2">
        <f>SUM('Pruebas variedades'!H14:H17)+4</f>
        <v>222</v>
      </c>
      <c r="K9" s="2">
        <v>4</v>
      </c>
      <c r="L9" s="2">
        <f>J9-$M$1</f>
        <v>215</v>
      </c>
    </row>
    <row r="10" spans="1:13" x14ac:dyDescent="0.3">
      <c r="B10" s="167" t="s">
        <v>143</v>
      </c>
      <c r="C10" s="245">
        <f>'Pruebas variedades'!S27</f>
        <v>3.0317363820099252E-2</v>
      </c>
      <c r="D10" s="245">
        <f>'Pruebas variedades'!T27</f>
        <v>2.7627166177350237</v>
      </c>
      <c r="E10" s="245">
        <f>'Pruebas variedades'!U27</f>
        <v>1.0244911095725024</v>
      </c>
      <c r="F10" s="245">
        <f>'Pruebas variedades'!AB27</f>
        <v>3.4591356342734225</v>
      </c>
      <c r="G10" s="245">
        <f>'Pruebas variedades'!AC27</f>
        <v>2.8831813091689531</v>
      </c>
      <c r="H10" s="245">
        <f>'Pruebas variedades'!AE27</f>
        <v>0.26934286105384592</v>
      </c>
      <c r="I10" s="245">
        <f>'Pruebas variedades'!AF27</f>
        <v>0.19665006528609602</v>
      </c>
      <c r="J10" s="2"/>
      <c r="K10" s="2"/>
      <c r="L10" s="2"/>
    </row>
    <row r="14" spans="1:13" x14ac:dyDescent="0.3">
      <c r="C14" s="104" t="s">
        <v>52</v>
      </c>
      <c r="D14" s="104" t="s">
        <v>53</v>
      </c>
      <c r="E14" s="104" t="s">
        <v>54</v>
      </c>
      <c r="F14" s="104" t="s">
        <v>61</v>
      </c>
      <c r="G14" s="104" t="s">
        <v>65</v>
      </c>
      <c r="H14" s="104" t="s">
        <v>63</v>
      </c>
      <c r="I14" s="104" t="s">
        <v>64</v>
      </c>
    </row>
    <row r="15" spans="1:13" x14ac:dyDescent="0.3">
      <c r="A15" s="285" t="s">
        <v>169</v>
      </c>
      <c r="B15" s="2" t="s">
        <v>163</v>
      </c>
      <c r="C15" s="2">
        <f>(C3-C5)/(SQRT(C4^2+C6^2))</f>
        <v>-0.30424086954303181</v>
      </c>
      <c r="D15" s="2">
        <f t="shared" ref="D15:H15" si="0">(D3-D5)/(SQRT(D4^2+D6^2))</f>
        <v>-0.61664645426135622</v>
      </c>
      <c r="E15" s="2">
        <f t="shared" si="0"/>
        <v>0.86033522536107254</v>
      </c>
      <c r="F15" s="2">
        <f t="shared" si="0"/>
        <v>-0.42783290544609914</v>
      </c>
      <c r="G15" s="2">
        <f t="shared" si="0"/>
        <v>0.13079385652279485</v>
      </c>
      <c r="H15" s="2">
        <f t="shared" si="0"/>
        <v>-0.22843272575364412</v>
      </c>
      <c r="I15" s="2">
        <f>(I3-I5)/(SQRT(I4^2+I6^2))</f>
        <v>0.52219219255121152</v>
      </c>
    </row>
    <row r="16" spans="1:13" x14ac:dyDescent="0.3">
      <c r="A16" s="285"/>
      <c r="B16" s="2" t="s">
        <v>164</v>
      </c>
      <c r="C16" s="2">
        <f>(C3-C7)/(SQRT(C4^2+C8^2))</f>
        <v>0.69456140514765274</v>
      </c>
      <c r="D16" s="2">
        <f t="shared" ref="D16:I16" si="1">(D3-D7)/(SQRT(D4^2+D8^2))</f>
        <v>-0.69914383877794362</v>
      </c>
      <c r="E16" s="2">
        <f t="shared" si="1"/>
        <v>0.12624803190722034</v>
      </c>
      <c r="F16" s="2">
        <f t="shared" si="1"/>
        <v>0.61925636659598504</v>
      </c>
      <c r="G16" s="2">
        <f t="shared" si="1"/>
        <v>2.7188837340463984E-2</v>
      </c>
      <c r="H16" s="2">
        <f t="shared" si="1"/>
        <v>2.7375276111239043E-2</v>
      </c>
      <c r="I16" s="2">
        <f t="shared" si="1"/>
        <v>0.34948205833030288</v>
      </c>
    </row>
    <row r="17" spans="1:9" x14ac:dyDescent="0.3">
      <c r="A17" s="285"/>
      <c r="B17" s="2" t="s">
        <v>165</v>
      </c>
      <c r="C17" s="2">
        <f>(C3-C9)/(SQRT(C4^2+C10^2))</f>
        <v>0.44156913097067862</v>
      </c>
      <c r="D17" s="2">
        <f t="shared" ref="D17:I17" si="2">(D3-D9)/(SQRT(D4^2+D10^2))</f>
        <v>-0.48645283960574437</v>
      </c>
      <c r="E17" s="2">
        <f t="shared" si="2"/>
        <v>0.95210634372422565</v>
      </c>
      <c r="F17" s="2">
        <f t="shared" si="2"/>
        <v>-0.41311153470108591</v>
      </c>
      <c r="G17" s="2">
        <f t="shared" si="2"/>
        <v>-0.23871414622214812</v>
      </c>
      <c r="H17" s="2">
        <f t="shared" si="2"/>
        <v>-0.22471564616894601</v>
      </c>
      <c r="I17" s="2">
        <f t="shared" si="2"/>
        <v>0.89041669774595866</v>
      </c>
    </row>
    <row r="18" spans="1:9" x14ac:dyDescent="0.3">
      <c r="A18" s="285"/>
      <c r="B18" s="2" t="s">
        <v>166</v>
      </c>
      <c r="C18" s="2">
        <f>(C7-C5)/(SQRT(C8^2+C6^2))</f>
        <v>-1.2066169536862981</v>
      </c>
      <c r="D18" s="2">
        <f t="shared" ref="D18:I18" si="3">(D7-D5)/(SQRT(D8^2+D6^2))</f>
        <v>9.7471245218122421E-2</v>
      </c>
      <c r="E18" s="2">
        <f t="shared" si="3"/>
        <v>0.67011261445725534</v>
      </c>
      <c r="F18" s="2">
        <f t="shared" si="3"/>
        <v>-1.3285215593913737</v>
      </c>
      <c r="G18" s="2">
        <f t="shared" si="3"/>
        <v>0.10783560962189444</v>
      </c>
      <c r="H18" s="2">
        <f t="shared" si="3"/>
        <v>-0.35497249527613528</v>
      </c>
      <c r="I18" s="2">
        <f t="shared" si="3"/>
        <v>9.9533472995435801E-2</v>
      </c>
    </row>
    <row r="19" spans="1:9" x14ac:dyDescent="0.3">
      <c r="A19" s="285"/>
      <c r="B19" s="2" t="s">
        <v>167</v>
      </c>
      <c r="C19" s="2">
        <f>(C9-C5)/(SQRT(C10^2+C6^2))</f>
        <v>-0.91287639837884627</v>
      </c>
      <c r="D19" s="2">
        <f t="shared" ref="D19:I19" si="4">(D9-D5)/(SQRT(D10^2+D6^2))</f>
        <v>0.16529293203855033</v>
      </c>
      <c r="E19" s="2">
        <f t="shared" si="4"/>
        <v>-0.21784920928410009</v>
      </c>
      <c r="F19" s="2">
        <f t="shared" si="4"/>
        <v>0.17338749973723486</v>
      </c>
      <c r="G19" s="2">
        <f t="shared" si="4"/>
        <v>0.31314350417034309</v>
      </c>
      <c r="H19" s="2">
        <f t="shared" si="4"/>
        <v>-1.9062592124909222E-2</v>
      </c>
      <c r="I19" s="2">
        <f t="shared" si="4"/>
        <v>-0.49287715653563524</v>
      </c>
    </row>
    <row r="20" spans="1:9" x14ac:dyDescent="0.3">
      <c r="A20" s="285"/>
      <c r="B20" s="2" t="s">
        <v>168</v>
      </c>
      <c r="C20" s="2">
        <f>(C9-C7)/(SQRT(C10^2+C8^2))</f>
        <v>0.3787943183125167</v>
      </c>
      <c r="D20" s="2">
        <f t="shared" ref="D20:I20" si="5">(D9-D7)/(SQRT(D10^2+D8^2))</f>
        <v>0.11176796088997636</v>
      </c>
      <c r="E20" s="2">
        <f t="shared" si="5"/>
        <v>-0.7581395567682343</v>
      </c>
      <c r="F20" s="2">
        <f t="shared" si="5"/>
        <v>0.88338744042363659</v>
      </c>
      <c r="G20" s="2">
        <f t="shared" si="5"/>
        <v>0.25680993853067741</v>
      </c>
      <c r="H20" s="2">
        <f t="shared" si="5"/>
        <v>0.37152947804412989</v>
      </c>
      <c r="I20" s="2">
        <f t="shared" si="5"/>
        <v>-0.46627029941558018</v>
      </c>
    </row>
    <row r="21" spans="1:9" x14ac:dyDescent="0.3">
      <c r="A21" s="286" t="s">
        <v>171</v>
      </c>
      <c r="B21" s="2" t="s">
        <v>163</v>
      </c>
      <c r="C21" s="2">
        <f>(C4^2+C6^2)^2/(C4^4/$L$3+C6^4/$L$5)</f>
        <v>342.70284570401367</v>
      </c>
      <c r="D21" s="2">
        <f t="shared" ref="D21:H21" si="6">(D4^2+D6^2)^2/(D4^4/$L$3+D6^4/$L$5)</f>
        <v>328.99864791696416</v>
      </c>
      <c r="E21" s="2">
        <f t="shared" si="6"/>
        <v>235.22418585621651</v>
      </c>
      <c r="F21" s="2">
        <f t="shared" si="6"/>
        <v>295.22749911753164</v>
      </c>
      <c r="G21" s="2">
        <f t="shared" si="6"/>
        <v>262.8524303888147</v>
      </c>
      <c r="H21" s="2">
        <f t="shared" si="6"/>
        <v>337.73803551202604</v>
      </c>
      <c r="I21" s="2">
        <f>(I4^2+I6^2)^2/(I4^4/$L$3+I6^4/$L$5)</f>
        <v>318.61165417075699</v>
      </c>
    </row>
    <row r="22" spans="1:9" x14ac:dyDescent="0.3">
      <c r="A22" s="286"/>
      <c r="B22" s="2" t="s">
        <v>164</v>
      </c>
      <c r="C22" s="2">
        <f>(C4^2+C8^2)^2/(C4^4/$L$3+C8^4/$L$7)</f>
        <v>301.75154529452226</v>
      </c>
      <c r="D22" s="2">
        <f t="shared" ref="D22:I22" si="7">(D4^2+D8^2)^2/(D4^4/$L$3+D8^4/$L$7)</f>
        <v>364.83237640970998</v>
      </c>
      <c r="E22" s="2">
        <f t="shared" si="7"/>
        <v>370.52412436129072</v>
      </c>
      <c r="F22" s="2">
        <f t="shared" si="7"/>
        <v>366.24666288108506</v>
      </c>
      <c r="G22" s="2">
        <f t="shared" si="7"/>
        <v>370.05848343567254</v>
      </c>
      <c r="H22" s="2">
        <f t="shared" si="7"/>
        <v>287.13316705690886</v>
      </c>
      <c r="I22" s="2">
        <f t="shared" si="7"/>
        <v>371.51467425121683</v>
      </c>
    </row>
    <row r="23" spans="1:9" x14ac:dyDescent="0.3">
      <c r="A23" s="286"/>
      <c r="B23" s="2" t="s">
        <v>165</v>
      </c>
      <c r="C23" s="2">
        <f>(C4^2+C10^2)^2/(C4^4/$L$3+C10^4/$L$9)</f>
        <v>307.59181632931364</v>
      </c>
      <c r="D23" s="2">
        <f t="shared" ref="D23:I23" si="8">(D4^2+D10^2)^2/(D4^4/$L$3+D10^4/$L$9)</f>
        <v>277.34336225285068</v>
      </c>
      <c r="E23" s="2">
        <f t="shared" si="8"/>
        <v>229.97903808919679</v>
      </c>
      <c r="F23" s="2">
        <f t="shared" si="8"/>
        <v>359.41799945582557</v>
      </c>
      <c r="G23" s="2">
        <f t="shared" si="8"/>
        <v>354.55812635167752</v>
      </c>
      <c r="H23" s="2">
        <f t="shared" si="8"/>
        <v>341.29996186811411</v>
      </c>
      <c r="I23" s="2">
        <f t="shared" si="8"/>
        <v>341.4968397934739</v>
      </c>
    </row>
    <row r="24" spans="1:9" x14ac:dyDescent="0.3">
      <c r="A24" s="286"/>
      <c r="B24" s="2" t="s">
        <v>166</v>
      </c>
      <c r="C24" s="2">
        <f>(C8^2+C6^2)^2/(C8^4/$L$7+C6^4/$L$5)</f>
        <v>252.19203918189302</v>
      </c>
      <c r="D24" s="2">
        <f>(D8^2+D6^2)^2/(D8^4/$L$7+D6^4/$L$5)</f>
        <v>316.31683982645825</v>
      </c>
      <c r="E24" s="2">
        <f>(E8^2+E6^2)^2/(E8^4/$L$7+E6^4/$L$5)</f>
        <v>203.36019496223906</v>
      </c>
      <c r="F24" s="2">
        <f t="shared" ref="F24:I24" si="9">(F8^2+F6^2)^2/(F8^4/$L$7+F6^4/$L$5)</f>
        <v>290.87665893032789</v>
      </c>
      <c r="G24" s="2">
        <f t="shared" si="9"/>
        <v>263.76336313023643</v>
      </c>
      <c r="H24" s="2">
        <f t="shared" si="9"/>
        <v>253.44168694500007</v>
      </c>
      <c r="I24" s="2">
        <f t="shared" si="9"/>
        <v>281.9471045416517</v>
      </c>
    </row>
    <row r="25" spans="1:9" x14ac:dyDescent="0.3">
      <c r="A25" s="286"/>
      <c r="B25" s="2" t="s">
        <v>167</v>
      </c>
      <c r="C25" s="2">
        <f>(C10^2+C6^2)^2/(C10^4/$L$9+C6^4/$L$5)</f>
        <v>259.41155807812788</v>
      </c>
      <c r="D25" s="2">
        <f t="shared" ref="D25:I25" si="10">(D10^2+D6^2)^2/(D10^4/$L$9+D6^4/$L$5)</f>
        <v>278.87828399035828</v>
      </c>
      <c r="E25" s="2">
        <f t="shared" si="10"/>
        <v>328.23324609465595</v>
      </c>
      <c r="F25" s="2">
        <f t="shared" si="10"/>
        <v>260.83241505057828</v>
      </c>
      <c r="G25" s="2">
        <f t="shared" si="10"/>
        <v>353.02453970675589</v>
      </c>
      <c r="H25" s="2">
        <f t="shared" si="10"/>
        <v>315.45372254121713</v>
      </c>
      <c r="I25" s="2">
        <f t="shared" si="10"/>
        <v>345.41928372612529</v>
      </c>
    </row>
    <row r="26" spans="1:9" x14ac:dyDescent="0.3">
      <c r="A26" s="286"/>
      <c r="B26" s="2" t="s">
        <v>168</v>
      </c>
      <c r="C26" s="2">
        <f>(C10^2+C8^2)^2/(C10^4/$L$9+C8^4/$L$7)</f>
        <v>385.05290533508668</v>
      </c>
      <c r="D26" s="2">
        <f t="shared" ref="D26:I26" si="11">(D10^2+D8^2)^2/(D10^4/$L$9+D8^4/$L$7)</f>
        <v>287.23135618332515</v>
      </c>
      <c r="E26" s="2">
        <f t="shared" si="11"/>
        <v>198.8364275225361</v>
      </c>
      <c r="F26" s="2">
        <f t="shared" si="11"/>
        <v>314.47470843423264</v>
      </c>
      <c r="G26" s="2">
        <f t="shared" si="11"/>
        <v>353.27130189963742</v>
      </c>
      <c r="H26" s="2">
        <f t="shared" si="11"/>
        <v>380.00700304426476</v>
      </c>
      <c r="I26" s="2">
        <f t="shared" si="11"/>
        <v>299.72931651812962</v>
      </c>
    </row>
    <row r="27" spans="1:9" x14ac:dyDescent="0.3">
      <c r="A27" s="285" t="s">
        <v>174</v>
      </c>
      <c r="B27" s="2" t="s">
        <v>163</v>
      </c>
      <c r="C27" s="2">
        <f>_xlfn.T.DIST.2T(ABS(C15),C21)</f>
        <v>0.76112942236197612</v>
      </c>
      <c r="D27" s="2">
        <f>_xlfn.T.DIST.2T(ABS(D15),D21)</f>
        <v>0.53789570643253115</v>
      </c>
      <c r="E27" s="2">
        <f t="shared" ref="E27:I27" si="12">_xlfn.T.DIST.2T(ABS(E15),E21)</f>
        <v>0.39048114586664306</v>
      </c>
      <c r="F27" s="2">
        <f t="shared" si="12"/>
        <v>0.6690849331633828</v>
      </c>
      <c r="G27" s="2">
        <f t="shared" si="12"/>
        <v>0.8960387538229293</v>
      </c>
      <c r="H27" s="2">
        <f t="shared" si="12"/>
        <v>0.81944839839191341</v>
      </c>
      <c r="I27" s="2">
        <f t="shared" si="12"/>
        <v>0.60190008070986489</v>
      </c>
    </row>
    <row r="28" spans="1:9" x14ac:dyDescent="0.3">
      <c r="A28" s="285"/>
      <c r="B28" s="2" t="s">
        <v>164</v>
      </c>
      <c r="C28" s="2">
        <f>_xlfn.T.DIST.2T(ABS(C16),C22)</f>
        <v>0.48786596166400498</v>
      </c>
      <c r="D28" s="2">
        <f>_xlfn.T.DIST.2T(ABS(D16),D22)</f>
        <v>0.4849086362309748</v>
      </c>
      <c r="E28" s="2">
        <f t="shared" ref="E28:I28" si="13">_xlfn.T.DIST.2T(ABS(E16),E22)</f>
        <v>0.89960416570089918</v>
      </c>
      <c r="F28" s="2">
        <f t="shared" si="13"/>
        <v>0.53613275282041362</v>
      </c>
      <c r="G28" s="2">
        <f t="shared" si="13"/>
        <v>0.97832377717644059</v>
      </c>
      <c r="H28" s="2">
        <f t="shared" si="13"/>
        <v>0.97817944285967884</v>
      </c>
      <c r="I28" s="2">
        <f t="shared" si="13"/>
        <v>0.72692572480279538</v>
      </c>
    </row>
    <row r="29" spans="1:9" x14ac:dyDescent="0.3">
      <c r="A29" s="285"/>
      <c r="B29" s="2" t="s">
        <v>165</v>
      </c>
      <c r="C29" s="2">
        <f>_xlfn.T.DIST.2T(ABS(C17),C23)</f>
        <v>0.65911187770254109</v>
      </c>
      <c r="D29" s="2">
        <f t="shared" ref="D29:I29" si="14">_xlfn.T.DIST.2T(ABS(D17),D23)</f>
        <v>0.62703077758079317</v>
      </c>
      <c r="E29" s="2">
        <f t="shared" si="14"/>
        <v>0.34204689165409519</v>
      </c>
      <c r="F29" s="2">
        <f t="shared" si="14"/>
        <v>0.67977153169404314</v>
      </c>
      <c r="G29" s="2">
        <f t="shared" si="14"/>
        <v>0.81146537707155153</v>
      </c>
      <c r="H29" s="2">
        <f t="shared" si="14"/>
        <v>0.82233508510016673</v>
      </c>
      <c r="I29" s="2">
        <f t="shared" si="14"/>
        <v>0.37386995627402042</v>
      </c>
    </row>
    <row r="30" spans="1:9" x14ac:dyDescent="0.3">
      <c r="A30" s="285"/>
      <c r="B30" s="2" t="s">
        <v>166</v>
      </c>
      <c r="C30" s="2">
        <f>_xlfn.T.DIST.2T(ABS(C18),C24)</f>
        <v>0.22871118229572251</v>
      </c>
      <c r="D30" s="2">
        <f t="shared" ref="D30:I30" si="15">_xlfn.T.DIST.2T(ABS(D18),D24)</f>
        <v>0.92241396149164356</v>
      </c>
      <c r="E30" s="2">
        <f t="shared" si="15"/>
        <v>0.50354757657519222</v>
      </c>
      <c r="F30" s="2">
        <f t="shared" si="15"/>
        <v>0.18505033520355565</v>
      </c>
      <c r="G30" s="2">
        <f t="shared" si="15"/>
        <v>0.91420831441622197</v>
      </c>
      <c r="H30" s="2">
        <f t="shared" si="15"/>
        <v>0.72290592630516715</v>
      </c>
      <c r="I30" s="2">
        <f t="shared" si="15"/>
        <v>0.92078568269478567</v>
      </c>
    </row>
    <row r="31" spans="1:9" x14ac:dyDescent="0.3">
      <c r="A31" s="285"/>
      <c r="B31" s="2" t="s">
        <v>167</v>
      </c>
      <c r="C31" s="2">
        <f>_xlfn.T.DIST.2T(ABS(C19),C25)</f>
        <v>0.36215650762631857</v>
      </c>
      <c r="D31" s="2">
        <f t="shared" ref="D31:I31" si="16">_xlfn.T.DIST.2T(ABS(D19),D25)</f>
        <v>0.86883355496880854</v>
      </c>
      <c r="E31" s="2">
        <f t="shared" si="16"/>
        <v>0.82768206501703578</v>
      </c>
      <c r="F31" s="2">
        <f t="shared" si="16"/>
        <v>0.86248176061591098</v>
      </c>
      <c r="G31" s="2">
        <f t="shared" si="16"/>
        <v>0.7543565715145174</v>
      </c>
      <c r="H31" s="2">
        <f t="shared" si="16"/>
        <v>0.98480324177358458</v>
      </c>
      <c r="I31" s="2">
        <f t="shared" si="16"/>
        <v>0.62241293440928369</v>
      </c>
    </row>
    <row r="32" spans="1:9" x14ac:dyDescent="0.3">
      <c r="A32" s="285"/>
      <c r="B32" s="2" t="s">
        <v>168</v>
      </c>
      <c r="C32" s="2">
        <f>_xlfn.T.DIST.2T(ABS(C20),C26)</f>
        <v>0.70504941004738975</v>
      </c>
      <c r="D32" s="2">
        <f>_xlfn.T.DIST.2T(ABS(D20),D26)</f>
        <v>0.91108551912889091</v>
      </c>
      <c r="E32" s="2">
        <f t="shared" ref="E32:I32" si="17">_xlfn.T.DIST.2T(ABS(E20),E26)</f>
        <v>0.44926886390448917</v>
      </c>
      <c r="F32" s="2">
        <f t="shared" si="17"/>
        <v>0.37770281009272311</v>
      </c>
      <c r="G32" s="2">
        <f t="shared" si="17"/>
        <v>0.79747511117386782</v>
      </c>
      <c r="H32" s="2">
        <f t="shared" si="17"/>
        <v>0.71045027143551409</v>
      </c>
      <c r="I32" s="2">
        <f t="shared" si="17"/>
        <v>0.64136154677104651</v>
      </c>
    </row>
  </sheetData>
  <mergeCells count="3">
    <mergeCell ref="A15:A20"/>
    <mergeCell ref="A21:A26"/>
    <mergeCell ref="A27:A32"/>
  </mergeCells>
  <conditionalFormatting sqref="C27:I32">
    <cfRule type="cellIs" dxfId="3" priority="1" operator="greaterThan">
      <formula>0.05</formula>
    </cfRule>
    <cfRule type="cellIs" dxfId="2" priority="2" operator="lessThan">
      <formula>0.05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BAF27-CEDB-4C6E-9684-D0A7DA63A489}">
  <dimension ref="A1:M16"/>
  <sheetViews>
    <sheetView tabSelected="1" workbookViewId="0">
      <selection activeCell="B19" sqref="B19"/>
    </sheetView>
  </sheetViews>
  <sheetFormatPr baseColWidth="10" defaultRowHeight="14.4" x14ac:dyDescent="0.3"/>
  <cols>
    <col min="1" max="1" width="7" bestFit="1" customWidth="1"/>
    <col min="11" max="11" width="18.44140625" customWidth="1"/>
  </cols>
  <sheetData>
    <row r="1" spans="1:13" x14ac:dyDescent="0.3">
      <c r="L1" t="s">
        <v>173</v>
      </c>
      <c r="M1">
        <v>7</v>
      </c>
    </row>
    <row r="2" spans="1:13" x14ac:dyDescent="0.3">
      <c r="C2" s="104" t="s">
        <v>52</v>
      </c>
      <c r="D2" s="104" t="s">
        <v>53</v>
      </c>
      <c r="E2" s="104" t="s">
        <v>54</v>
      </c>
      <c r="F2" s="104" t="s">
        <v>61</v>
      </c>
      <c r="G2" s="104" t="s">
        <v>65</v>
      </c>
      <c r="H2" s="104" t="s">
        <v>63</v>
      </c>
      <c r="I2" s="104" t="s">
        <v>64</v>
      </c>
      <c r="J2" s="104" t="s">
        <v>162</v>
      </c>
      <c r="K2" s="104" t="s">
        <v>170</v>
      </c>
      <c r="L2" s="104" t="s">
        <v>172</v>
      </c>
    </row>
    <row r="3" spans="1:13" x14ac:dyDescent="0.3">
      <c r="A3" s="287" t="s">
        <v>175</v>
      </c>
      <c r="B3" s="220" t="s">
        <v>136</v>
      </c>
      <c r="C3" s="2">
        <f>'Pruebas variedades'!S29</f>
        <v>7.9638085106933793E-2</v>
      </c>
      <c r="D3" s="2">
        <f>'Pruebas variedades'!T29</f>
        <v>2.3066791163828335</v>
      </c>
      <c r="E3" s="2">
        <f>'Pruebas variedades'!U29</f>
        <v>3.8685830600826661</v>
      </c>
      <c r="F3" s="2">
        <f>'Pruebas variedades'!AB29</f>
        <v>3.7619277271261913</v>
      </c>
      <c r="G3" s="2">
        <f>'Pruebas variedades'!AC29</f>
        <v>6.5702844891209882</v>
      </c>
      <c r="H3" s="2">
        <f>'Pruebas variedades'!AE29</f>
        <v>0.41237867387428928</v>
      </c>
      <c r="I3" s="2">
        <f>'Pruebas variedades'!AF29</f>
        <v>0.48234158539931243</v>
      </c>
      <c r="J3" s="2">
        <f>'Pruebas variedades'!H20+'Pruebas variedades'!H22+'Pruebas variedades'!H24+'Pruebas variedades'!H26+4</f>
        <v>748</v>
      </c>
      <c r="K3" s="2">
        <v>16</v>
      </c>
      <c r="L3" s="2">
        <f>J3-$M$1</f>
        <v>741</v>
      </c>
    </row>
    <row r="4" spans="1:13" x14ac:dyDescent="0.3">
      <c r="A4" s="287"/>
      <c r="B4" s="239" t="s">
        <v>137</v>
      </c>
      <c r="C4" s="2">
        <f>'Pruebas variedades'!S30</f>
        <v>4.6308682152289234E-2</v>
      </c>
      <c r="D4" s="2">
        <f>'Pruebas variedades'!T30</f>
        <v>1.6054050424037105</v>
      </c>
      <c r="E4" s="2">
        <f>'Pruebas variedades'!U30</f>
        <v>2.9979569500736098</v>
      </c>
      <c r="F4" s="2">
        <f>'Pruebas variedades'!AB30</f>
        <v>2.4559509590726711</v>
      </c>
      <c r="G4" s="2">
        <f>'Pruebas variedades'!AC30</f>
        <v>2.1422480115510791</v>
      </c>
      <c r="H4" s="2">
        <f>'Pruebas variedades'!AE30</f>
        <v>0.28877483499635925</v>
      </c>
      <c r="I4" s="2">
        <f>'Pruebas variedades'!AF30</f>
        <v>0.26225217075700041</v>
      </c>
      <c r="J4" s="2"/>
      <c r="K4" s="2"/>
      <c r="L4" s="2"/>
    </row>
    <row r="5" spans="1:13" x14ac:dyDescent="0.3">
      <c r="A5" s="288" t="s">
        <v>176</v>
      </c>
      <c r="B5" s="220" t="s">
        <v>136</v>
      </c>
      <c r="C5" s="101">
        <f>'Pruebas variedades'!S68</f>
        <v>0.11774609655950356</v>
      </c>
      <c r="D5" s="2">
        <f>'Pruebas variedades'!T68</f>
        <v>1.8897428854515244</v>
      </c>
      <c r="E5" s="2">
        <f>'Pruebas variedades'!U68</f>
        <v>1.5563860202581297</v>
      </c>
      <c r="F5" s="2">
        <f>'Pruebas variedades'!AB68</f>
        <v>4.8066987982620359</v>
      </c>
      <c r="G5" s="2">
        <f>'Pruebas variedades'!AC68</f>
        <v>3.815500952612576</v>
      </c>
      <c r="H5" s="2">
        <f>'Pruebas variedades'!AE68</f>
        <v>0.44943461746101487</v>
      </c>
      <c r="I5" s="2">
        <f>'Pruebas variedades'!AF68</f>
        <v>0.42156821393348992</v>
      </c>
      <c r="J5" s="2">
        <f>'Pruebas variedades'!H67</f>
        <v>378</v>
      </c>
      <c r="K5" s="2">
        <v>9</v>
      </c>
      <c r="L5" s="2">
        <f>J5-$M$1</f>
        <v>371</v>
      </c>
    </row>
    <row r="6" spans="1:13" x14ac:dyDescent="0.3">
      <c r="A6" s="288"/>
      <c r="B6" s="239" t="s">
        <v>137</v>
      </c>
      <c r="C6" s="101">
        <f>'Pruebas variedades'!S69</f>
        <v>6.2962667391211521E-2</v>
      </c>
      <c r="D6" s="2">
        <f>'Pruebas variedades'!T69</f>
        <v>1.7110030477768026</v>
      </c>
      <c r="E6" s="2">
        <f>'Pruebas variedades'!U69</f>
        <v>0.67525531905871516</v>
      </c>
      <c r="F6" s="2">
        <f>'Pruebas variedades'!AB69</f>
        <v>2.4794674534780832</v>
      </c>
      <c r="G6" s="2">
        <f>'Pruebas variedades'!AC69</f>
        <v>3.3863732501122064</v>
      </c>
      <c r="H6" s="2">
        <f>'Pruebas variedades'!AE69</f>
        <v>0.27472388898322808</v>
      </c>
      <c r="I6" s="101">
        <f>'Pruebas variedades'!AF69</f>
        <v>0.29138955201867056</v>
      </c>
      <c r="J6" s="2"/>
      <c r="K6" s="2"/>
      <c r="L6" s="2"/>
    </row>
    <row r="13" spans="1:13" x14ac:dyDescent="0.3">
      <c r="C13" s="179" t="s">
        <v>52</v>
      </c>
      <c r="D13" s="179" t="s">
        <v>53</v>
      </c>
      <c r="E13" s="179" t="s">
        <v>54</v>
      </c>
      <c r="F13" s="179" t="s">
        <v>61</v>
      </c>
      <c r="G13" s="179" t="s">
        <v>65</v>
      </c>
      <c r="H13" s="179" t="s">
        <v>63</v>
      </c>
      <c r="I13" s="179" t="s">
        <v>64</v>
      </c>
    </row>
    <row r="14" spans="1:13" x14ac:dyDescent="0.3">
      <c r="A14" s="2" t="s">
        <v>169</v>
      </c>
      <c r="B14" s="288" t="s">
        <v>177</v>
      </c>
      <c r="C14" s="2">
        <f>(C3-C5)/(SQRT(C4^2+C6^2))</f>
        <v>-0.48757186260276647</v>
      </c>
      <c r="D14" s="2">
        <f t="shared" ref="D14:I14" si="0">(D3-D5)/(SQRT(D4^2+D6^2))</f>
        <v>0.17770376280246258</v>
      </c>
      <c r="E14" s="2">
        <f t="shared" si="0"/>
        <v>0.75240797569678963</v>
      </c>
      <c r="F14" s="2">
        <f t="shared" si="0"/>
        <v>-0.29936927782845973</v>
      </c>
      <c r="G14" s="2">
        <f t="shared" si="0"/>
        <v>0.68747775734381267</v>
      </c>
      <c r="H14" s="2">
        <f t="shared" si="0"/>
        <v>-9.2970456872114721E-2</v>
      </c>
      <c r="I14" s="2">
        <f t="shared" si="0"/>
        <v>0.15502398634369044</v>
      </c>
    </row>
    <row r="15" spans="1:13" x14ac:dyDescent="0.3">
      <c r="A15" s="2" t="s">
        <v>171</v>
      </c>
      <c r="B15" s="288"/>
      <c r="C15" s="2">
        <f>(C4^2+C6^2)^2/(C4^4/$L$3+C6^4/$L$5)</f>
        <v>768.37544163398638</v>
      </c>
      <c r="D15" s="2">
        <f t="shared" ref="D15:I15" si="1">(D4^2+D6^2)^2/(D4^4/$L$3+D6^4/$L$5)</f>
        <v>945.05432202797158</v>
      </c>
      <c r="E15" s="2">
        <f t="shared" si="1"/>
        <v>813.90856740931235</v>
      </c>
      <c r="F15" s="2">
        <f t="shared" si="1"/>
        <v>982.5682520848552</v>
      </c>
      <c r="G15" s="2">
        <f t="shared" si="1"/>
        <v>673.36665924790327</v>
      </c>
      <c r="H15" s="2">
        <f t="shared" si="1"/>
        <v>1020.1905186850424</v>
      </c>
      <c r="I15" s="2">
        <f t="shared" si="1"/>
        <v>914.90072273990484</v>
      </c>
    </row>
    <row r="16" spans="1:13" x14ac:dyDescent="0.3">
      <c r="A16" s="2" t="s">
        <v>174</v>
      </c>
      <c r="B16" s="288"/>
      <c r="C16" s="2">
        <f>_xlfn.T.DIST.2T(ABS(C14),C15)</f>
        <v>0.62599227681428982</v>
      </c>
      <c r="D16" s="2">
        <f t="shared" ref="D16:I16" si="2">_xlfn.T.DIST.2T(ABS(D14),D15)</f>
        <v>0.85899371299967653</v>
      </c>
      <c r="E16" s="2">
        <f t="shared" si="2"/>
        <v>0.45202353739157852</v>
      </c>
      <c r="F16" s="2">
        <f t="shared" si="2"/>
        <v>0.76472164836253853</v>
      </c>
      <c r="G16" s="2">
        <f t="shared" si="2"/>
        <v>0.49201855845855347</v>
      </c>
      <c r="H16" s="2">
        <f t="shared" si="2"/>
        <v>0.92594528865489645</v>
      </c>
      <c r="I16" s="2">
        <f t="shared" si="2"/>
        <v>0.87683663442018966</v>
      </c>
    </row>
  </sheetData>
  <mergeCells count="3">
    <mergeCell ref="A3:A4"/>
    <mergeCell ref="A5:A6"/>
    <mergeCell ref="B14:B16"/>
  </mergeCells>
  <conditionalFormatting sqref="C16:I16">
    <cfRule type="cellIs" dxfId="1" priority="1" operator="greaterThan">
      <formula>0.05</formula>
    </cfRule>
    <cfRule type="cellIs" dxfId="0" priority="2" operator="lessThan">
      <formula>0.05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Hoja2</vt:lpstr>
      <vt:lpstr>Pruebas PSO</vt:lpstr>
      <vt:lpstr>Pruebas PSO termination</vt:lpstr>
      <vt:lpstr>Pruebas variedades</vt:lpstr>
      <vt:lpstr>Análisis estadístico variedades</vt:lpstr>
      <vt:lpstr>Análisis estadístico volúmenes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2026-04-13T16:06:25Z</dcterms:modified>
</cp:coreProperties>
</file>