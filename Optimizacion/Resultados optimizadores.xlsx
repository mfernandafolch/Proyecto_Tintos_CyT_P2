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uccl0-my.sharepoint.com/personal/mfernandafolch_uc_cl/Documents/Escritorio/Concha y Toro/Proyecto_Tintos_CyT_P2/Optimizacion/"/>
    </mc:Choice>
  </mc:AlternateContent>
  <xr:revisionPtr revIDLastSave="1478" documentId="11_AD4D2F04E46CFB4ACB3E20395551EF76693EDF1D" xr6:coauthVersionLast="47" xr6:coauthVersionMax="47" xr10:uidLastSave="{6AA2D608-32F6-4684-9161-6EF88E76B899}"/>
  <bookViews>
    <workbookView xWindow="-110" yWindow="-110" windowWidth="19420" windowHeight="10300" activeTab="1" xr2:uid="{00000000-000D-0000-FFFF-FFFF00000000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5" i="2" l="1"/>
  <c r="U5" i="2"/>
  <c r="U7" i="2"/>
  <c r="V7" i="2"/>
  <c r="T7" i="2"/>
  <c r="H25" i="2"/>
  <c r="U10" i="2"/>
  <c r="V10" i="2"/>
  <c r="T10" i="2"/>
  <c r="U4" i="2"/>
  <c r="V4" i="2"/>
  <c r="T4" i="2"/>
  <c r="H24" i="2"/>
  <c r="I24" i="2" s="1"/>
  <c r="G46" i="2"/>
  <c r="G35" i="2"/>
  <c r="G16" i="2"/>
  <c r="H23" i="2"/>
  <c r="I23" i="2" s="1"/>
  <c r="H42" i="2"/>
  <c r="I42" i="2" s="1"/>
  <c r="H4" i="2"/>
  <c r="H5" i="2"/>
  <c r="I5" i="2" s="1"/>
  <c r="H44" i="2"/>
  <c r="H43" i="2"/>
  <c r="I43" i="2" s="1"/>
  <c r="I13" i="2"/>
  <c r="I14" i="2"/>
  <c r="H9" i="2"/>
  <c r="I44" i="2"/>
  <c r="I9" i="2"/>
  <c r="H29" i="2"/>
  <c r="I29" i="2" s="1"/>
  <c r="H28" i="2"/>
  <c r="I28" i="2" s="1"/>
  <c r="H27" i="2"/>
  <c r="I27" i="2" s="1"/>
  <c r="I25" i="2"/>
  <c r="I30" i="2"/>
  <c r="I31" i="2"/>
  <c r="I33" i="2"/>
  <c r="I34" i="2"/>
  <c r="H32" i="2"/>
  <c r="I32" i="2" s="1"/>
  <c r="H12" i="2"/>
  <c r="I12" i="2" s="1"/>
  <c r="I11" i="2"/>
  <c r="I10" i="2"/>
  <c r="I6" i="2"/>
  <c r="H8" i="2"/>
  <c r="I8" i="2" s="1"/>
  <c r="H7" i="2"/>
  <c r="I7" i="2" s="1"/>
  <c r="I4" i="2"/>
  <c r="J60" i="1"/>
  <c r="K60" i="1" s="1"/>
  <c r="J79" i="1"/>
  <c r="K79" i="1" s="1"/>
  <c r="J43" i="1"/>
  <c r="K43" i="1" s="1"/>
  <c r="J59" i="1"/>
  <c r="K59" i="1" s="1"/>
  <c r="J66" i="1"/>
  <c r="K66" i="1" s="1"/>
  <c r="J67" i="1"/>
  <c r="K67" i="1" s="1"/>
  <c r="J65" i="1"/>
  <c r="K65" i="1" s="1"/>
  <c r="J58" i="1"/>
  <c r="K58" i="1" s="1"/>
  <c r="J57" i="1"/>
  <c r="K57" i="1" s="1"/>
  <c r="J56" i="1"/>
  <c r="K56" i="1" s="1"/>
  <c r="J55" i="1"/>
  <c r="K55" i="1" s="1"/>
  <c r="J64" i="1"/>
  <c r="K64" i="1" s="1"/>
  <c r="J62" i="1"/>
  <c r="K62" i="1" s="1"/>
  <c r="J63" i="1"/>
  <c r="K63" i="1" s="1"/>
  <c r="J61" i="1"/>
  <c r="K61" i="1" s="1"/>
  <c r="J54" i="1"/>
  <c r="K54" i="1" s="1"/>
  <c r="J53" i="1"/>
  <c r="K53" i="1" s="1"/>
  <c r="J52" i="1"/>
  <c r="K52" i="1" s="1"/>
  <c r="J51" i="1"/>
  <c r="K51" i="1" s="1"/>
  <c r="J78" i="1"/>
  <c r="J77" i="1"/>
  <c r="J76" i="1"/>
  <c r="J75" i="1"/>
  <c r="J74" i="1"/>
  <c r="J10" i="1"/>
</calcChain>
</file>

<file path=xl/sharedStrings.xml><?xml version="1.0" encoding="utf-8"?>
<sst xmlns="http://schemas.openxmlformats.org/spreadsheetml/2006/main" count="260" uniqueCount="45">
  <si>
    <t>Set de datos:</t>
  </si>
  <si>
    <t>Método opt. global</t>
  </si>
  <si>
    <t>Parámetros opt.</t>
  </si>
  <si>
    <t>maxiter</t>
  </si>
  <si>
    <t>popsize</t>
  </si>
  <si>
    <t>differential evolution</t>
  </si>
  <si>
    <t>Tiempo (s)</t>
  </si>
  <si>
    <t>No</t>
  </si>
  <si>
    <t>Si</t>
  </si>
  <si>
    <t>Costo final opt.</t>
  </si>
  <si>
    <t>Costo final ls</t>
  </si>
  <si>
    <t>Data CS 25 SUC. IVAN VALDES estanque 239</t>
  </si>
  <si>
    <t>¿least _square (ls)?</t>
  </si>
  <si>
    <t>dual annealing</t>
  </si>
  <si>
    <t>de y da tienen seed 50 siempre</t>
  </si>
  <si>
    <t>de y da tienen optimización local activada en su interna</t>
  </si>
  <si>
    <t>PSO</t>
  </si>
  <si>
    <t>*Por gráfico, mejorcito</t>
  </si>
  <si>
    <t>Data CS 24 LOU estanque 54.xlsx</t>
  </si>
  <si>
    <t>Después de repetición 100 se repetían números, hacer n_iter variable según set de datos?</t>
  </si>
  <si>
    <t>Los métodos da y de en sus mejores versiones según lo evaluado con el set de datos anterior, no entrega buenos resultados.</t>
  </si>
  <si>
    <t>Data CS 24 AGROCAUQ estanque 68.xlsx</t>
  </si>
  <si>
    <t>Set de datos con densidad rara, variable. No son datos completamente "limpios".</t>
  </si>
  <si>
    <t>El ajuste de 25 partículas y 100 iteraciones se ve bien (gráficos, al ojo)</t>
  </si>
  <si>
    <t>ls no da mejores resultados</t>
  </si>
  <si>
    <t>Cambié C1 C2 y w</t>
  </si>
  <si>
    <t>Probé con PSO de mealpy, se demora mucho y como que no funciona</t>
  </si>
  <si>
    <t>en otros casos azúcar es de 20, y etanol de 0,4, por ejemplo</t>
  </si>
  <si>
    <t>PSO mealpy</t>
  </si>
  <si>
    <t>n_iter (epoch)</t>
  </si>
  <si>
    <t>n_particles (pop_size)</t>
  </si>
  <si>
    <t>PSO mealpy PSO.OriginalPSO</t>
  </si>
  <si>
    <t>PSO mealpy PSO.HPSO_TVAC</t>
  </si>
  <si>
    <t>PSO mealpy pso.originalpso</t>
  </si>
  <si>
    <t>Tiempo (min)</t>
  </si>
  <si>
    <t>Dual annealing funciona peor con esta función objetivo</t>
  </si>
  <si>
    <t>con termination en it = 219</t>
  </si>
  <si>
    <t>con termination en  it = 129</t>
  </si>
  <si>
    <t>10000, eps = 1e-6</t>
  </si>
  <si>
    <t>con termination en  it = 113</t>
  </si>
  <si>
    <t>Set de datos</t>
  </si>
  <si>
    <t>PROBAR CON C1 = 1,5, C2 = 1,5 y w = 0,7</t>
  </si>
  <si>
    <t>10000, eps = 1e-7</t>
  </si>
  <si>
    <t>Debe ser más exigente el criterio para cortar optimización</t>
  </si>
  <si>
    <t>Mas de una hora corriendo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</si>
</sst>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0000"/>
    <numFmt numFmtId="165" formatCode="#,##0.00000000"/>
    <numFmt numFmtId="166" formatCode="#,##0.000000"/>
    <numFmt numFmtId="167" formatCode="0.000"/>
    <numFmt numFmtId="168" formatCode="0.00000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3" fontId="0" fillId="0" borderId="0" xfId="0" applyNumberFormat="1"/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164" fontId="0" fillId="3" borderId="1" xfId="0" applyNumberFormat="1" applyFill="1" applyBorder="1"/>
    <xf numFmtId="0" fontId="0" fillId="0" borderId="6" xfId="0" applyBorder="1"/>
    <xf numFmtId="0" fontId="1" fillId="4" borderId="8" xfId="0" applyFont="1" applyFill="1" applyBorder="1"/>
    <xf numFmtId="0" fontId="0" fillId="0" borderId="2" xfId="0" applyBorder="1"/>
    <xf numFmtId="0" fontId="0" fillId="0" borderId="3" xfId="0" applyBorder="1"/>
    <xf numFmtId="164" fontId="0" fillId="0" borderId="3" xfId="0" applyNumberFormat="1" applyBorder="1"/>
    <xf numFmtId="0" fontId="0" fillId="0" borderId="4" xfId="0" applyBorder="1"/>
    <xf numFmtId="0" fontId="0" fillId="0" borderId="9" xfId="0" applyBorder="1"/>
    <xf numFmtId="0" fontId="0" fillId="0" borderId="10" xfId="0" applyBorder="1"/>
    <xf numFmtId="164" fontId="0" fillId="0" borderId="6" xfId="0" applyNumberFormat="1" applyBorder="1"/>
    <xf numFmtId="0" fontId="0" fillId="0" borderId="5" xfId="0" applyBorder="1"/>
    <xf numFmtId="0" fontId="1" fillId="4" borderId="6" xfId="0" applyFont="1" applyFill="1" applyBorder="1"/>
    <xf numFmtId="0" fontId="0" fillId="0" borderId="11" xfId="0" applyBorder="1"/>
    <xf numFmtId="0" fontId="0" fillId="0" borderId="12" xfId="0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8" xfId="0" applyNumberFormat="1" applyBorder="1"/>
    <xf numFmtId="0" fontId="0" fillId="0" borderId="15" xfId="0" applyBorder="1"/>
    <xf numFmtId="0" fontId="0" fillId="0" borderId="8" xfId="0" applyBorder="1"/>
    <xf numFmtId="0" fontId="0" fillId="0" borderId="16" xfId="0" applyBorder="1"/>
    <xf numFmtId="0" fontId="0" fillId="0" borderId="17" xfId="0" applyBorder="1"/>
    <xf numFmtId="164" fontId="0" fillId="0" borderId="18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2" borderId="1" xfId="0" applyNumberFormat="1" applyFill="1" applyBorder="1"/>
    <xf numFmtId="166" fontId="0" fillId="0" borderId="1" xfId="0" applyNumberFormat="1" applyBorder="1"/>
    <xf numFmtId="0" fontId="2" fillId="0" borderId="1" xfId="0" applyFont="1" applyBorder="1"/>
    <xf numFmtId="0" fontId="1" fillId="4" borderId="2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2" fillId="0" borderId="3" xfId="0" applyFont="1" applyBorder="1"/>
    <xf numFmtId="165" fontId="0" fillId="0" borderId="3" xfId="0" applyNumberFormat="1" applyBorder="1"/>
    <xf numFmtId="2" fontId="0" fillId="0" borderId="0" xfId="0" applyNumberFormat="1" applyAlignment="1">
      <alignment horizontal="left"/>
    </xf>
    <xf numFmtId="0" fontId="0" fillId="3" borderId="5" xfId="0" applyFill="1" applyBorder="1"/>
    <xf numFmtId="0" fontId="0" fillId="3" borderId="6" xfId="0" applyFill="1" applyBorder="1"/>
    <xf numFmtId="164" fontId="0" fillId="3" borderId="6" xfId="0" applyNumberFormat="1" applyFill="1" applyBorder="1"/>
    <xf numFmtId="0" fontId="0" fillId="3" borderId="7" xfId="0" applyFill="1" applyBorder="1"/>
    <xf numFmtId="165" fontId="0" fillId="3" borderId="6" xfId="0" applyNumberFormat="1" applyFill="1" applyBorder="1"/>
    <xf numFmtId="164" fontId="0" fillId="2" borderId="6" xfId="0" applyNumberFormat="1" applyFill="1" applyBorder="1"/>
    <xf numFmtId="0" fontId="0" fillId="0" borderId="19" xfId="0" applyBorder="1"/>
    <xf numFmtId="0" fontId="0" fillId="0" borderId="20" xfId="0" applyBorder="1"/>
    <xf numFmtId="0" fontId="1" fillId="4" borderId="1" xfId="0" applyFont="1" applyFill="1" applyBorder="1"/>
    <xf numFmtId="167" fontId="0" fillId="0" borderId="1" xfId="0" applyNumberFormat="1" applyBorder="1"/>
    <xf numFmtId="0" fontId="3" fillId="0" borderId="1" xfId="0" applyFont="1" applyBorder="1"/>
    <xf numFmtId="167" fontId="3" fillId="0" borderId="1" xfId="0" applyNumberFormat="1" applyFont="1" applyBorder="1"/>
    <xf numFmtId="0" fontId="0" fillId="2" borderId="1" xfId="0" applyFill="1" applyBorder="1"/>
    <xf numFmtId="0" fontId="0" fillId="5" borderId="0" xfId="0" applyFill="1"/>
    <xf numFmtId="168" fontId="2" fillId="0" borderId="1" xfId="0" applyNumberFormat="1" applyFont="1" applyBorder="1"/>
    <xf numFmtId="0" fontId="1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2" fillId="0" borderId="1" xfId="0" applyFont="1" applyFill="1" applyBorder="1"/>
    <xf numFmtId="0" fontId="0" fillId="0" borderId="0" xfId="0" applyFill="1"/>
    <xf numFmtId="168" fontId="0" fillId="2" borderId="1" xfId="0" applyNumberFormat="1" applyFill="1" applyBorder="1"/>
    <xf numFmtId="0" fontId="1" fillId="4" borderId="2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/>
    </xf>
    <xf numFmtId="0" fontId="1" fillId="4" borderId="22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/>
    </xf>
    <xf numFmtId="0" fontId="1" fillId="4" borderId="14" xfId="0" applyFont="1" applyFill="1" applyBorder="1" applyAlignment="1">
      <alignment horizontal="center" vertical="center" wrapText="1"/>
    </xf>
    <xf numFmtId="2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72762</xdr:colOff>
      <xdr:row>49</xdr:row>
      <xdr:rowOff>52917</xdr:rowOff>
    </xdr:from>
    <xdr:to>
      <xdr:col>21</xdr:col>
      <xdr:colOff>489480</xdr:colOff>
      <xdr:row>58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9CC596AA-74E9-D4D1-99B6-39E63ED29CE4}"/>
            </a:ext>
          </a:extLst>
        </xdr:cNvPr>
        <xdr:cNvSpPr txBox="1"/>
      </xdr:nvSpPr>
      <xdr:spPr>
        <a:xfrm>
          <a:off x="14294116" y="11396927"/>
          <a:ext cx="4067968" cy="162718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L" sz="1100"/>
            <a:t>Notas/observaciones:</a:t>
          </a:r>
        </a:p>
        <a:p>
          <a:r>
            <a:rPr lang="es-CL" sz="1100"/>
            <a:t>-</a:t>
          </a:r>
          <a:r>
            <a:rPr lang="es-CL" sz="1100" baseline="0"/>
            <a:t> PSO es el que "mejor" ajusta en algunos, pero no en todos. </a:t>
          </a:r>
        </a:p>
        <a:p>
          <a:r>
            <a:rPr lang="es-CL" sz="1100" baseline="0"/>
            <a:t>- Cuando se obtiene un buen ajuste visual con un costo bajo (he visto casos con f.o. &lt;100), el costo de la función objetivo tiende a ser la mayoría de los datos de azúcares, es decir, el costo del etanol tiende a de entre 0 y 2, aprox. </a:t>
          </a:r>
        </a:p>
      </xdr:txBody>
    </xdr:sp>
    <xdr:clientData/>
  </xdr:twoCellAnchor>
  <xdr:twoCellAnchor editAs="oneCell">
    <xdr:from>
      <xdr:col>15</xdr:col>
      <xdr:colOff>99219</xdr:colOff>
      <xdr:row>58</xdr:row>
      <xdr:rowOff>145521</xdr:rowOff>
    </xdr:from>
    <xdr:to>
      <xdr:col>27</xdr:col>
      <xdr:colOff>398730</xdr:colOff>
      <xdr:row>63</xdr:row>
      <xdr:rowOff>13076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61F78B0-A91E-511D-596A-1165341536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20573" y="13169636"/>
          <a:ext cx="7602011" cy="800212"/>
        </a:xfrm>
        <a:prstGeom prst="rect">
          <a:avLst/>
        </a:prstGeom>
      </xdr:spPr>
    </xdr:pic>
    <xdr:clientData/>
  </xdr:twoCellAnchor>
  <xdr:twoCellAnchor editAs="oneCell">
    <xdr:from>
      <xdr:col>19</xdr:col>
      <xdr:colOff>290375</xdr:colOff>
      <xdr:row>62</xdr:row>
      <xdr:rowOff>32281</xdr:rowOff>
    </xdr:from>
    <xdr:to>
      <xdr:col>23</xdr:col>
      <xdr:colOff>251647</xdr:colOff>
      <xdr:row>62</xdr:row>
      <xdr:rowOff>52801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14:cNvPr>
            <xdr14:cNvContentPartPr/>
          </xdr14:nvContentPartPr>
          <xdr14:nvPr macro=""/>
          <xdr14:xfrm>
            <a:off x="16945896" y="13797229"/>
            <a:ext cx="2395440" cy="20520"/>
          </xdr14:xfrm>
        </xdr:contentPart>
      </mc:Choice>
      <mc:Fallback xmlns="">
        <xdr:pic>
          <xdr:nvPicPr>
            <xdr:cNvPr id="7" name="Entrada de lápiz 6">
              <a:extLst>
                <a:ext uri="{FF2B5EF4-FFF2-40B4-BE49-F238E27FC236}">
                  <a16:creationId xmlns:a16="http://schemas.microsoft.com/office/drawing/2014/main" id="{8C01B987-261C-0388-EA04-D360A93B2B5D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6909896" y="13726470"/>
              <a:ext cx="2467080" cy="161683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6-03-17T12:47:28.692"/>
    </inkml:context>
    <inkml:brush xml:id="br0">
      <inkml:brushProperty name="width" value="0.2" units="cm"/>
      <inkml:brushProperty name="height" value="0.4" units="cm"/>
      <inkml:brushProperty name="color" value="#FFFC00"/>
      <inkml:brushProperty name="tip" value="rectangle"/>
      <inkml:brushProperty name="rasterOp" value="maskPen"/>
      <inkml:brushProperty name="ignorePressure" value="1"/>
    </inkml:brush>
  </inkml:definitions>
  <inkml:trace contextRef="#ctx0" brushRef="#br0">6653 57,'-32'-1,"-51"-10,17 2,-560-26,-773 37,815-3,566 1</inkml:trace>
  <inkml:trace contextRef="#ctx0" brushRef="#br0" timeOffset="2433.25">3364 21,'-152'0,"-797"14,383-9,337-6,83-9,-1 1,69 10,-15 0,-121-13,126 4,-134 6,104 4,-227-2,328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3"/>
  <sheetViews>
    <sheetView zoomScale="95" zoomScaleNormal="100" workbookViewId="0">
      <selection activeCell="K84" sqref="K84"/>
    </sheetView>
  </sheetViews>
  <sheetFormatPr baseColWidth="10" defaultColWidth="8.7265625" defaultRowHeight="14.5" x14ac:dyDescent="0.35"/>
  <cols>
    <col min="1" max="1" width="11.54296875" bestFit="1" customWidth="1"/>
    <col min="2" max="2" width="26.453125" customWidth="1"/>
    <col min="3" max="3" width="9.36328125" customWidth="1"/>
    <col min="5" max="5" width="19.81640625" bestFit="1" customWidth="1"/>
    <col min="6" max="6" width="13" bestFit="1" customWidth="1"/>
    <col min="7" max="7" width="13.7265625" bestFit="1" customWidth="1"/>
    <col min="8" max="8" width="13.90625" bestFit="1" customWidth="1"/>
    <col min="9" max="9" width="13.08984375" customWidth="1"/>
    <col min="10" max="10" width="9.90625" bestFit="1" customWidth="1"/>
    <col min="12" max="12" width="52.7265625" customWidth="1"/>
  </cols>
  <sheetData>
    <row r="1" spans="1:12" ht="15" thickBot="1" x14ac:dyDescent="0.4">
      <c r="A1" t="s">
        <v>0</v>
      </c>
      <c r="B1" t="s">
        <v>11</v>
      </c>
    </row>
    <row r="2" spans="1:12" x14ac:dyDescent="0.35">
      <c r="B2" s="63" t="s">
        <v>1</v>
      </c>
      <c r="C2" s="62" t="s">
        <v>2</v>
      </c>
      <c r="D2" s="62"/>
      <c r="E2" s="62"/>
      <c r="F2" s="62"/>
      <c r="G2" s="65" t="s">
        <v>12</v>
      </c>
      <c r="H2" s="65" t="s">
        <v>9</v>
      </c>
      <c r="I2" s="65" t="s">
        <v>10</v>
      </c>
      <c r="J2" s="60" t="s">
        <v>6</v>
      </c>
      <c r="L2" t="s">
        <v>14</v>
      </c>
    </row>
    <row r="3" spans="1:12" ht="15" thickBot="1" x14ac:dyDescent="0.4">
      <c r="B3" s="64"/>
      <c r="C3" s="16" t="s">
        <v>3</v>
      </c>
      <c r="D3" s="16" t="s">
        <v>4</v>
      </c>
      <c r="E3" s="7" t="s">
        <v>30</v>
      </c>
      <c r="F3" s="7" t="s">
        <v>29</v>
      </c>
      <c r="G3" s="66"/>
      <c r="H3" s="66"/>
      <c r="I3" s="66"/>
      <c r="J3" s="67"/>
      <c r="L3" t="s">
        <v>15</v>
      </c>
    </row>
    <row r="4" spans="1:12" x14ac:dyDescent="0.35">
      <c r="B4" s="8" t="s">
        <v>5</v>
      </c>
      <c r="C4" s="9">
        <v>8</v>
      </c>
      <c r="D4" s="9">
        <v>4</v>
      </c>
      <c r="E4" s="9"/>
      <c r="F4" s="9"/>
      <c r="G4" s="9" t="s">
        <v>7</v>
      </c>
      <c r="H4" s="10">
        <v>82.549381118790606</v>
      </c>
      <c r="I4" s="9"/>
      <c r="J4" s="11">
        <v>19.95</v>
      </c>
    </row>
    <row r="5" spans="1:12" x14ac:dyDescent="0.35">
      <c r="B5" s="12" t="s">
        <v>5</v>
      </c>
      <c r="C5" s="2">
        <v>8</v>
      </c>
      <c r="D5" s="2">
        <v>6</v>
      </c>
      <c r="E5" s="2"/>
      <c r="F5" s="2"/>
      <c r="G5" s="2" t="s">
        <v>7</v>
      </c>
      <c r="H5" s="3">
        <v>204.12437459632801</v>
      </c>
      <c r="I5" s="2"/>
      <c r="J5" s="13">
        <v>16.18</v>
      </c>
    </row>
    <row r="6" spans="1:12" x14ac:dyDescent="0.35">
      <c r="B6" s="12" t="s">
        <v>5</v>
      </c>
      <c r="C6" s="2">
        <v>8</v>
      </c>
      <c r="D6" s="2">
        <v>8</v>
      </c>
      <c r="E6" s="2"/>
      <c r="F6" s="2"/>
      <c r="G6" s="2" t="s">
        <v>7</v>
      </c>
      <c r="H6" s="3">
        <v>538.65830215846302</v>
      </c>
      <c r="I6" s="2"/>
      <c r="J6" s="13">
        <v>28.18</v>
      </c>
    </row>
    <row r="7" spans="1:12" x14ac:dyDescent="0.35">
      <c r="B7" s="12" t="s">
        <v>5</v>
      </c>
      <c r="C7" s="2">
        <v>14</v>
      </c>
      <c r="D7" s="2">
        <v>4</v>
      </c>
      <c r="E7" s="2"/>
      <c r="F7" s="2"/>
      <c r="G7" s="2" t="s">
        <v>7</v>
      </c>
      <c r="H7" s="3">
        <v>81.804288393525695</v>
      </c>
      <c r="I7" s="2"/>
      <c r="J7" s="13">
        <v>46.52</v>
      </c>
    </row>
    <row r="8" spans="1:12" x14ac:dyDescent="0.35">
      <c r="B8" s="12" t="s">
        <v>5</v>
      </c>
      <c r="C8" s="2">
        <v>14</v>
      </c>
      <c r="D8" s="2">
        <v>6</v>
      </c>
      <c r="E8" s="2"/>
      <c r="F8" s="2"/>
      <c r="G8" s="2" t="s">
        <v>7</v>
      </c>
      <c r="H8" s="3">
        <v>84.980454925729703</v>
      </c>
      <c r="I8" s="2"/>
      <c r="J8" s="13">
        <v>24.79</v>
      </c>
    </row>
    <row r="9" spans="1:12" x14ac:dyDescent="0.35">
      <c r="B9" s="12" t="s">
        <v>5</v>
      </c>
      <c r="C9" s="2">
        <v>14</v>
      </c>
      <c r="D9" s="2">
        <v>8</v>
      </c>
      <c r="E9" s="2"/>
      <c r="F9" s="2"/>
      <c r="G9" s="2" t="s">
        <v>7</v>
      </c>
      <c r="H9" s="4">
        <v>55.270130124821399</v>
      </c>
      <c r="I9" s="2"/>
      <c r="J9" s="13">
        <v>42.3</v>
      </c>
    </row>
    <row r="10" spans="1:12" x14ac:dyDescent="0.35">
      <c r="B10" s="12" t="s">
        <v>5</v>
      </c>
      <c r="C10" s="2">
        <v>20</v>
      </c>
      <c r="D10" s="2">
        <v>4</v>
      </c>
      <c r="E10" s="2"/>
      <c r="F10" s="2"/>
      <c r="G10" s="2" t="s">
        <v>7</v>
      </c>
      <c r="H10" s="3">
        <v>81.842917511313502</v>
      </c>
      <c r="I10" s="2"/>
      <c r="J10" s="13">
        <f>60+7.47</f>
        <v>67.47</v>
      </c>
    </row>
    <row r="11" spans="1:12" x14ac:dyDescent="0.35">
      <c r="B11" s="12" t="s">
        <v>5</v>
      </c>
      <c r="C11" s="2">
        <v>20</v>
      </c>
      <c r="D11" s="2">
        <v>6</v>
      </c>
      <c r="E11" s="2"/>
      <c r="F11" s="2"/>
      <c r="G11" s="2" t="s">
        <v>7</v>
      </c>
      <c r="H11" s="5">
        <v>63.049160766663</v>
      </c>
      <c r="I11" s="2"/>
      <c r="J11" s="13">
        <v>59.3</v>
      </c>
    </row>
    <row r="12" spans="1:12" x14ac:dyDescent="0.35">
      <c r="B12" s="12" t="s">
        <v>5</v>
      </c>
      <c r="C12" s="2">
        <v>20</v>
      </c>
      <c r="D12" s="2">
        <v>8</v>
      </c>
      <c r="E12" s="2"/>
      <c r="F12" s="2"/>
      <c r="G12" s="2" t="s">
        <v>7</v>
      </c>
      <c r="H12" s="3">
        <v>93.389411925614297</v>
      </c>
      <c r="I12" s="2"/>
      <c r="J12" s="13">
        <v>55.53</v>
      </c>
    </row>
    <row r="13" spans="1:12" x14ac:dyDescent="0.35">
      <c r="B13" s="12" t="s">
        <v>5</v>
      </c>
      <c r="C13" s="2">
        <v>8</v>
      </c>
      <c r="D13" s="2">
        <v>4</v>
      </c>
      <c r="E13" s="2"/>
      <c r="F13" s="2"/>
      <c r="G13" s="2" t="s">
        <v>8</v>
      </c>
      <c r="H13" s="3">
        <v>82.549381118790606</v>
      </c>
      <c r="I13" s="3">
        <v>82.325162791377593</v>
      </c>
      <c r="J13" s="13">
        <v>21.41</v>
      </c>
    </row>
    <row r="14" spans="1:12" x14ac:dyDescent="0.35">
      <c r="B14" s="12" t="s">
        <v>5</v>
      </c>
      <c r="C14" s="2">
        <v>8</v>
      </c>
      <c r="D14" s="2">
        <v>6</v>
      </c>
      <c r="E14" s="2"/>
      <c r="F14" s="2"/>
      <c r="G14" s="2" t="s">
        <v>8</v>
      </c>
      <c r="H14" s="3">
        <v>204.12437459632801</v>
      </c>
      <c r="I14" s="3">
        <v>204.124337016564</v>
      </c>
      <c r="J14" s="13">
        <v>17.03</v>
      </c>
    </row>
    <row r="15" spans="1:12" x14ac:dyDescent="0.35">
      <c r="B15" s="12" t="s">
        <v>5</v>
      </c>
      <c r="C15" s="2">
        <v>8</v>
      </c>
      <c r="D15" s="2">
        <v>8</v>
      </c>
      <c r="E15" s="2"/>
      <c r="F15" s="2"/>
      <c r="G15" s="2" t="s">
        <v>8</v>
      </c>
      <c r="H15" s="3">
        <v>538.65830215846302</v>
      </c>
      <c r="I15" s="3">
        <v>84.173643476015002</v>
      </c>
      <c r="J15" s="13">
        <v>31.45</v>
      </c>
    </row>
    <row r="16" spans="1:12" x14ac:dyDescent="0.35">
      <c r="B16" s="12" t="s">
        <v>5</v>
      </c>
      <c r="C16" s="2">
        <v>14</v>
      </c>
      <c r="D16" s="2">
        <v>4</v>
      </c>
      <c r="E16" s="2"/>
      <c r="F16" s="2"/>
      <c r="G16" s="2" t="s">
        <v>8</v>
      </c>
      <c r="H16" s="3">
        <v>81.804288393525695</v>
      </c>
      <c r="I16" s="3">
        <v>81.804279113154806</v>
      </c>
      <c r="J16" s="13">
        <v>41.68</v>
      </c>
    </row>
    <row r="17" spans="2:10" x14ac:dyDescent="0.35">
      <c r="B17" s="12" t="s">
        <v>5</v>
      </c>
      <c r="C17" s="2">
        <v>14</v>
      </c>
      <c r="D17" s="2">
        <v>6</v>
      </c>
      <c r="E17" s="2"/>
      <c r="F17" s="2"/>
      <c r="G17" s="2" t="s">
        <v>8</v>
      </c>
      <c r="H17" s="3">
        <v>84.980454925729703</v>
      </c>
      <c r="I17" s="3">
        <v>84.7505328845523</v>
      </c>
      <c r="J17" s="13">
        <v>25.76</v>
      </c>
    </row>
    <row r="18" spans="2:10" x14ac:dyDescent="0.35">
      <c r="B18" s="12" t="s">
        <v>5</v>
      </c>
      <c r="C18" s="2">
        <v>14</v>
      </c>
      <c r="D18" s="2">
        <v>8</v>
      </c>
      <c r="E18" s="2"/>
      <c r="F18" s="2"/>
      <c r="G18" s="2" t="s">
        <v>8</v>
      </c>
      <c r="H18" s="4">
        <v>55.270130124821399</v>
      </c>
      <c r="I18" s="3">
        <v>55.270098666267401</v>
      </c>
      <c r="J18" s="13">
        <v>38.049999999999997</v>
      </c>
    </row>
    <row r="19" spans="2:10" x14ac:dyDescent="0.35">
      <c r="B19" s="12" t="s">
        <v>5</v>
      </c>
      <c r="C19" s="2">
        <v>20</v>
      </c>
      <c r="D19" s="2">
        <v>4</v>
      </c>
      <c r="E19" s="2"/>
      <c r="F19" s="2"/>
      <c r="G19" s="2" t="s">
        <v>8</v>
      </c>
      <c r="H19" s="3">
        <v>81.842917511313502</v>
      </c>
      <c r="I19" s="3">
        <v>81.842917511313502</v>
      </c>
      <c r="J19" s="13">
        <v>48.2</v>
      </c>
    </row>
    <row r="20" spans="2:10" x14ac:dyDescent="0.35">
      <c r="B20" s="12" t="s">
        <v>5</v>
      </c>
      <c r="C20" s="2">
        <v>20</v>
      </c>
      <c r="D20" s="2">
        <v>6</v>
      </c>
      <c r="E20" s="2"/>
      <c r="F20" s="2"/>
      <c r="G20" s="2" t="s">
        <v>8</v>
      </c>
      <c r="H20" s="5">
        <v>63.049160766663</v>
      </c>
      <c r="I20" s="5">
        <v>58.249422349830901</v>
      </c>
      <c r="J20" s="13">
        <v>49.94</v>
      </c>
    </row>
    <row r="21" spans="2:10" ht="15" thickBot="1" x14ac:dyDescent="0.4">
      <c r="B21" s="22" t="s">
        <v>5</v>
      </c>
      <c r="C21" s="23">
        <v>20</v>
      </c>
      <c r="D21" s="23">
        <v>8</v>
      </c>
      <c r="E21" s="23"/>
      <c r="F21" s="23"/>
      <c r="G21" s="23" t="s">
        <v>8</v>
      </c>
      <c r="H21" s="21">
        <v>93.389411925614297</v>
      </c>
      <c r="I21" s="21">
        <v>67.115603761140093</v>
      </c>
      <c r="J21" s="24">
        <v>57.4</v>
      </c>
    </row>
    <row r="22" spans="2:10" x14ac:dyDescent="0.35">
      <c r="B22" s="8" t="s">
        <v>13</v>
      </c>
      <c r="C22" s="9">
        <v>10</v>
      </c>
      <c r="D22" s="9"/>
      <c r="E22" s="9"/>
      <c r="F22" s="9"/>
      <c r="G22" s="17" t="s">
        <v>7</v>
      </c>
      <c r="H22" s="10">
        <v>59.072205394945499</v>
      </c>
      <c r="I22" s="19"/>
      <c r="J22" s="11">
        <v>17.579999999999998</v>
      </c>
    </row>
    <row r="23" spans="2:10" x14ac:dyDescent="0.35">
      <c r="B23" s="12" t="s">
        <v>13</v>
      </c>
      <c r="C23" s="2">
        <v>20</v>
      </c>
      <c r="D23" s="2"/>
      <c r="E23" s="2"/>
      <c r="F23" s="2"/>
      <c r="G23" s="18" t="s">
        <v>7</v>
      </c>
      <c r="H23" s="3">
        <v>59.072205394945499</v>
      </c>
      <c r="I23" s="20"/>
      <c r="J23" s="13">
        <v>21.11</v>
      </c>
    </row>
    <row r="24" spans="2:10" x14ac:dyDescent="0.35">
      <c r="B24" s="12" t="s">
        <v>13</v>
      </c>
      <c r="C24" s="2">
        <v>40</v>
      </c>
      <c r="D24" s="2"/>
      <c r="E24" s="2"/>
      <c r="F24" s="2"/>
      <c r="G24" s="18" t="s">
        <v>7</v>
      </c>
      <c r="H24" s="3">
        <v>59.072205394945499</v>
      </c>
      <c r="I24" s="20"/>
      <c r="J24" s="13">
        <v>25.03</v>
      </c>
    </row>
    <row r="25" spans="2:10" x14ac:dyDescent="0.35">
      <c r="B25" s="12" t="s">
        <v>13</v>
      </c>
      <c r="C25" s="2">
        <v>60</v>
      </c>
      <c r="D25" s="2"/>
      <c r="E25" s="2"/>
      <c r="F25" s="2"/>
      <c r="G25" s="18" t="s">
        <v>7</v>
      </c>
      <c r="H25" s="3">
        <v>59.072205394945499</v>
      </c>
      <c r="I25" s="20"/>
      <c r="J25" s="13">
        <v>31.68</v>
      </c>
    </row>
    <row r="26" spans="2:10" x14ac:dyDescent="0.35">
      <c r="B26" s="12" t="s">
        <v>13</v>
      </c>
      <c r="C26" s="2">
        <v>10</v>
      </c>
      <c r="D26" s="2"/>
      <c r="E26" s="2"/>
      <c r="F26" s="2"/>
      <c r="G26" s="18" t="s">
        <v>8</v>
      </c>
      <c r="H26" s="3">
        <v>59.072205394945499</v>
      </c>
      <c r="I26" s="20">
        <v>59.063559083312597</v>
      </c>
      <c r="J26" s="13">
        <v>17.510000000000002</v>
      </c>
    </row>
    <row r="27" spans="2:10" x14ac:dyDescent="0.35">
      <c r="B27" s="12" t="s">
        <v>13</v>
      </c>
      <c r="C27" s="2">
        <v>20</v>
      </c>
      <c r="D27" s="2"/>
      <c r="E27" s="2"/>
      <c r="F27" s="2"/>
      <c r="G27" s="18" t="s">
        <v>8</v>
      </c>
      <c r="H27" s="3">
        <v>59.072205394945499</v>
      </c>
      <c r="I27" s="20">
        <v>59.063559083312597</v>
      </c>
      <c r="J27" s="13">
        <v>20.59</v>
      </c>
    </row>
    <row r="28" spans="2:10" x14ac:dyDescent="0.35">
      <c r="B28" s="12" t="s">
        <v>13</v>
      </c>
      <c r="C28" s="2">
        <v>40</v>
      </c>
      <c r="D28" s="2"/>
      <c r="E28" s="2"/>
      <c r="F28" s="2"/>
      <c r="G28" s="18" t="s">
        <v>8</v>
      </c>
      <c r="H28" s="3">
        <v>59.072205394945499</v>
      </c>
      <c r="I28" s="20">
        <v>59.063559083312597</v>
      </c>
      <c r="J28" s="13">
        <v>26.71</v>
      </c>
    </row>
    <row r="29" spans="2:10" ht="15" thickBot="1" x14ac:dyDescent="0.4">
      <c r="B29" s="22" t="s">
        <v>13</v>
      </c>
      <c r="C29" s="23">
        <v>60</v>
      </c>
      <c r="D29" s="23"/>
      <c r="E29" s="23"/>
      <c r="F29" s="23"/>
      <c r="G29" s="25" t="s">
        <v>8</v>
      </c>
      <c r="H29" s="21">
        <v>59.072205394945499</v>
      </c>
      <c r="I29" s="26">
        <v>59.063559083312597</v>
      </c>
      <c r="J29" s="24">
        <v>33.340000000000003</v>
      </c>
    </row>
    <row r="30" spans="2:10" x14ac:dyDescent="0.35">
      <c r="B30" s="8" t="s">
        <v>16</v>
      </c>
      <c r="C30" s="9"/>
      <c r="D30" s="9"/>
      <c r="E30" s="9">
        <v>10</v>
      </c>
      <c r="F30" s="9">
        <v>50</v>
      </c>
      <c r="G30" s="9" t="s">
        <v>7</v>
      </c>
      <c r="H30" s="10">
        <v>76.496085191314805</v>
      </c>
      <c r="I30" s="9"/>
      <c r="J30" s="11">
        <v>12.17</v>
      </c>
    </row>
    <row r="31" spans="2:10" x14ac:dyDescent="0.35">
      <c r="B31" s="12" t="s">
        <v>16</v>
      </c>
      <c r="C31" s="2"/>
      <c r="D31" s="2"/>
      <c r="E31" s="2">
        <v>15</v>
      </c>
      <c r="F31" s="2">
        <v>50</v>
      </c>
      <c r="G31" s="2" t="s">
        <v>7</v>
      </c>
      <c r="H31" s="3">
        <v>34.156916731388499</v>
      </c>
      <c r="I31" s="2"/>
      <c r="J31" s="13">
        <v>15.71</v>
      </c>
    </row>
    <row r="32" spans="2:10" x14ac:dyDescent="0.35">
      <c r="B32" s="12" t="s">
        <v>16</v>
      </c>
      <c r="C32" s="2"/>
      <c r="D32" s="2"/>
      <c r="E32" s="2">
        <v>20</v>
      </c>
      <c r="F32" s="2">
        <v>50</v>
      </c>
      <c r="G32" s="2" t="s">
        <v>7</v>
      </c>
      <c r="H32" s="3">
        <v>21.866985737151001</v>
      </c>
      <c r="I32" s="2"/>
      <c r="J32" s="13">
        <v>16.809999999999999</v>
      </c>
    </row>
    <row r="33" spans="1:12" x14ac:dyDescent="0.35">
      <c r="B33" s="12" t="s">
        <v>16</v>
      </c>
      <c r="C33" s="2"/>
      <c r="D33" s="2"/>
      <c r="E33" s="2">
        <v>25</v>
      </c>
      <c r="F33" s="2">
        <v>50</v>
      </c>
      <c r="G33" s="2" t="s">
        <v>7</v>
      </c>
      <c r="H33" s="3">
        <v>21.598196097453801</v>
      </c>
      <c r="I33" s="2"/>
      <c r="J33" s="13">
        <v>23.94</v>
      </c>
    </row>
    <row r="34" spans="1:12" x14ac:dyDescent="0.35">
      <c r="B34" s="12" t="s">
        <v>16</v>
      </c>
      <c r="C34" s="2"/>
      <c r="D34" s="2"/>
      <c r="E34" s="2">
        <v>10</v>
      </c>
      <c r="F34" s="2">
        <v>80</v>
      </c>
      <c r="G34" s="2" t="s">
        <v>7</v>
      </c>
      <c r="H34" s="3">
        <v>68.838314256654002</v>
      </c>
      <c r="I34" s="2"/>
      <c r="J34" s="13">
        <v>19.32</v>
      </c>
    </row>
    <row r="35" spans="1:12" x14ac:dyDescent="0.35">
      <c r="B35" s="12" t="s">
        <v>16</v>
      </c>
      <c r="C35" s="2"/>
      <c r="D35" s="2"/>
      <c r="E35" s="2">
        <v>15</v>
      </c>
      <c r="F35" s="2">
        <v>80</v>
      </c>
      <c r="G35" s="2" t="s">
        <v>7</v>
      </c>
      <c r="H35" s="3">
        <v>33.383979815760597</v>
      </c>
      <c r="I35" s="2"/>
      <c r="J35" s="13">
        <v>26.42</v>
      </c>
    </row>
    <row r="36" spans="1:12" x14ac:dyDescent="0.35">
      <c r="B36" s="12" t="s">
        <v>16</v>
      </c>
      <c r="C36" s="2"/>
      <c r="D36" s="2"/>
      <c r="E36" s="2">
        <v>20</v>
      </c>
      <c r="F36" s="2">
        <v>80</v>
      </c>
      <c r="G36" s="2" t="s">
        <v>7</v>
      </c>
      <c r="H36" s="3">
        <v>21.115469552137299</v>
      </c>
      <c r="I36" s="2"/>
      <c r="J36" s="13">
        <v>25.24</v>
      </c>
    </row>
    <row r="37" spans="1:12" x14ac:dyDescent="0.35">
      <c r="B37" s="12" t="s">
        <v>16</v>
      </c>
      <c r="C37" s="2"/>
      <c r="D37" s="2"/>
      <c r="E37" s="2">
        <v>25</v>
      </c>
      <c r="F37" s="2">
        <v>80</v>
      </c>
      <c r="G37" s="2" t="s">
        <v>7</v>
      </c>
      <c r="H37" s="3">
        <v>21.152551459206698</v>
      </c>
      <c r="I37" s="2"/>
      <c r="J37" s="13">
        <v>30.22</v>
      </c>
    </row>
    <row r="38" spans="1:12" x14ac:dyDescent="0.35">
      <c r="B38" s="12" t="s">
        <v>16</v>
      </c>
      <c r="C38" s="2"/>
      <c r="D38" s="2"/>
      <c r="E38" s="2">
        <v>25</v>
      </c>
      <c r="F38" s="2">
        <v>100</v>
      </c>
      <c r="G38" s="2" t="s">
        <v>7</v>
      </c>
      <c r="H38" s="4">
        <v>21.096195547588302</v>
      </c>
      <c r="I38" s="2"/>
      <c r="J38" s="13">
        <v>47.07</v>
      </c>
    </row>
    <row r="39" spans="1:12" x14ac:dyDescent="0.35">
      <c r="B39" s="12" t="s">
        <v>16</v>
      </c>
      <c r="C39" s="2"/>
      <c r="D39" s="2"/>
      <c r="E39" s="2">
        <v>25</v>
      </c>
      <c r="F39" s="2">
        <v>150</v>
      </c>
      <c r="G39" s="2" t="s">
        <v>7</v>
      </c>
      <c r="H39" s="3">
        <v>20.933555214239501</v>
      </c>
      <c r="I39" s="2"/>
      <c r="J39" s="13">
        <v>63.35</v>
      </c>
    </row>
    <row r="40" spans="1:12" x14ac:dyDescent="0.35">
      <c r="B40" s="12" t="s">
        <v>16</v>
      </c>
      <c r="C40" s="2"/>
      <c r="D40" s="2"/>
      <c r="E40" s="2">
        <v>25</v>
      </c>
      <c r="F40" s="2">
        <v>80</v>
      </c>
      <c r="G40" s="2" t="s">
        <v>8</v>
      </c>
      <c r="H40" s="3">
        <v>21.152551459206698</v>
      </c>
      <c r="I40" s="3">
        <v>21.151507086732401</v>
      </c>
      <c r="J40" s="13">
        <v>29.78</v>
      </c>
    </row>
    <row r="41" spans="1:12" x14ac:dyDescent="0.35">
      <c r="B41" s="12" t="s">
        <v>16</v>
      </c>
      <c r="C41" s="2"/>
      <c r="D41" s="2"/>
      <c r="E41" s="2">
        <v>25</v>
      </c>
      <c r="F41" s="2">
        <v>100</v>
      </c>
      <c r="G41" s="2" t="s">
        <v>8</v>
      </c>
      <c r="H41" s="4">
        <v>21.096195547588302</v>
      </c>
      <c r="I41" s="4">
        <v>21.090065683150002</v>
      </c>
      <c r="J41" s="13">
        <v>35.68</v>
      </c>
      <c r="L41" t="s">
        <v>17</v>
      </c>
    </row>
    <row r="42" spans="1:12" x14ac:dyDescent="0.35">
      <c r="B42" s="22" t="s">
        <v>16</v>
      </c>
      <c r="C42" s="23"/>
      <c r="D42" s="23"/>
      <c r="E42" s="23">
        <v>25</v>
      </c>
      <c r="F42" s="23">
        <v>150</v>
      </c>
      <c r="G42" s="23" t="s">
        <v>8</v>
      </c>
      <c r="H42" s="21">
        <v>20.933555214239501</v>
      </c>
      <c r="I42" s="21">
        <v>20.913852644711</v>
      </c>
      <c r="J42" s="24">
        <v>63.56</v>
      </c>
    </row>
    <row r="43" spans="1:12" ht="15" thickBot="1" x14ac:dyDescent="0.4">
      <c r="B43" s="42" t="s">
        <v>31</v>
      </c>
      <c r="C43" s="43"/>
      <c r="D43" s="43"/>
      <c r="E43" s="43">
        <v>10</v>
      </c>
      <c r="F43" s="43">
        <v>500</v>
      </c>
      <c r="G43" s="43" t="s">
        <v>7</v>
      </c>
      <c r="H43" s="44">
        <v>14.1130851162229</v>
      </c>
      <c r="I43" s="43"/>
      <c r="J43" s="45">
        <f>2*60+57.83</f>
        <v>177.82999999999998</v>
      </c>
      <c r="K43">
        <f>J43/60</f>
        <v>2.9638333333333331</v>
      </c>
    </row>
    <row r="44" spans="1:12" ht="15" thickBot="1" x14ac:dyDescent="0.4">
      <c r="B44" s="48" t="s">
        <v>32</v>
      </c>
      <c r="E44" s="49">
        <v>10</v>
      </c>
      <c r="F44" s="49">
        <v>500</v>
      </c>
      <c r="G44" s="43" t="s">
        <v>7</v>
      </c>
    </row>
    <row r="48" spans="1:12" ht="15" thickBot="1" x14ac:dyDescent="0.4">
      <c r="A48" t="s">
        <v>0</v>
      </c>
      <c r="B48" t="s">
        <v>21</v>
      </c>
    </row>
    <row r="49" spans="2:20" ht="29" x14ac:dyDescent="0.35">
      <c r="B49" s="32" t="s">
        <v>1</v>
      </c>
      <c r="C49" s="34" t="s">
        <v>2</v>
      </c>
      <c r="D49" s="34"/>
      <c r="E49" s="34"/>
      <c r="F49" s="34"/>
      <c r="G49" s="35" t="s">
        <v>12</v>
      </c>
      <c r="H49" s="35" t="s">
        <v>9</v>
      </c>
      <c r="I49" s="35" t="s">
        <v>10</v>
      </c>
      <c r="J49" s="37" t="s">
        <v>6</v>
      </c>
    </row>
    <row r="50" spans="2:20" ht="15" thickBot="1" x14ac:dyDescent="0.4">
      <c r="B50" s="33"/>
      <c r="C50" s="7" t="s">
        <v>3</v>
      </c>
      <c r="D50" s="7" t="s">
        <v>4</v>
      </c>
      <c r="E50" s="7" t="s">
        <v>30</v>
      </c>
      <c r="F50" s="7" t="s">
        <v>29</v>
      </c>
      <c r="G50" s="36"/>
      <c r="H50" s="36"/>
      <c r="I50" s="36"/>
      <c r="J50" s="38"/>
    </row>
    <row r="51" spans="2:20" x14ac:dyDescent="0.35">
      <c r="B51" s="8" t="s">
        <v>16</v>
      </c>
      <c r="C51" s="9"/>
      <c r="D51" s="9"/>
      <c r="E51" s="39">
        <v>25</v>
      </c>
      <c r="F51" s="39">
        <v>100</v>
      </c>
      <c r="G51" s="39" t="s">
        <v>7</v>
      </c>
      <c r="H51" s="40">
        <v>642.85640012476097</v>
      </c>
      <c r="I51" s="9"/>
      <c r="J51" s="11">
        <f>2*60+14.52</f>
        <v>134.52000000000001</v>
      </c>
      <c r="K51" s="41">
        <f>J51/60</f>
        <v>2.242</v>
      </c>
      <c r="L51" t="s">
        <v>22</v>
      </c>
    </row>
    <row r="52" spans="2:20" x14ac:dyDescent="0.35">
      <c r="B52" s="12" t="s">
        <v>16</v>
      </c>
      <c r="C52" s="2"/>
      <c r="D52" s="2"/>
      <c r="E52" s="2">
        <v>25</v>
      </c>
      <c r="F52" s="2">
        <v>120</v>
      </c>
      <c r="G52" s="2" t="s">
        <v>7</v>
      </c>
      <c r="H52" s="29">
        <v>642.66116140171596</v>
      </c>
      <c r="I52" s="2"/>
      <c r="J52" s="13">
        <f>2*60+21.53</f>
        <v>141.53</v>
      </c>
      <c r="K52" s="41">
        <f t="shared" ref="K52:K60" si="0">J52/60</f>
        <v>2.3588333333333336</v>
      </c>
      <c r="L52" t="s">
        <v>23</v>
      </c>
    </row>
    <row r="53" spans="2:20" x14ac:dyDescent="0.35">
      <c r="B53" s="12" t="s">
        <v>16</v>
      </c>
      <c r="C53" s="2"/>
      <c r="D53" s="2"/>
      <c r="E53" s="2">
        <v>25</v>
      </c>
      <c r="F53" s="2">
        <v>150</v>
      </c>
      <c r="G53" s="2" t="s">
        <v>7</v>
      </c>
      <c r="H53" s="29">
        <v>642.66116140171596</v>
      </c>
      <c r="I53" s="2"/>
      <c r="J53" s="13">
        <f>2*60+41.42</f>
        <v>161.42000000000002</v>
      </c>
      <c r="K53" s="41">
        <f t="shared" si="0"/>
        <v>2.6903333333333337</v>
      </c>
    </row>
    <row r="54" spans="2:20" x14ac:dyDescent="0.35">
      <c r="B54" s="12" t="s">
        <v>16</v>
      </c>
      <c r="C54" s="2"/>
      <c r="D54" s="2"/>
      <c r="E54" s="2">
        <v>25</v>
      </c>
      <c r="F54" s="2">
        <v>150</v>
      </c>
      <c r="G54" s="2" t="s">
        <v>8</v>
      </c>
      <c r="H54" s="29">
        <v>642.66116140171596</v>
      </c>
      <c r="I54" s="30">
        <v>642.92712592794396</v>
      </c>
      <c r="J54" s="13">
        <f>2*60+40.53</f>
        <v>160.53</v>
      </c>
      <c r="K54" s="41">
        <f t="shared" si="0"/>
        <v>2.6755</v>
      </c>
      <c r="L54" t="s">
        <v>24</v>
      </c>
    </row>
    <row r="55" spans="2:20" x14ac:dyDescent="0.35">
      <c r="B55" s="12" t="s">
        <v>16</v>
      </c>
      <c r="C55" s="2"/>
      <c r="D55" s="2"/>
      <c r="E55" s="2">
        <v>30</v>
      </c>
      <c r="F55" s="2">
        <v>150</v>
      </c>
      <c r="G55" s="2" t="s">
        <v>7</v>
      </c>
      <c r="H55" s="28">
        <v>376.02775723511297</v>
      </c>
      <c r="I55" s="2"/>
      <c r="J55" s="13">
        <f>60+36.33</f>
        <v>96.33</v>
      </c>
      <c r="K55" s="41">
        <f t="shared" si="0"/>
        <v>1.6054999999999999</v>
      </c>
    </row>
    <row r="56" spans="2:20" x14ac:dyDescent="0.35">
      <c r="B56" s="12" t="s">
        <v>16</v>
      </c>
      <c r="C56" s="2"/>
      <c r="D56" s="2"/>
      <c r="E56" s="2">
        <v>30</v>
      </c>
      <c r="F56" s="2">
        <v>200</v>
      </c>
      <c r="G56" s="2" t="s">
        <v>7</v>
      </c>
      <c r="H56" s="28">
        <v>375.67459265584</v>
      </c>
      <c r="I56" s="2"/>
      <c r="J56" s="13">
        <f>60+50.99</f>
        <v>110.99000000000001</v>
      </c>
      <c r="K56" s="41">
        <f t="shared" si="0"/>
        <v>1.8498333333333334</v>
      </c>
    </row>
    <row r="57" spans="2:20" x14ac:dyDescent="0.35">
      <c r="B57" s="12" t="s">
        <v>16</v>
      </c>
      <c r="C57" s="2"/>
      <c r="D57" s="2"/>
      <c r="E57" s="2">
        <v>35</v>
      </c>
      <c r="F57" s="2">
        <v>200</v>
      </c>
      <c r="G57" s="2" t="s">
        <v>7</v>
      </c>
      <c r="H57" s="28">
        <v>642.68328820100896</v>
      </c>
      <c r="I57" s="2"/>
      <c r="J57" s="13">
        <f>5*60+13.72</f>
        <v>313.72000000000003</v>
      </c>
      <c r="K57" s="41">
        <f t="shared" si="0"/>
        <v>5.2286666666666672</v>
      </c>
    </row>
    <row r="58" spans="2:20" x14ac:dyDescent="0.35">
      <c r="B58" s="12" t="s">
        <v>16</v>
      </c>
      <c r="C58" s="2"/>
      <c r="D58" s="2"/>
      <c r="E58" s="31">
        <v>25</v>
      </c>
      <c r="F58" s="31">
        <v>100</v>
      </c>
      <c r="G58" s="31" t="s">
        <v>7</v>
      </c>
      <c r="H58" s="28">
        <v>642.65825516787504</v>
      </c>
      <c r="I58" s="2"/>
      <c r="J58" s="13">
        <f>5*60+38.17</f>
        <v>338.17</v>
      </c>
      <c r="K58" s="41">
        <f t="shared" si="0"/>
        <v>5.636166666666667</v>
      </c>
      <c r="L58" t="s">
        <v>25</v>
      </c>
    </row>
    <row r="59" spans="2:20" x14ac:dyDescent="0.35">
      <c r="B59" s="12" t="s">
        <v>16</v>
      </c>
      <c r="C59" s="2"/>
      <c r="D59" s="2"/>
      <c r="E59" s="2">
        <v>25</v>
      </c>
      <c r="F59" s="2">
        <v>500</v>
      </c>
      <c r="G59" s="2" t="s">
        <v>7</v>
      </c>
      <c r="H59" s="28">
        <v>642.48339335654896</v>
      </c>
      <c r="I59" s="2"/>
      <c r="J59" s="13">
        <f>16*60+24.41</f>
        <v>984.41</v>
      </c>
      <c r="K59" s="41">
        <f t="shared" si="0"/>
        <v>16.406833333333331</v>
      </c>
    </row>
    <row r="60" spans="2:20" ht="15" thickBot="1" x14ac:dyDescent="0.4">
      <c r="B60" s="42" t="s">
        <v>28</v>
      </c>
      <c r="C60" s="43"/>
      <c r="D60" s="43"/>
      <c r="E60" s="43">
        <v>10</v>
      </c>
      <c r="F60" s="43">
        <v>500</v>
      </c>
      <c r="G60" s="43" t="s">
        <v>7</v>
      </c>
      <c r="H60" s="46">
        <v>98.115554496124503</v>
      </c>
      <c r="I60" s="43"/>
      <c r="J60" s="45">
        <f>16*60+20.41</f>
        <v>980.41</v>
      </c>
      <c r="K60" s="41">
        <f t="shared" si="0"/>
        <v>16.340166666666665</v>
      </c>
    </row>
    <row r="61" spans="2:20" ht="14.5" customHeight="1" x14ac:dyDescent="0.35">
      <c r="B61" s="8" t="s">
        <v>13</v>
      </c>
      <c r="C61" s="9">
        <v>10</v>
      </c>
      <c r="D61" s="9"/>
      <c r="E61" s="9"/>
      <c r="F61" s="9"/>
      <c r="G61" s="9" t="s">
        <v>7</v>
      </c>
      <c r="H61" s="10">
        <v>1627.2112119826199</v>
      </c>
      <c r="I61" s="10"/>
      <c r="J61" s="11">
        <f>60+18.43</f>
        <v>78.430000000000007</v>
      </c>
      <c r="K61" s="41">
        <f t="shared" ref="K61:K67" si="1">J61/60</f>
        <v>1.3071666666666668</v>
      </c>
    </row>
    <row r="62" spans="2:20" x14ac:dyDescent="0.35">
      <c r="B62" s="12" t="s">
        <v>13</v>
      </c>
      <c r="C62" s="2">
        <v>20</v>
      </c>
      <c r="D62" s="2"/>
      <c r="E62" s="2"/>
      <c r="F62" s="2"/>
      <c r="G62" s="2" t="s">
        <v>7</v>
      </c>
      <c r="H62" s="3">
        <v>270.86726147910599</v>
      </c>
      <c r="I62" s="3"/>
      <c r="J62" s="13">
        <f>4*60+16</f>
        <v>256</v>
      </c>
      <c r="K62" s="41">
        <f t="shared" si="1"/>
        <v>4.2666666666666666</v>
      </c>
    </row>
    <row r="63" spans="2:20" x14ac:dyDescent="0.35">
      <c r="B63" s="12" t="s">
        <v>13</v>
      </c>
      <c r="C63" s="2">
        <v>40</v>
      </c>
      <c r="D63" s="2"/>
      <c r="E63" s="2"/>
      <c r="F63" s="2"/>
      <c r="G63" s="2" t="s">
        <v>7</v>
      </c>
      <c r="H63" s="4">
        <v>80.891270066865701</v>
      </c>
      <c r="I63" s="3"/>
      <c r="J63" s="13">
        <f>6*60+32.9</f>
        <v>392.9</v>
      </c>
      <c r="K63" s="41">
        <f t="shared" si="1"/>
        <v>6.5483333333333329</v>
      </c>
    </row>
    <row r="64" spans="2:20" ht="15" thickBot="1" x14ac:dyDescent="0.4">
      <c r="B64" s="15" t="s">
        <v>13</v>
      </c>
      <c r="C64" s="6">
        <v>60</v>
      </c>
      <c r="D64" s="6"/>
      <c r="E64" s="6"/>
      <c r="F64" s="6"/>
      <c r="G64" s="6" t="s">
        <v>7</v>
      </c>
      <c r="H64" s="47">
        <v>80.891270066865701</v>
      </c>
      <c r="I64" s="14"/>
      <c r="J64" s="27">
        <f>8*60+48.35</f>
        <v>528.35</v>
      </c>
      <c r="K64" s="41">
        <f t="shared" si="1"/>
        <v>8.8058333333333341</v>
      </c>
      <c r="T64" t="s">
        <v>27</v>
      </c>
    </row>
    <row r="65" spans="1:12" x14ac:dyDescent="0.35">
      <c r="B65" s="8" t="s">
        <v>5</v>
      </c>
      <c r="C65" s="9">
        <v>14</v>
      </c>
      <c r="D65" s="9">
        <v>8</v>
      </c>
      <c r="E65" s="9"/>
      <c r="F65" s="9"/>
      <c r="G65" s="9" t="s">
        <v>7</v>
      </c>
      <c r="H65" s="10">
        <v>778.393043419641</v>
      </c>
      <c r="I65" s="9"/>
      <c r="J65" s="11">
        <f>60+33.35</f>
        <v>93.35</v>
      </c>
      <c r="K65" s="41">
        <f t="shared" si="1"/>
        <v>1.5558333333333332</v>
      </c>
    </row>
    <row r="66" spans="1:12" x14ac:dyDescent="0.35">
      <c r="B66" s="12" t="s">
        <v>5</v>
      </c>
      <c r="C66" s="2">
        <v>20</v>
      </c>
      <c r="D66" s="2">
        <v>6</v>
      </c>
      <c r="E66" s="2"/>
      <c r="F66" s="2"/>
      <c r="G66" s="2" t="s">
        <v>7</v>
      </c>
      <c r="H66" s="3">
        <v>631.09160994058198</v>
      </c>
      <c r="I66" s="2"/>
      <c r="J66" s="13">
        <f>60+13.3</f>
        <v>73.3</v>
      </c>
      <c r="K66" s="41">
        <f t="shared" si="1"/>
        <v>1.2216666666666667</v>
      </c>
    </row>
    <row r="67" spans="1:12" ht="15" thickBot="1" x14ac:dyDescent="0.4">
      <c r="B67" s="15" t="s">
        <v>5</v>
      </c>
      <c r="C67" s="6">
        <v>20</v>
      </c>
      <c r="D67" s="6">
        <v>8</v>
      </c>
      <c r="E67" s="6"/>
      <c r="F67" s="6"/>
      <c r="G67" s="6" t="s">
        <v>7</v>
      </c>
      <c r="H67" s="14">
        <v>537.62630440488795</v>
      </c>
      <c r="I67" s="6"/>
      <c r="J67" s="27">
        <f>2*60+25.47</f>
        <v>145.47</v>
      </c>
      <c r="K67" s="41">
        <f t="shared" si="1"/>
        <v>2.4245000000000001</v>
      </c>
    </row>
    <row r="70" spans="1:12" ht="15" thickBot="1" x14ac:dyDescent="0.4">
      <c r="A70" t="s">
        <v>0</v>
      </c>
      <c r="B70" t="s">
        <v>18</v>
      </c>
    </row>
    <row r="71" spans="1:12" x14ac:dyDescent="0.35">
      <c r="B71" s="63" t="s">
        <v>1</v>
      </c>
      <c r="C71" s="62" t="s">
        <v>2</v>
      </c>
      <c r="D71" s="62"/>
      <c r="E71" s="62"/>
      <c r="F71" s="62"/>
      <c r="G71" s="65" t="s">
        <v>12</v>
      </c>
      <c r="H71" s="65" t="s">
        <v>9</v>
      </c>
      <c r="I71" s="65" t="s">
        <v>10</v>
      </c>
      <c r="J71" s="60" t="s">
        <v>6</v>
      </c>
    </row>
    <row r="72" spans="1:12" ht="15" thickBot="1" x14ac:dyDescent="0.4">
      <c r="B72" s="68"/>
      <c r="C72" s="7" t="s">
        <v>3</v>
      </c>
      <c r="D72" s="7" t="s">
        <v>4</v>
      </c>
      <c r="E72" s="7" t="s">
        <v>30</v>
      </c>
      <c r="F72" s="7" t="s">
        <v>29</v>
      </c>
      <c r="G72" s="69"/>
      <c r="H72" s="69"/>
      <c r="I72" s="69"/>
      <c r="J72" s="61"/>
    </row>
    <row r="73" spans="1:12" x14ac:dyDescent="0.35">
      <c r="B73" s="8" t="s">
        <v>16</v>
      </c>
      <c r="C73" s="9"/>
      <c r="D73" s="9"/>
      <c r="E73" s="9">
        <v>25</v>
      </c>
      <c r="F73" s="9">
        <v>50</v>
      </c>
      <c r="G73" s="9" t="s">
        <v>7</v>
      </c>
      <c r="H73" s="40">
        <v>39.402122681394601</v>
      </c>
      <c r="I73" s="9"/>
      <c r="J73" s="11">
        <v>48.38</v>
      </c>
    </row>
    <row r="74" spans="1:12" x14ac:dyDescent="0.35">
      <c r="B74" s="12" t="s">
        <v>16</v>
      </c>
      <c r="C74" s="2"/>
      <c r="D74" s="2"/>
      <c r="E74" s="2">
        <v>25</v>
      </c>
      <c r="F74" s="2">
        <v>80</v>
      </c>
      <c r="G74" s="2" t="s">
        <v>7</v>
      </c>
      <c r="H74" s="28">
        <v>26.1017589545019</v>
      </c>
      <c r="I74" s="2"/>
      <c r="J74" s="13">
        <f>60+17.06</f>
        <v>77.06</v>
      </c>
    </row>
    <row r="75" spans="1:12" x14ac:dyDescent="0.35">
      <c r="B75" s="12" t="s">
        <v>16</v>
      </c>
      <c r="C75" s="2"/>
      <c r="D75" s="2"/>
      <c r="E75" s="2">
        <v>25</v>
      </c>
      <c r="F75" s="2">
        <v>100</v>
      </c>
      <c r="G75" s="2" t="s">
        <v>7</v>
      </c>
      <c r="H75" s="29">
        <v>26.036020305426099</v>
      </c>
      <c r="I75" s="2"/>
      <c r="J75" s="13">
        <f>60+32.74</f>
        <v>92.740000000000009</v>
      </c>
    </row>
    <row r="76" spans="1:12" x14ac:dyDescent="0.35">
      <c r="B76" s="12" t="s">
        <v>16</v>
      </c>
      <c r="C76" s="2"/>
      <c r="D76" s="2"/>
      <c r="E76" s="2">
        <v>25</v>
      </c>
      <c r="F76" s="2">
        <v>120</v>
      </c>
      <c r="G76" s="2" t="s">
        <v>7</v>
      </c>
      <c r="H76" s="28">
        <v>26.036020305426099</v>
      </c>
      <c r="I76" s="2"/>
      <c r="J76" s="13">
        <f>60+52.17</f>
        <v>112.17</v>
      </c>
      <c r="L76" t="s">
        <v>19</v>
      </c>
    </row>
    <row r="77" spans="1:12" x14ac:dyDescent="0.35">
      <c r="B77" s="12" t="s">
        <v>16</v>
      </c>
      <c r="C77" s="2"/>
      <c r="D77" s="2"/>
      <c r="E77" s="2">
        <v>25</v>
      </c>
      <c r="F77" s="2">
        <v>80</v>
      </c>
      <c r="G77" s="2" t="s">
        <v>8</v>
      </c>
      <c r="H77" s="28">
        <v>26.1017589545019</v>
      </c>
      <c r="I77" s="3">
        <v>26.1014646021309</v>
      </c>
      <c r="J77" s="13">
        <f>60+13.62</f>
        <v>73.62</v>
      </c>
    </row>
    <row r="78" spans="1:12" x14ac:dyDescent="0.35">
      <c r="B78" s="12" t="s">
        <v>16</v>
      </c>
      <c r="C78" s="2"/>
      <c r="D78" s="2"/>
      <c r="E78" s="2">
        <v>25</v>
      </c>
      <c r="F78" s="2">
        <v>100</v>
      </c>
      <c r="G78" s="2" t="s">
        <v>8</v>
      </c>
      <c r="H78" s="29">
        <v>26.036020305426099</v>
      </c>
      <c r="I78" s="4">
        <v>26.028892560451698</v>
      </c>
      <c r="J78" s="13">
        <f>60+33.08</f>
        <v>93.08</v>
      </c>
    </row>
    <row r="79" spans="1:12" ht="15" thickBot="1" x14ac:dyDescent="0.4">
      <c r="B79" s="42" t="s">
        <v>28</v>
      </c>
      <c r="C79" s="43"/>
      <c r="D79" s="43"/>
      <c r="E79" s="43">
        <v>10</v>
      </c>
      <c r="F79" s="43">
        <v>500</v>
      </c>
      <c r="G79" s="43" t="s">
        <v>7</v>
      </c>
      <c r="H79" s="46">
        <v>45.923361985594603</v>
      </c>
      <c r="I79" s="43"/>
      <c r="J79" s="45">
        <f>13*60+9.75</f>
        <v>789.75</v>
      </c>
      <c r="K79">
        <f>J79/60</f>
        <v>13.1625</v>
      </c>
    </row>
    <row r="82" spans="2:11" x14ac:dyDescent="0.35">
      <c r="B82" t="s">
        <v>20</v>
      </c>
      <c r="K82" s="1"/>
    </row>
    <row r="83" spans="2:11" x14ac:dyDescent="0.35">
      <c r="B83" t="s">
        <v>26</v>
      </c>
    </row>
  </sheetData>
  <mergeCells count="12">
    <mergeCell ref="J71:J72"/>
    <mergeCell ref="C2:F2"/>
    <mergeCell ref="B2:B3"/>
    <mergeCell ref="G2:G3"/>
    <mergeCell ref="H2:H3"/>
    <mergeCell ref="J2:J3"/>
    <mergeCell ref="I2:I3"/>
    <mergeCell ref="B71:B72"/>
    <mergeCell ref="C71:F71"/>
    <mergeCell ref="G71:G72"/>
    <mergeCell ref="H71:H72"/>
    <mergeCell ref="I71:I7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CEB36-15CC-49A5-922D-23CCF4F0347B}">
  <dimension ref="A1:W46"/>
  <sheetViews>
    <sheetView tabSelected="1" zoomScale="77" workbookViewId="0">
      <selection activeCell="J5" sqref="J5"/>
    </sheetView>
  </sheetViews>
  <sheetFormatPr baseColWidth="10" defaultRowHeight="14.5" x14ac:dyDescent="0.35"/>
  <cols>
    <col min="1" max="1" width="11.54296875" bestFit="1" customWidth="1"/>
    <col min="2" max="2" width="24.7265625" customWidth="1"/>
    <col min="5" max="5" width="19.1796875" bestFit="1" customWidth="1"/>
    <col min="6" max="6" width="16.36328125" customWidth="1"/>
    <col min="7" max="7" width="16.90625" bestFit="1" customWidth="1"/>
    <col min="8" max="8" width="13.6328125" bestFit="1" customWidth="1"/>
    <col min="9" max="9" width="12" bestFit="1" customWidth="1"/>
    <col min="11" max="11" width="14" customWidth="1"/>
    <col min="14" max="14" width="38.08984375" bestFit="1" customWidth="1"/>
    <col min="15" max="15" width="24.08984375" bestFit="1" customWidth="1"/>
    <col min="18" max="18" width="19.7265625" bestFit="1" customWidth="1"/>
    <col min="19" max="19" width="15.54296875" bestFit="1" customWidth="1"/>
    <col min="20" max="20" width="14.08984375" bestFit="1" customWidth="1"/>
    <col min="22" max="22" width="12.6328125" bestFit="1" customWidth="1"/>
  </cols>
  <sheetData>
    <row r="1" spans="1:23" x14ac:dyDescent="0.35">
      <c r="A1" t="s">
        <v>0</v>
      </c>
      <c r="B1" t="s">
        <v>11</v>
      </c>
      <c r="N1" t="s">
        <v>41</v>
      </c>
    </row>
    <row r="2" spans="1:23" x14ac:dyDescent="0.35">
      <c r="B2" s="57" t="s">
        <v>1</v>
      </c>
      <c r="C2" s="58" t="s">
        <v>2</v>
      </c>
      <c r="D2" s="58"/>
      <c r="E2" s="58"/>
      <c r="F2" s="58"/>
      <c r="G2" s="57" t="s">
        <v>9</v>
      </c>
      <c r="H2" s="57" t="s">
        <v>6</v>
      </c>
      <c r="I2" s="57" t="s">
        <v>34</v>
      </c>
      <c r="N2" s="57" t="s">
        <v>40</v>
      </c>
      <c r="O2" s="77" t="s">
        <v>1</v>
      </c>
      <c r="P2" s="74" t="s">
        <v>2</v>
      </c>
      <c r="Q2" s="75"/>
      <c r="R2" s="75"/>
      <c r="S2" s="76"/>
      <c r="T2" s="69" t="s">
        <v>9</v>
      </c>
      <c r="U2" s="69" t="s">
        <v>6</v>
      </c>
      <c r="V2" s="69" t="s">
        <v>34</v>
      </c>
    </row>
    <row r="3" spans="1:23" x14ac:dyDescent="0.35">
      <c r="B3" s="57"/>
      <c r="C3" s="50" t="s">
        <v>3</v>
      </c>
      <c r="D3" s="50" t="s">
        <v>4</v>
      </c>
      <c r="E3" s="50" t="s">
        <v>30</v>
      </c>
      <c r="F3" s="50" t="s">
        <v>29</v>
      </c>
      <c r="G3" s="57"/>
      <c r="H3" s="57"/>
      <c r="I3" s="57"/>
      <c r="N3" s="57"/>
      <c r="O3" s="77"/>
      <c r="P3" s="50" t="s">
        <v>3</v>
      </c>
      <c r="Q3" s="50" t="s">
        <v>4</v>
      </c>
      <c r="R3" s="50" t="s">
        <v>30</v>
      </c>
      <c r="S3" s="50" t="s">
        <v>29</v>
      </c>
      <c r="T3" s="73"/>
      <c r="U3" s="73"/>
      <c r="V3" s="73"/>
    </row>
    <row r="4" spans="1:23" x14ac:dyDescent="0.35">
      <c r="B4" s="2" t="s">
        <v>16</v>
      </c>
      <c r="C4" s="2"/>
      <c r="D4" s="2"/>
      <c r="E4" s="2">
        <v>25</v>
      </c>
      <c r="F4" s="2">
        <v>150</v>
      </c>
      <c r="G4" s="54">
        <v>3.54059150007205E-4</v>
      </c>
      <c r="H4" s="2">
        <f>60+18.28</f>
        <v>78.28</v>
      </c>
      <c r="I4" s="51">
        <f>H4/60</f>
        <v>1.3046666666666666</v>
      </c>
      <c r="N4" s="2" t="s">
        <v>11</v>
      </c>
      <c r="O4" s="2" t="s">
        <v>16</v>
      </c>
      <c r="P4" s="2"/>
      <c r="Q4" s="2"/>
      <c r="R4" s="2">
        <v>25</v>
      </c>
      <c r="S4" s="2">
        <v>200</v>
      </c>
      <c r="T4" s="54">
        <f>G5</f>
        <v>3.5386864122503397E-4</v>
      </c>
      <c r="U4" s="2">
        <f t="shared" ref="U4:V6" si="0">H5</f>
        <v>84.3</v>
      </c>
      <c r="V4" s="2">
        <f t="shared" si="0"/>
        <v>1.405</v>
      </c>
    </row>
    <row r="5" spans="1:23" x14ac:dyDescent="0.35">
      <c r="B5" s="2" t="s">
        <v>16</v>
      </c>
      <c r="C5" s="2"/>
      <c r="D5" s="2"/>
      <c r="E5" s="2">
        <v>25</v>
      </c>
      <c r="F5" s="2">
        <v>200</v>
      </c>
      <c r="G5" s="54">
        <v>3.5386864122503397E-4</v>
      </c>
      <c r="H5" s="2">
        <f>60+24.3</f>
        <v>84.3</v>
      </c>
      <c r="I5" s="51">
        <f t="shared" ref="I5:I9" si="1">H5/60</f>
        <v>1.405</v>
      </c>
      <c r="N5" s="2"/>
      <c r="O5" s="2" t="s">
        <v>33</v>
      </c>
      <c r="P5" s="2"/>
      <c r="Q5" s="2"/>
      <c r="R5" s="2">
        <v>25</v>
      </c>
      <c r="S5" s="2" t="s">
        <v>42</v>
      </c>
      <c r="T5" s="2">
        <v>1.3251362658287199E-3</v>
      </c>
      <c r="U5" s="2">
        <f>6*60+41.95</f>
        <v>401.95</v>
      </c>
      <c r="V5" s="51">
        <f>U5/60</f>
        <v>6.6991666666666667</v>
      </c>
      <c r="W5" t="s">
        <v>43</v>
      </c>
    </row>
    <row r="6" spans="1:23" x14ac:dyDescent="0.35">
      <c r="B6" s="2"/>
      <c r="C6" s="2"/>
      <c r="D6" s="2"/>
      <c r="E6" s="2"/>
      <c r="F6" s="2"/>
      <c r="G6" s="2"/>
      <c r="H6" s="2"/>
      <c r="I6" s="51">
        <f t="shared" si="1"/>
        <v>0</v>
      </c>
      <c r="N6" s="2"/>
      <c r="O6" s="2"/>
      <c r="P6" s="2"/>
      <c r="Q6" s="2"/>
      <c r="R6" s="2"/>
      <c r="S6" s="2"/>
      <c r="T6" s="2"/>
      <c r="U6" s="2"/>
      <c r="V6" s="2"/>
    </row>
    <row r="7" spans="1:23" x14ac:dyDescent="0.35">
      <c r="B7" s="2" t="s">
        <v>33</v>
      </c>
      <c r="C7" s="2"/>
      <c r="D7" s="2"/>
      <c r="E7" s="2">
        <v>25</v>
      </c>
      <c r="F7" s="2">
        <v>150</v>
      </c>
      <c r="G7" s="2">
        <v>7.47298733256553E-4</v>
      </c>
      <c r="H7" s="2">
        <f>60+39.4</f>
        <v>99.4</v>
      </c>
      <c r="I7" s="51">
        <f t="shared" si="1"/>
        <v>1.6566666666666667</v>
      </c>
      <c r="N7" s="2" t="s">
        <v>21</v>
      </c>
      <c r="O7" s="2" t="s">
        <v>16</v>
      </c>
      <c r="P7" s="2"/>
      <c r="Q7" s="2"/>
      <c r="R7" s="2">
        <v>25</v>
      </c>
      <c r="S7" s="2">
        <v>500</v>
      </c>
      <c r="T7" s="54">
        <f>G25</f>
        <v>1.10137530548398E-2</v>
      </c>
      <c r="U7" s="2">
        <f t="shared" ref="U7:V7" si="2">H25</f>
        <v>983.38</v>
      </c>
      <c r="V7" s="78">
        <f t="shared" si="2"/>
        <v>16.389666666666667</v>
      </c>
    </row>
    <row r="8" spans="1:23" x14ac:dyDescent="0.35">
      <c r="B8" s="2" t="s">
        <v>33</v>
      </c>
      <c r="C8" s="2"/>
      <c r="D8" s="2"/>
      <c r="E8" s="2">
        <v>25</v>
      </c>
      <c r="F8" s="2">
        <v>200</v>
      </c>
      <c r="G8" s="2">
        <v>7.4539462925004598E-4</v>
      </c>
      <c r="H8" s="2">
        <f>60*2+16.43</f>
        <v>136.43</v>
      </c>
      <c r="I8" s="51">
        <f t="shared" si="1"/>
        <v>2.2738333333333336</v>
      </c>
      <c r="N8" s="2"/>
      <c r="O8" s="2" t="s">
        <v>33</v>
      </c>
      <c r="P8" s="2"/>
      <c r="Q8" s="2"/>
      <c r="R8" s="2"/>
      <c r="S8" s="2"/>
      <c r="T8" s="2"/>
      <c r="U8" s="2"/>
      <c r="V8" s="2"/>
      <c r="W8" t="s">
        <v>44</v>
      </c>
    </row>
    <row r="9" spans="1:23" x14ac:dyDescent="0.35">
      <c r="B9" s="2" t="s">
        <v>33</v>
      </c>
      <c r="C9" s="2"/>
      <c r="D9" s="2"/>
      <c r="E9" s="2">
        <v>20</v>
      </c>
      <c r="F9" s="2" t="s">
        <v>38</v>
      </c>
      <c r="G9" s="56">
        <v>7.1734287866433903E-4</v>
      </c>
      <c r="H9" s="2">
        <f>4*60+58.9</f>
        <v>298.89999999999998</v>
      </c>
      <c r="I9" s="51">
        <f t="shared" si="1"/>
        <v>4.9816666666666665</v>
      </c>
      <c r="J9" s="55" t="s">
        <v>39</v>
      </c>
      <c r="K9" s="55"/>
      <c r="N9" s="2"/>
      <c r="O9" s="2"/>
      <c r="P9" s="2"/>
      <c r="Q9" s="2"/>
      <c r="R9" s="2"/>
      <c r="S9" s="2"/>
      <c r="T9" s="2"/>
      <c r="U9" s="2"/>
      <c r="V9" s="2"/>
    </row>
    <row r="10" spans="1:23" x14ac:dyDescent="0.35">
      <c r="B10" s="2" t="s">
        <v>5</v>
      </c>
      <c r="C10" s="2">
        <v>14</v>
      </c>
      <c r="D10" s="2">
        <v>8</v>
      </c>
      <c r="E10" s="2"/>
      <c r="F10" s="2"/>
      <c r="G10" s="2">
        <v>1.0140708323287399E-3</v>
      </c>
      <c r="H10" s="2">
        <v>23.59</v>
      </c>
      <c r="I10" s="51">
        <f>H10/60</f>
        <v>0.39316666666666666</v>
      </c>
      <c r="J10" s="71"/>
      <c r="K10" s="71"/>
      <c r="N10" s="2" t="s">
        <v>18</v>
      </c>
      <c r="O10" s="2" t="s">
        <v>16</v>
      </c>
      <c r="P10" s="2"/>
      <c r="Q10" s="2"/>
      <c r="R10" s="2">
        <v>25</v>
      </c>
      <c r="S10" s="2">
        <v>200</v>
      </c>
      <c r="T10" s="54">
        <f>G43</f>
        <v>4.96373772906626E-4</v>
      </c>
      <c r="U10" s="2">
        <f t="shared" ref="U10:V10" si="3">H43</f>
        <v>297.94</v>
      </c>
      <c r="V10" s="51">
        <f t="shared" si="3"/>
        <v>4.9656666666666665</v>
      </c>
    </row>
    <row r="11" spans="1:23" x14ac:dyDescent="0.35">
      <c r="B11" s="2" t="s">
        <v>5</v>
      </c>
      <c r="C11" s="2">
        <v>20</v>
      </c>
      <c r="D11" s="2">
        <v>8</v>
      </c>
      <c r="E11" s="2"/>
      <c r="F11" s="2"/>
      <c r="G11" s="2">
        <v>2.6214962503612101E-3</v>
      </c>
      <c r="H11" s="2">
        <v>35.130000000000003</v>
      </c>
      <c r="I11" s="51">
        <f>H11/60</f>
        <v>0.58550000000000002</v>
      </c>
      <c r="N11" s="2"/>
      <c r="O11" s="2" t="s">
        <v>33</v>
      </c>
      <c r="P11" s="2"/>
      <c r="Q11" s="2"/>
      <c r="R11" s="2"/>
      <c r="S11" s="2"/>
      <c r="T11" s="2"/>
      <c r="U11" s="2"/>
      <c r="V11" s="2"/>
    </row>
    <row r="12" spans="1:23" x14ac:dyDescent="0.35">
      <c r="B12" s="2" t="s">
        <v>5</v>
      </c>
      <c r="C12" s="2">
        <v>50</v>
      </c>
      <c r="D12" s="2">
        <v>10</v>
      </c>
      <c r="E12" s="2"/>
      <c r="F12" s="2"/>
      <c r="G12" s="2">
        <v>7.2968812345856502E-4</v>
      </c>
      <c r="H12" s="2">
        <f>60+39.66</f>
        <v>99.66</v>
      </c>
      <c r="I12" s="51">
        <f>H12/60</f>
        <v>1.661</v>
      </c>
      <c r="N12" s="2"/>
      <c r="O12" s="2"/>
      <c r="P12" s="2"/>
      <c r="Q12" s="2"/>
      <c r="R12" s="2"/>
      <c r="S12" s="2"/>
      <c r="T12" s="2"/>
      <c r="U12" s="2"/>
      <c r="V12" s="2"/>
    </row>
    <row r="13" spans="1:23" x14ac:dyDescent="0.35">
      <c r="B13" s="2" t="s">
        <v>13</v>
      </c>
      <c r="C13" s="2">
        <v>20</v>
      </c>
      <c r="D13" s="2"/>
      <c r="E13" s="2"/>
      <c r="F13" s="2"/>
      <c r="G13" s="2">
        <v>2.9707312987521901E-2</v>
      </c>
      <c r="H13" s="2">
        <v>23.9</v>
      </c>
      <c r="I13" s="51">
        <f>H13/60</f>
        <v>0.39833333333333332</v>
      </c>
    </row>
    <row r="14" spans="1:23" x14ac:dyDescent="0.35">
      <c r="B14" s="2" t="s">
        <v>13</v>
      </c>
      <c r="C14" s="2">
        <v>50</v>
      </c>
      <c r="D14" s="2"/>
      <c r="E14" s="2"/>
      <c r="F14" s="2"/>
      <c r="G14" s="2">
        <v>3.2673059442356002E-3</v>
      </c>
      <c r="H14" s="2">
        <v>50.34</v>
      </c>
      <c r="I14" s="51">
        <f>H14/60</f>
        <v>0.83900000000000008</v>
      </c>
    </row>
    <row r="16" spans="1:23" x14ac:dyDescent="0.35">
      <c r="G16">
        <f>MIN(G4:G14)</f>
        <v>3.5386864122503397E-4</v>
      </c>
    </row>
    <row r="20" spans="1:11" x14ac:dyDescent="0.35">
      <c r="A20" t="s">
        <v>0</v>
      </c>
      <c r="B20" t="s">
        <v>21</v>
      </c>
    </row>
    <row r="21" spans="1:11" x14ac:dyDescent="0.35">
      <c r="B21" s="57" t="s">
        <v>1</v>
      </c>
      <c r="C21" s="58" t="s">
        <v>2</v>
      </c>
      <c r="D21" s="58"/>
      <c r="E21" s="58"/>
      <c r="F21" s="58"/>
      <c r="G21" s="57" t="s">
        <v>9</v>
      </c>
      <c r="H21" s="57" t="s">
        <v>6</v>
      </c>
      <c r="I21" s="57" t="s">
        <v>34</v>
      </c>
    </row>
    <row r="22" spans="1:11" x14ac:dyDescent="0.35">
      <c r="B22" s="57"/>
      <c r="C22" s="50" t="s">
        <v>3</v>
      </c>
      <c r="D22" s="50" t="s">
        <v>4</v>
      </c>
      <c r="E22" s="50" t="s">
        <v>30</v>
      </c>
      <c r="F22" s="50" t="s">
        <v>29</v>
      </c>
      <c r="G22" s="57"/>
      <c r="H22" s="57"/>
      <c r="I22" s="57"/>
    </row>
    <row r="23" spans="1:11" x14ac:dyDescent="0.35">
      <c r="B23" s="2" t="s">
        <v>16</v>
      </c>
      <c r="C23" s="2"/>
      <c r="D23" s="2"/>
      <c r="E23" s="2">
        <v>25</v>
      </c>
      <c r="F23" s="2">
        <v>150</v>
      </c>
      <c r="G23" s="72">
        <v>1.10227895476947E-2</v>
      </c>
      <c r="H23" s="18">
        <f>3*60+59.05</f>
        <v>239.05</v>
      </c>
      <c r="I23" s="51">
        <f t="shared" ref="I23:I25" si="4">H23/60</f>
        <v>3.9841666666666669</v>
      </c>
    </row>
    <row r="24" spans="1:11" x14ac:dyDescent="0.35">
      <c r="B24" s="2" t="s">
        <v>16</v>
      </c>
      <c r="C24" s="2"/>
      <c r="D24" s="2"/>
      <c r="E24" s="2">
        <v>25</v>
      </c>
      <c r="F24" s="2">
        <v>200</v>
      </c>
      <c r="G24" s="54">
        <v>1.1022084456943E-2</v>
      </c>
      <c r="H24" s="18">
        <f>5*60+36.45</f>
        <v>336.45</v>
      </c>
      <c r="I24" s="51">
        <f t="shared" si="4"/>
        <v>5.6074999999999999</v>
      </c>
    </row>
    <row r="25" spans="1:11" x14ac:dyDescent="0.35">
      <c r="B25" s="2" t="s">
        <v>16</v>
      </c>
      <c r="C25" s="2"/>
      <c r="D25" s="2"/>
      <c r="E25" s="2">
        <v>25</v>
      </c>
      <c r="F25" s="2">
        <v>500</v>
      </c>
      <c r="G25" s="54">
        <v>1.10137530548398E-2</v>
      </c>
      <c r="H25" s="2">
        <f>16*60+23.38</f>
        <v>983.38</v>
      </c>
      <c r="I25" s="51">
        <f t="shared" si="4"/>
        <v>16.389666666666667</v>
      </c>
    </row>
    <row r="26" spans="1:11" x14ac:dyDescent="0.35">
      <c r="B26" s="2"/>
      <c r="C26" s="2"/>
      <c r="D26" s="2"/>
      <c r="E26" s="2"/>
      <c r="F26" s="2"/>
      <c r="G26" s="2"/>
      <c r="H26" s="2"/>
      <c r="I26" s="2"/>
    </row>
    <row r="27" spans="1:11" x14ac:dyDescent="0.35">
      <c r="B27" s="52" t="s">
        <v>33</v>
      </c>
      <c r="C27" s="52"/>
      <c r="D27" s="52"/>
      <c r="E27" s="52">
        <v>25</v>
      </c>
      <c r="F27" s="52">
        <v>150</v>
      </c>
      <c r="G27" s="52">
        <v>5.0054474380338103E-2</v>
      </c>
      <c r="H27" s="52">
        <f>2*60+57.09</f>
        <v>177.09</v>
      </c>
      <c r="I27" s="53">
        <f>H27/60</f>
        <v>2.9515000000000002</v>
      </c>
    </row>
    <row r="28" spans="1:11" x14ac:dyDescent="0.35">
      <c r="B28" s="52" t="s">
        <v>33</v>
      </c>
      <c r="C28" s="52"/>
      <c r="D28" s="52"/>
      <c r="E28" s="52">
        <v>25</v>
      </c>
      <c r="F28" s="52">
        <v>200</v>
      </c>
      <c r="G28" s="52">
        <v>8.3019029328971292E-3</v>
      </c>
      <c r="H28" s="52">
        <f>4*60+16.62</f>
        <v>256.62</v>
      </c>
      <c r="I28" s="53">
        <f>H28/60</f>
        <v>4.2770000000000001</v>
      </c>
    </row>
    <row r="29" spans="1:11" x14ac:dyDescent="0.35">
      <c r="B29" s="52" t="s">
        <v>33</v>
      </c>
      <c r="C29" s="52"/>
      <c r="D29" s="52"/>
      <c r="E29" s="52">
        <v>20</v>
      </c>
      <c r="F29" s="2" t="s">
        <v>38</v>
      </c>
      <c r="G29" s="70">
        <v>1.34035214624097E-3</v>
      </c>
      <c r="H29" s="52">
        <f>5*60+36.08</f>
        <v>336.08</v>
      </c>
      <c r="I29" s="53">
        <f>H29/60</f>
        <v>5.6013333333333328</v>
      </c>
      <c r="J29" s="55" t="s">
        <v>36</v>
      </c>
      <c r="K29" s="55"/>
    </row>
    <row r="30" spans="1:11" x14ac:dyDescent="0.35">
      <c r="B30" s="52"/>
      <c r="C30" s="52"/>
      <c r="D30" s="52"/>
      <c r="E30" s="52"/>
      <c r="F30" s="52"/>
      <c r="G30" s="52"/>
      <c r="H30" s="52"/>
      <c r="I30" s="53">
        <f>H30/60</f>
        <v>0</v>
      </c>
    </row>
    <row r="31" spans="1:11" x14ac:dyDescent="0.35">
      <c r="B31" s="52"/>
      <c r="C31" s="52"/>
      <c r="D31" s="52"/>
      <c r="E31" s="52"/>
      <c r="F31" s="52"/>
      <c r="G31" s="52"/>
      <c r="H31" s="52"/>
      <c r="I31" s="53">
        <f>H31/60</f>
        <v>0</v>
      </c>
    </row>
    <row r="32" spans="1:11" x14ac:dyDescent="0.35">
      <c r="B32" s="52" t="s">
        <v>13</v>
      </c>
      <c r="C32" s="52">
        <v>50</v>
      </c>
      <c r="D32" s="52"/>
      <c r="E32" s="52"/>
      <c r="F32" s="52"/>
      <c r="G32" s="52">
        <v>1.4277277173853299E-2</v>
      </c>
      <c r="H32" s="52">
        <f>60+48.03</f>
        <v>108.03</v>
      </c>
      <c r="I32" s="53">
        <f>H32/60</f>
        <v>1.8005</v>
      </c>
      <c r="K32" t="s">
        <v>35</v>
      </c>
    </row>
    <row r="33" spans="1:11" x14ac:dyDescent="0.35">
      <c r="B33" s="52"/>
      <c r="C33" s="52"/>
      <c r="D33" s="52"/>
      <c r="E33" s="52"/>
      <c r="F33" s="52"/>
      <c r="G33" s="52"/>
      <c r="H33" s="52"/>
      <c r="I33" s="53">
        <f>H33/60</f>
        <v>0</v>
      </c>
    </row>
    <row r="34" spans="1:11" x14ac:dyDescent="0.35">
      <c r="B34" s="52"/>
      <c r="C34" s="52"/>
      <c r="D34" s="52"/>
      <c r="E34" s="52"/>
      <c r="F34" s="52"/>
      <c r="G34" s="52"/>
      <c r="H34" s="52"/>
      <c r="I34" s="53">
        <f>H34/60</f>
        <v>0</v>
      </c>
    </row>
    <row r="35" spans="1:11" x14ac:dyDescent="0.35">
      <c r="G35">
        <f>MIN(G23:G34)</f>
        <v>1.34035214624097E-3</v>
      </c>
    </row>
    <row r="39" spans="1:11" x14ac:dyDescent="0.35">
      <c r="A39" t="s">
        <v>0</v>
      </c>
      <c r="B39" t="s">
        <v>18</v>
      </c>
    </row>
    <row r="40" spans="1:11" x14ac:dyDescent="0.35">
      <c r="B40" s="57" t="s">
        <v>1</v>
      </c>
      <c r="C40" s="58" t="s">
        <v>2</v>
      </c>
      <c r="D40" s="58"/>
      <c r="E40" s="58"/>
      <c r="F40" s="58"/>
      <c r="G40" s="57" t="s">
        <v>9</v>
      </c>
      <c r="H40" s="57" t="s">
        <v>6</v>
      </c>
      <c r="I40" s="57" t="s">
        <v>34</v>
      </c>
      <c r="J40" s="59"/>
    </row>
    <row r="41" spans="1:11" x14ac:dyDescent="0.35">
      <c r="B41" s="57"/>
      <c r="C41" s="50" t="s">
        <v>3</v>
      </c>
      <c r="D41" s="50" t="s">
        <v>4</v>
      </c>
      <c r="E41" s="50" t="s">
        <v>30</v>
      </c>
      <c r="F41" s="50" t="s">
        <v>29</v>
      </c>
      <c r="G41" s="57"/>
      <c r="H41" s="57"/>
      <c r="I41" s="57"/>
      <c r="J41" s="59"/>
    </row>
    <row r="42" spans="1:11" x14ac:dyDescent="0.35">
      <c r="B42" s="2" t="s">
        <v>16</v>
      </c>
      <c r="C42" s="2"/>
      <c r="D42" s="2"/>
      <c r="E42" s="2">
        <v>25</v>
      </c>
      <c r="F42" s="2">
        <v>150</v>
      </c>
      <c r="G42" s="54">
        <v>4.9674920623337304E-4</v>
      </c>
      <c r="H42" s="18">
        <f>3*60+30.56</f>
        <v>210.56</v>
      </c>
      <c r="I42" s="51">
        <f t="shared" ref="I42:I44" si="5">H42/60</f>
        <v>3.5093333333333332</v>
      </c>
    </row>
    <row r="43" spans="1:11" x14ac:dyDescent="0.35">
      <c r="B43" s="2" t="s">
        <v>16</v>
      </c>
      <c r="C43" s="2"/>
      <c r="D43" s="2"/>
      <c r="E43" s="2">
        <v>25</v>
      </c>
      <c r="F43" s="2">
        <v>200</v>
      </c>
      <c r="G43" s="54">
        <v>4.96373772906626E-4</v>
      </c>
      <c r="H43" s="18">
        <f>4*60+57.94</f>
        <v>297.94</v>
      </c>
      <c r="I43" s="51">
        <f t="shared" si="5"/>
        <v>4.9656666666666665</v>
      </c>
    </row>
    <row r="44" spans="1:11" x14ac:dyDescent="0.35">
      <c r="B44" s="2" t="s">
        <v>33</v>
      </c>
      <c r="C44" s="2"/>
      <c r="D44" s="2"/>
      <c r="E44" s="2">
        <v>20</v>
      </c>
      <c r="F44" s="2" t="s">
        <v>38</v>
      </c>
      <c r="G44" s="56">
        <v>5.3459457337247504E-4</v>
      </c>
      <c r="H44" s="2">
        <f>11*60+36.44</f>
        <v>696.44</v>
      </c>
      <c r="I44" s="51">
        <f t="shared" si="5"/>
        <v>11.607333333333335</v>
      </c>
      <c r="J44" s="55" t="s">
        <v>37</v>
      </c>
      <c r="K44" s="55"/>
    </row>
    <row r="46" spans="1:11" x14ac:dyDescent="0.35">
      <c r="G46">
        <f>MIN(G42:G44)</f>
        <v>4.96373772906626E-4</v>
      </c>
    </row>
  </sheetData>
  <mergeCells count="22">
    <mergeCell ref="V2:V3"/>
    <mergeCell ref="U2:U3"/>
    <mergeCell ref="T2:T3"/>
    <mergeCell ref="P2:S2"/>
    <mergeCell ref="N2:N3"/>
    <mergeCell ref="O2:O3"/>
    <mergeCell ref="J40:J41"/>
    <mergeCell ref="I2:I3"/>
    <mergeCell ref="B21:B22"/>
    <mergeCell ref="C21:F21"/>
    <mergeCell ref="G21:G22"/>
    <mergeCell ref="H21:H22"/>
    <mergeCell ref="I21:I22"/>
    <mergeCell ref="B2:B3"/>
    <mergeCell ref="C2:F2"/>
    <mergeCell ref="G2:G3"/>
    <mergeCell ref="H2:H3"/>
    <mergeCell ref="B40:B41"/>
    <mergeCell ref="C40:F40"/>
    <mergeCell ref="G40:G41"/>
    <mergeCell ref="H40:H41"/>
    <mergeCell ref="I40:I4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María Fernanda</dc:creator>
  <cp:lastModifiedBy>María Fernanda Folch Díaz</cp:lastModifiedBy>
  <dcterms:created xsi:type="dcterms:W3CDTF">2015-06-05T18:19:34Z</dcterms:created>
  <dcterms:modified xsi:type="dcterms:W3CDTF">2026-03-18T18:45:31Z</dcterms:modified>
</cp:coreProperties>
</file>