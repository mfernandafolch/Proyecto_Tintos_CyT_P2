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uccl0-my.sharepoint.com/personal/mfernandafolch_uc_cl/Documents/Escritorio/Concha y Toro/Proyecto_Tintos_CyT_P2/Optimizacion/"/>
    </mc:Choice>
  </mc:AlternateContent>
  <xr:revisionPtr revIDLastSave="4084" documentId="11_AD4D2F04E46CFB4ACB3E20395551EF76693EDF1D" xr6:coauthVersionLast="47" xr6:coauthVersionMax="47" xr10:uidLastSave="{D3CDAF34-4F1B-42F6-91C5-F519C85AFE84}"/>
  <bookViews>
    <workbookView xWindow="-110" yWindow="-110" windowWidth="19420" windowHeight="10300" activeTab="2" xr2:uid="{00000000-000D-0000-FFFF-FFFF00000000}"/>
  </bookViews>
  <sheets>
    <sheet name="Hoja1" sheetId="1" r:id="rId1"/>
    <sheet name="Hoja2" sheetId="2" r:id="rId2"/>
    <sheet name="Pruebas PSO" sheetId="3" r:id="rId3"/>
  </sheets>
  <definedNames>
    <definedName name="_xlnm._FilterDatabase" localSheetId="2" hidden="1">'Pruebas PSO'!$A$2:$X$36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3" l="1"/>
  <c r="K51" i="3"/>
  <c r="K50" i="3"/>
  <c r="J44" i="3"/>
  <c r="K48" i="3"/>
  <c r="J45" i="3"/>
  <c r="J46" i="3"/>
  <c r="J47" i="3"/>
  <c r="J48" i="3"/>
  <c r="J49" i="3"/>
  <c r="J50" i="3"/>
  <c r="J51" i="3"/>
  <c r="J52" i="3"/>
  <c r="J53" i="3"/>
  <c r="K46" i="3"/>
  <c r="L46" i="3" s="1"/>
  <c r="K45" i="3"/>
  <c r="L44" i="3"/>
  <c r="K44" i="3"/>
  <c r="K53" i="3"/>
  <c r="L45" i="3"/>
  <c r="L47" i="3"/>
  <c r="L48" i="3"/>
  <c r="L49" i="3"/>
  <c r="L50" i="3"/>
  <c r="L51" i="3"/>
  <c r="L53" i="3"/>
  <c r="L52" i="3"/>
  <c r="K52" i="3"/>
  <c r="I40" i="3"/>
  <c r="J40" i="3" s="1"/>
  <c r="I39" i="3"/>
  <c r="J39" i="3" s="1"/>
  <c r="I38" i="3"/>
  <c r="J38" i="3" s="1"/>
  <c r="J37" i="3"/>
  <c r="I37" i="3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32" i="3"/>
  <c r="I17" i="3"/>
  <c r="J17" i="3" s="1"/>
  <c r="J18" i="3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<sst xmlns="http://schemas.openxmlformats.org/spreadsheetml/2006/main" count="422" uniqueCount="82">
  <si>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</si>
  <si>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</si>
  <si>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</si>
  <si>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</si>
  <si>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</si>
  <si>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</si>
  <si>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</si>
  <si>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</si>
  <si>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</si>
  <si>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</si>
  <si>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</si>
  <si>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</si>
  <si>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</si>
  <si>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</si>
  <si>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</si>
  <si>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</si>
  <si>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</si>
  <si>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</si>
  <si>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</si>
  <si>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</si>
  <si>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</si>
  <si>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</si>
  <si>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</si>
  <si>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</si>
  <si>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</si>
  <si>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</si>
  <si>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</si>
  <si>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</si>
  <si>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</si>
  <si>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</si>
  <si>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</si>
  <si>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</si>
  <si>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</si>
  <si>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</si>
  <si>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</si>
  <si>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</si>
  <si>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</si>
  <si>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</si>
  <si>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</si>
  <si>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</si>
  <si>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</si>
  <si>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</si>
  <si>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</si>
  <si>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</si>
  <si>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</si>
  <si>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</si>
  <si>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</si>
  <si>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</si>
  <si>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</si>
  <si>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</si>
  <si>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</si>
  <si>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</si>
  <si>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</si>
  <si>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</si>
  <si>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</si>
  <si>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</si>
  <si>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</si>
  <si>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</si>
  <si>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</si>
  <si>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</si>
  <si>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</si>
  <si>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</si>
  <si>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</si>
  <si>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</si>
  <si>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</si>
  <si>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</si>
  <si>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</si>
  <si>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</si>
  <si>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</si>
  <si>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</si>
  <si>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</si>
  <si>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>Data CS 25 LOU estanque 31.xlsx</t>
  </si>
  <si>
    <t>Data CS 24 PAROT+AURORA estanque 54.xlsx</t>
  </si>
  <si>
    <t xml:space="preserve">Cambiando el upper bound de mu0 desde 10 a 1: </t>
  </si>
  <si>
    <t>f_avg</t>
  </si>
  <si>
    <t>Costo final opt.(f_min)</t>
  </si>
  <si>
    <t>Data CS 25 SUC. IVAN VALDES estanque 240</t>
  </si>
  <si>
    <t>buen ajuste</t>
  </si>
  <si>
    <t>mid ajuste</t>
  </si>
  <si>
    <t>mejorcito</t>
  </si>
  <si>
    <t>f_avg-f_min</t>
  </si>
  <si>
    <t>criterio menor a 1e-6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</si>
</sst>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7" formatCode="0.0000"/>
    <numFmt numFmtId="182" formatCode="#,##0.000000000"/>
    <numFmt numFmtId="184" formatCode="0.00000E+00"/>
    <numFmt numFmtId="197" formatCode="0.0000.E+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  <xf numFmtId="0" fontId="0" fillId="2" borderId="8" xfId="0" applyFill="1" applyBorder="1"/>
    <xf numFmtId="167" fontId="0" fillId="2" borderId="8" xfId="0" applyNumberFormat="1" applyFill="1" applyBorder="1"/>
    <xf numFmtId="164" fontId="5" fillId="2" borderId="8" xfId="0" applyNumberFormat="1" applyFont="1" applyFill="1" applyBorder="1"/>
    <xf numFmtId="169" fontId="2" fillId="2" borderId="8" xfId="0" applyNumberFormat="1" applyFont="1" applyFill="1" applyBorder="1"/>
    <xf numFmtId="169" fontId="5" fillId="2" borderId="8" xfId="0" applyNumberFormat="1" applyFont="1" applyFill="1" applyBorder="1"/>
    <xf numFmtId="170" fontId="0" fillId="0" borderId="1" xfId="0" applyNumberFormat="1" applyBorder="1"/>
    <xf numFmtId="177" fontId="0" fillId="0" borderId="1" xfId="0" applyNumberFormat="1" applyBorder="1"/>
    <xf numFmtId="164" fontId="5" fillId="2" borderId="16" xfId="0" applyNumberFormat="1" applyFont="1" applyFill="1" applyBorder="1"/>
    <xf numFmtId="0" fontId="0" fillId="0" borderId="0" xfId="0" applyFill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82" fontId="0" fillId="0" borderId="1" xfId="0" applyNumberFormat="1" applyBorder="1"/>
    <xf numFmtId="184" fontId="0" fillId="0" borderId="0" xfId="0" applyNumberFormat="1"/>
    <xf numFmtId="19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265625" defaultRowHeight="14.5" x14ac:dyDescent="0.35"/>
  <cols>
    <col min="1" max="1" width="11.54296875" bestFit="1" customWidth="1"/>
    <col min="2" max="2" width="26.453125" customWidth="1"/>
    <col min="3" max="3" width="9.36328125" customWidth="1"/>
    <col min="5" max="5" width="19.81640625" bestFit="1" customWidth="1"/>
    <col min="6" max="6" width="13" bestFit="1" customWidth="1"/>
    <col min="7" max="7" width="13.7265625" bestFit="1" customWidth="1"/>
    <col min="8" max="8" width="13.90625" bestFit="1" customWidth="1"/>
    <col min="9" max="9" width="13.08984375" customWidth="1"/>
    <col min="10" max="10" width="9.90625" bestFit="1" customWidth="1"/>
    <col min="12" max="12" width="52.7265625" customWidth="1"/>
  </cols>
  <sheetData>
    <row r="1" spans="1:12" ht="15" thickBot="1" x14ac:dyDescent="0.4">
      <c r="A1" t="s">
        <v>0</v>
      </c>
      <c r="B1" t="s">
        <v>11</v>
      </c>
    </row>
    <row r="2" spans="1:12" x14ac:dyDescent="0.35">
      <c r="B2" s="103" t="s">
        <v>1</v>
      </c>
      <c r="C2" s="102" t="s">
        <v>2</v>
      </c>
      <c r="D2" s="102"/>
      <c r="E2" s="102"/>
      <c r="F2" s="102"/>
      <c r="G2" s="105" t="s">
        <v>12</v>
      </c>
      <c r="H2" s="105" t="s">
        <v>9</v>
      </c>
      <c r="I2" s="105" t="s">
        <v>10</v>
      </c>
      <c r="J2" s="100" t="s">
        <v>6</v>
      </c>
      <c r="L2" t="s">
        <v>14</v>
      </c>
    </row>
    <row r="3" spans="1:12" ht="15" thickBot="1" x14ac:dyDescent="0.4">
      <c r="B3" s="104"/>
      <c r="C3" s="16" t="s">
        <v>3</v>
      </c>
      <c r="D3" s="16" t="s">
        <v>4</v>
      </c>
      <c r="E3" s="7" t="s">
        <v>30</v>
      </c>
      <c r="F3" s="7" t="s">
        <v>29</v>
      </c>
      <c r="G3" s="106"/>
      <c r="H3" s="106"/>
      <c r="I3" s="106"/>
      <c r="J3" s="107"/>
      <c r="L3" t="s">
        <v>15</v>
      </c>
    </row>
    <row r="4" spans="1:12" x14ac:dyDescent="0.35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5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5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5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5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5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5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5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5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5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5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5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5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5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5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5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5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4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5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5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5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5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5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5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5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4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5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5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5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5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5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5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5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5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5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5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5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5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5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4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4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4">
      <c r="A48" t="s">
        <v>0</v>
      </c>
      <c r="B48" t="s">
        <v>21</v>
      </c>
    </row>
    <row r="49" spans="2:20" ht="29" x14ac:dyDescent="0.35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4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5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5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5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5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5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5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5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5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5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4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" customHeight="1" x14ac:dyDescent="0.35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5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5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4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5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5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4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4">
      <c r="A70" t="s">
        <v>0</v>
      </c>
      <c r="B70" t="s">
        <v>18</v>
      </c>
    </row>
    <row r="71" spans="1:12" x14ac:dyDescent="0.35">
      <c r="B71" s="103" t="s">
        <v>1</v>
      </c>
      <c r="C71" s="102" t="s">
        <v>2</v>
      </c>
      <c r="D71" s="102"/>
      <c r="E71" s="102"/>
      <c r="F71" s="102"/>
      <c r="G71" s="105" t="s">
        <v>12</v>
      </c>
      <c r="H71" s="105" t="s">
        <v>9</v>
      </c>
      <c r="I71" s="105" t="s">
        <v>10</v>
      </c>
      <c r="J71" s="100" t="s">
        <v>6</v>
      </c>
    </row>
    <row r="72" spans="1:12" ht="15" thickBot="1" x14ac:dyDescent="0.4">
      <c r="B72" s="108"/>
      <c r="C72" s="7" t="s">
        <v>3</v>
      </c>
      <c r="D72" s="7" t="s">
        <v>4</v>
      </c>
      <c r="E72" s="7" t="s">
        <v>30</v>
      </c>
      <c r="F72" s="7" t="s">
        <v>29</v>
      </c>
      <c r="G72" s="109"/>
      <c r="H72" s="109"/>
      <c r="I72" s="109"/>
      <c r="J72" s="101"/>
    </row>
    <row r="73" spans="1:12" x14ac:dyDescent="0.35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5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5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5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5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5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4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5">
      <c r="B82" t="s">
        <v>20</v>
      </c>
      <c r="K82" s="1"/>
    </row>
    <row r="83" spans="2:11" x14ac:dyDescent="0.35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Q20" sqref="Q20"/>
    </sheetView>
  </sheetViews>
  <sheetFormatPr baseColWidth="10" defaultRowHeight="14.5" x14ac:dyDescent="0.35"/>
  <cols>
    <col min="1" max="1" width="11.54296875" bestFit="1" customWidth="1"/>
    <col min="2" max="2" width="24.7265625" customWidth="1"/>
    <col min="5" max="5" width="19.1796875" bestFit="1" customWidth="1"/>
    <col min="6" max="6" width="16.36328125" customWidth="1"/>
    <col min="7" max="7" width="16.90625" bestFit="1" customWidth="1"/>
    <col min="8" max="8" width="13.6328125" bestFit="1" customWidth="1"/>
    <col min="9" max="9" width="12" bestFit="1" customWidth="1"/>
    <col min="11" max="11" width="14" customWidth="1"/>
    <col min="14" max="14" width="38.08984375" bestFit="1" customWidth="1"/>
    <col min="15" max="15" width="24.08984375" bestFit="1" customWidth="1"/>
    <col min="18" max="18" width="19.7265625" bestFit="1" customWidth="1"/>
    <col min="19" max="19" width="15.54296875" bestFit="1" customWidth="1"/>
    <col min="20" max="20" width="14.08984375" bestFit="1" customWidth="1"/>
    <col min="22" max="22" width="12.6328125" bestFit="1" customWidth="1"/>
  </cols>
  <sheetData>
    <row r="1" spans="1:23" x14ac:dyDescent="0.35">
      <c r="A1" t="s">
        <v>0</v>
      </c>
      <c r="B1" t="s">
        <v>11</v>
      </c>
      <c r="N1" t="s">
        <v>41</v>
      </c>
    </row>
    <row r="2" spans="1:23" x14ac:dyDescent="0.35">
      <c r="B2" s="111" t="s">
        <v>1</v>
      </c>
      <c r="C2" s="112" t="s">
        <v>2</v>
      </c>
      <c r="D2" s="112"/>
      <c r="E2" s="112"/>
      <c r="F2" s="112"/>
      <c r="G2" s="111" t="s">
        <v>9</v>
      </c>
      <c r="H2" s="111" t="s">
        <v>6</v>
      </c>
      <c r="I2" s="111" t="s">
        <v>34</v>
      </c>
      <c r="N2" s="111" t="s">
        <v>40</v>
      </c>
      <c r="O2" s="117" t="s">
        <v>1</v>
      </c>
      <c r="P2" s="114" t="s">
        <v>2</v>
      </c>
      <c r="Q2" s="115"/>
      <c r="R2" s="115"/>
      <c r="S2" s="116"/>
      <c r="T2" s="109" t="s">
        <v>9</v>
      </c>
      <c r="U2" s="109" t="s">
        <v>6</v>
      </c>
      <c r="V2" s="109" t="s">
        <v>34</v>
      </c>
    </row>
    <row r="3" spans="1:23" x14ac:dyDescent="0.35">
      <c r="B3" s="111"/>
      <c r="C3" s="50" t="s">
        <v>3</v>
      </c>
      <c r="D3" s="50" t="s">
        <v>4</v>
      </c>
      <c r="E3" s="50" t="s">
        <v>30</v>
      </c>
      <c r="F3" s="50" t="s">
        <v>29</v>
      </c>
      <c r="G3" s="111"/>
      <c r="H3" s="111"/>
      <c r="I3" s="111"/>
      <c r="N3" s="111"/>
      <c r="O3" s="117"/>
      <c r="P3" s="50" t="s">
        <v>3</v>
      </c>
      <c r="Q3" s="50" t="s">
        <v>4</v>
      </c>
      <c r="R3" s="50" t="s">
        <v>30</v>
      </c>
      <c r="S3" s="50" t="s">
        <v>29</v>
      </c>
      <c r="T3" s="113"/>
      <c r="U3" s="113"/>
      <c r="V3" s="113"/>
    </row>
    <row r="4" spans="1:23" x14ac:dyDescent="0.35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5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5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5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5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5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5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5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5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5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5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5">
      <c r="G16">
        <f>MIN(G4:G14)</f>
        <v>3.5386864122503397E-4</v>
      </c>
    </row>
    <row r="20" spans="1:11" x14ac:dyDescent="0.35">
      <c r="A20" t="s">
        <v>0</v>
      </c>
      <c r="B20" t="s">
        <v>21</v>
      </c>
    </row>
    <row r="21" spans="1:11" x14ac:dyDescent="0.35">
      <c r="B21" s="111" t="s">
        <v>1</v>
      </c>
      <c r="C21" s="112" t="s">
        <v>2</v>
      </c>
      <c r="D21" s="112"/>
      <c r="E21" s="112"/>
      <c r="F21" s="112"/>
      <c r="G21" s="111" t="s">
        <v>9</v>
      </c>
      <c r="H21" s="111" t="s">
        <v>6</v>
      </c>
      <c r="I21" s="111" t="s">
        <v>34</v>
      </c>
    </row>
    <row r="22" spans="1:11" x14ac:dyDescent="0.35">
      <c r="B22" s="111"/>
      <c r="C22" s="50" t="s">
        <v>3</v>
      </c>
      <c r="D22" s="50" t="s">
        <v>4</v>
      </c>
      <c r="E22" s="50" t="s">
        <v>30</v>
      </c>
      <c r="F22" s="50" t="s">
        <v>29</v>
      </c>
      <c r="G22" s="111"/>
      <c r="H22" s="111"/>
      <c r="I22" s="111"/>
    </row>
    <row r="23" spans="1:11" x14ac:dyDescent="0.35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5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5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5">
      <c r="B26" s="2"/>
      <c r="C26" s="2"/>
      <c r="D26" s="2"/>
      <c r="E26" s="2"/>
      <c r="F26" s="2"/>
      <c r="G26" s="2"/>
      <c r="H26" s="2"/>
      <c r="I26" s="2"/>
    </row>
    <row r="27" spans="1:11" x14ac:dyDescent="0.35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5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5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5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5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5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5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5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5">
      <c r="G35">
        <f>MIN(G23:G34)</f>
        <v>1.34035214624097E-3</v>
      </c>
    </row>
    <row r="39" spans="1:11" x14ac:dyDescent="0.35">
      <c r="A39" t="s">
        <v>0</v>
      </c>
      <c r="B39" t="s">
        <v>18</v>
      </c>
    </row>
    <row r="40" spans="1:11" x14ac:dyDescent="0.35">
      <c r="B40" s="111" t="s">
        <v>1</v>
      </c>
      <c r="C40" s="112" t="s">
        <v>2</v>
      </c>
      <c r="D40" s="112"/>
      <c r="E40" s="112"/>
      <c r="F40" s="112"/>
      <c r="G40" s="111" t="s">
        <v>9</v>
      </c>
      <c r="H40" s="111" t="s">
        <v>6</v>
      </c>
      <c r="I40" s="111" t="s">
        <v>34</v>
      </c>
      <c r="J40" s="110"/>
    </row>
    <row r="41" spans="1:11" x14ac:dyDescent="0.35">
      <c r="B41" s="111"/>
      <c r="C41" s="50" t="s">
        <v>3</v>
      </c>
      <c r="D41" s="50" t="s">
        <v>4</v>
      </c>
      <c r="E41" s="50" t="s">
        <v>30</v>
      </c>
      <c r="F41" s="50" t="s">
        <v>29</v>
      </c>
      <c r="G41" s="111"/>
      <c r="H41" s="111"/>
      <c r="I41" s="111"/>
      <c r="J41" s="110"/>
    </row>
    <row r="42" spans="1:11" x14ac:dyDescent="0.35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5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5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5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dimension ref="A1:AA55"/>
  <sheetViews>
    <sheetView tabSelected="1" topLeftCell="C35" zoomScale="91" zoomScaleNormal="70" workbookViewId="0">
      <selection activeCell="V49" sqref="V49"/>
    </sheetView>
  </sheetViews>
  <sheetFormatPr baseColWidth="10" defaultRowHeight="14.5" x14ac:dyDescent="0.35"/>
  <cols>
    <col min="1" max="1" width="40.6328125" bestFit="1" customWidth="1"/>
    <col min="2" max="2" width="22.1796875" bestFit="1" customWidth="1"/>
    <col min="3" max="3" width="16.453125" bestFit="1" customWidth="1"/>
    <col min="4" max="5" width="10.6328125" bestFit="1" customWidth="1"/>
    <col min="6" max="7" width="6.90625" customWidth="1"/>
    <col min="8" max="8" width="15.08984375" customWidth="1"/>
    <col min="9" max="9" width="11.7265625" customWidth="1"/>
    <col min="10" max="10" width="12.7265625" customWidth="1"/>
    <col min="11" max="11" width="12" bestFit="1" customWidth="1"/>
    <col min="12" max="12" width="11.26953125" bestFit="1" customWidth="1"/>
    <col min="13" max="13" width="12.26953125" bestFit="1" customWidth="1"/>
    <col min="14" max="14" width="12.36328125" bestFit="1" customWidth="1"/>
    <col min="15" max="15" width="12.08984375" customWidth="1"/>
    <col min="16" max="17" width="11.26953125" bestFit="1" customWidth="1"/>
    <col min="18" max="19" width="12.26953125" bestFit="1" customWidth="1"/>
    <col min="20" max="25" width="11.26953125" bestFit="1" customWidth="1"/>
    <col min="26" max="26" width="11.08984375" customWidth="1"/>
    <col min="27" max="27" width="16.54296875" bestFit="1" customWidth="1"/>
  </cols>
  <sheetData>
    <row r="1" spans="1:26" ht="14" customHeight="1" thickBot="1" x14ac:dyDescent="0.4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" customHeight="1" thickBot="1" x14ac:dyDescent="0.4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x14ac:dyDescent="0.35">
      <c r="A3" s="8" t="s">
        <v>11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5">
      <c r="A4" s="12" t="s">
        <v>11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5">
      <c r="A5" s="12" t="s">
        <v>11</v>
      </c>
      <c r="B5" s="2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x14ac:dyDescent="0.35">
      <c r="A6" s="12" t="s">
        <v>11</v>
      </c>
      <c r="B6" s="2" t="s">
        <v>70</v>
      </c>
      <c r="C6" s="2">
        <v>150</v>
      </c>
      <c r="D6" s="2">
        <v>20</v>
      </c>
      <c r="E6" s="2">
        <v>1.5</v>
      </c>
      <c r="F6" s="2">
        <v>1.5</v>
      </c>
      <c r="G6" s="2">
        <v>0.7</v>
      </c>
      <c r="H6" s="54">
        <v>7.04873626723777E-4</v>
      </c>
      <c r="I6" s="54">
        <f>60+14.51</f>
        <v>74.510000000000005</v>
      </c>
      <c r="J6" s="80">
        <f t="shared" si="1"/>
        <v>1.2418333333333333</v>
      </c>
      <c r="K6" s="81">
        <v>0.232102232392803</v>
      </c>
      <c r="L6" s="82">
        <v>4.1297069928879102</v>
      </c>
      <c r="M6" s="82">
        <v>6.0078738386920403</v>
      </c>
      <c r="N6" s="84">
        <v>9.6469999999999993E-3</v>
      </c>
      <c r="O6" s="84">
        <v>8.5518540000000005</v>
      </c>
      <c r="P6" s="84">
        <v>7.1656500000000003</v>
      </c>
      <c r="Q6" s="84">
        <v>44.150669999999998</v>
      </c>
      <c r="R6" s="84">
        <v>42.528283999999999</v>
      </c>
      <c r="S6" s="84">
        <v>1E-4</v>
      </c>
      <c r="T6" s="82">
        <v>1.1019035329447</v>
      </c>
      <c r="U6" s="82">
        <v>2.97276558235572</v>
      </c>
      <c r="V6" s="84">
        <v>1.6426339999999999</v>
      </c>
      <c r="W6" s="81">
        <v>0.20748440650441199</v>
      </c>
      <c r="X6" s="83">
        <v>0.59401552721599604</v>
      </c>
    </row>
    <row r="7" spans="1:26" x14ac:dyDescent="0.35">
      <c r="A7" s="12" t="s">
        <v>11</v>
      </c>
      <c r="B7" s="2" t="s">
        <v>66</v>
      </c>
      <c r="C7" s="2">
        <v>200</v>
      </c>
      <c r="D7" s="2">
        <v>20</v>
      </c>
      <c r="E7" s="2">
        <v>1.5</v>
      </c>
      <c r="F7" s="2">
        <v>1.5</v>
      </c>
      <c r="G7" s="2">
        <v>0.7</v>
      </c>
      <c r="H7" s="2">
        <v>2.9328842498517401E-4</v>
      </c>
      <c r="I7" s="2">
        <f>60+15.12</f>
        <v>75.12</v>
      </c>
      <c r="J7" s="51">
        <f t="shared" si="1"/>
        <v>1.252</v>
      </c>
      <c r="K7" s="59">
        <v>2.1763903293888599E-2</v>
      </c>
      <c r="L7" s="59">
        <v>5.3320005646842601</v>
      </c>
      <c r="M7" s="59">
        <v>10</v>
      </c>
      <c r="N7" s="64">
        <v>9.6469999999999993E-3</v>
      </c>
      <c r="O7" s="64">
        <v>8.5518540000000005</v>
      </c>
      <c r="P7" s="64">
        <v>7.1656500000000003</v>
      </c>
      <c r="Q7" s="64">
        <v>44.150669999999998</v>
      </c>
      <c r="R7" s="64">
        <v>42.528283999999999</v>
      </c>
      <c r="S7" s="64">
        <v>1E-4</v>
      </c>
      <c r="T7" s="60">
        <v>2.7464836815839999</v>
      </c>
      <c r="U7" s="60">
        <v>9.4217689488491896</v>
      </c>
      <c r="V7" s="64">
        <v>1.6426339999999999</v>
      </c>
      <c r="W7" s="59">
        <v>0.1</v>
      </c>
      <c r="X7" s="70">
        <v>0.66954694007881499</v>
      </c>
    </row>
    <row r="8" spans="1:26" x14ac:dyDescent="0.35">
      <c r="A8" s="12" t="s">
        <v>11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5">
      <c r="A9" s="12" t="s">
        <v>11</v>
      </c>
      <c r="B9" s="2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x14ac:dyDescent="0.35">
      <c r="A10" s="12" t="s">
        <v>11</v>
      </c>
      <c r="B10" s="2" t="s">
        <v>70</v>
      </c>
      <c r="C10" s="2">
        <v>200</v>
      </c>
      <c r="D10" s="2">
        <v>20</v>
      </c>
      <c r="E10" s="2">
        <v>1.5</v>
      </c>
      <c r="F10" s="2">
        <v>1.5</v>
      </c>
      <c r="G10" s="2">
        <v>0.7</v>
      </c>
      <c r="H10" s="54">
        <v>7.04243140314323E-4</v>
      </c>
      <c r="I10" s="54">
        <f>60+30.12</f>
        <v>90.12</v>
      </c>
      <c r="J10" s="80">
        <f t="shared" si="1"/>
        <v>1.502</v>
      </c>
      <c r="K10" s="81">
        <v>0.23198883475251</v>
      </c>
      <c r="L10" s="81">
        <v>4.13163737355673</v>
      </c>
      <c r="M10" s="81">
        <v>6.0033822043910199</v>
      </c>
      <c r="N10" s="84">
        <v>9.6469999999999993E-3</v>
      </c>
      <c r="O10" s="84">
        <v>8.5518540000000005</v>
      </c>
      <c r="P10" s="84">
        <v>7.1656500000000003</v>
      </c>
      <c r="Q10" s="84">
        <v>44.150669999999998</v>
      </c>
      <c r="R10" s="84">
        <v>42.528283999999999</v>
      </c>
      <c r="S10" s="84">
        <v>1E-4</v>
      </c>
      <c r="T10" s="82">
        <v>1.10164214051543</v>
      </c>
      <c r="U10" s="82">
        <v>3.12238469928359</v>
      </c>
      <c r="V10" s="84">
        <v>1.6426339999999999</v>
      </c>
      <c r="W10" s="81">
        <v>0.207546998368103</v>
      </c>
      <c r="X10" s="83">
        <v>0.59565351370611197</v>
      </c>
    </row>
    <row r="11" spans="1:26" x14ac:dyDescent="0.35">
      <c r="A11" s="12" t="s">
        <v>11</v>
      </c>
      <c r="B11" s="2" t="s">
        <v>66</v>
      </c>
      <c r="C11" s="2">
        <v>500</v>
      </c>
      <c r="D11" s="2">
        <v>20</v>
      </c>
      <c r="E11" s="2">
        <v>1.5</v>
      </c>
      <c r="F11" s="2">
        <v>1.5</v>
      </c>
      <c r="G11" s="2">
        <v>0.7</v>
      </c>
      <c r="H11" s="2">
        <v>2.9106327802450499E-4</v>
      </c>
      <c r="I11" s="2">
        <f>3*60+9.3</f>
        <v>189.3</v>
      </c>
      <c r="J11" s="51">
        <f t="shared" si="1"/>
        <v>3.1550000000000002</v>
      </c>
      <c r="K11" s="59">
        <v>2.1502308919205501E-2</v>
      </c>
      <c r="L11" s="59">
        <v>5.3545334420611397</v>
      </c>
      <c r="M11" s="59">
        <v>10</v>
      </c>
      <c r="N11" s="64">
        <v>9.6469999999999993E-3</v>
      </c>
      <c r="O11" s="64">
        <v>8.5518540000000005</v>
      </c>
      <c r="P11" s="64">
        <v>7.1656500000000003</v>
      </c>
      <c r="Q11" s="64">
        <v>44.150669999999998</v>
      </c>
      <c r="R11" s="64">
        <v>42.528283999999999</v>
      </c>
      <c r="S11" s="64">
        <v>1E-4</v>
      </c>
      <c r="T11" s="59">
        <v>10</v>
      </c>
      <c r="U11" s="59">
        <v>9.5278443260242494</v>
      </c>
      <c r="V11" s="64">
        <v>1.6426339999999999</v>
      </c>
      <c r="W11" s="59">
        <v>0.1</v>
      </c>
      <c r="X11" s="70">
        <v>0.66792358972713495</v>
      </c>
    </row>
    <row r="12" spans="1:26" x14ac:dyDescent="0.35">
      <c r="A12" s="12" t="s">
        <v>11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5">
      <c r="A13" s="12" t="s">
        <v>11</v>
      </c>
      <c r="B13" s="2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5">
      <c r="A14" s="12" t="s">
        <v>11</v>
      </c>
      <c r="B14" s="2" t="s">
        <v>70</v>
      </c>
      <c r="C14" s="2">
        <v>500</v>
      </c>
      <c r="D14" s="2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4">
      <c r="A15" s="15" t="s">
        <v>11</v>
      </c>
      <c r="B15" s="6" t="s">
        <v>70</v>
      </c>
      <c r="C15" s="6">
        <v>500</v>
      </c>
      <c r="D15" s="6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x14ac:dyDescent="0.35">
      <c r="A16" s="8" t="s">
        <v>21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5">
      <c r="A17" s="12" t="s">
        <v>21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5">
      <c r="A18" s="12" t="s">
        <v>21</v>
      </c>
      <c r="B18" s="2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5">
      <c r="A19" s="12" t="s">
        <v>21</v>
      </c>
      <c r="B19" s="2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x14ac:dyDescent="0.35">
      <c r="A20" s="12" t="s">
        <v>21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5">
      <c r="A21" s="12" t="s">
        <v>21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5">
      <c r="A22" s="12" t="s">
        <v>21</v>
      </c>
      <c r="B22" s="2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5">
      <c r="A23" s="12" t="s">
        <v>21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5">
      <c r="A24" s="12" t="s">
        <v>21</v>
      </c>
      <c r="B24" s="2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4">
      <c r="A25" s="15" t="s">
        <v>21</v>
      </c>
      <c r="B25" s="6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x14ac:dyDescent="0.35">
      <c r="A26" s="8" t="s">
        <v>18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5">
      <c r="A27" s="12" t="s">
        <v>18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5">
      <c r="A28" s="12" t="s">
        <v>18</v>
      </c>
      <c r="B28" s="2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5">
      <c r="A29" s="12" t="s">
        <v>18</v>
      </c>
      <c r="B29" s="2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x14ac:dyDescent="0.35">
      <c r="A30" s="12" t="s">
        <v>18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5">
      <c r="A31" s="12" t="s">
        <v>18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5">
      <c r="A32" s="12" t="s">
        <v>18</v>
      </c>
      <c r="B32" s="2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x14ac:dyDescent="0.35">
      <c r="A33" s="12" t="s">
        <v>18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5">
      <c r="A34" s="12" t="s">
        <v>18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5">
      <c r="A35" s="12" t="s">
        <v>18</v>
      </c>
      <c r="B35" s="2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4">
      <c r="A36" s="15" t="s">
        <v>18</v>
      </c>
      <c r="B36" s="6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5">
      <c r="A37" s="8" t="s">
        <v>71</v>
      </c>
      <c r="B37" s="9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4">
      <c r="A38" s="22" t="s">
        <v>71</v>
      </c>
      <c r="B38" s="23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118">
        <v>1.1921014789185501E-2</v>
      </c>
      <c r="I38" s="118">
        <f>3*60+53.26</f>
        <v>233.26</v>
      </c>
      <c r="J38" s="119">
        <f>I38/60</f>
        <v>3.8876666666666666</v>
      </c>
      <c r="K38" s="122">
        <v>3.08397015856085E-2</v>
      </c>
      <c r="L38" s="120">
        <v>3.6458765616208701</v>
      </c>
      <c r="M38" s="120">
        <v>1.70152727609385</v>
      </c>
      <c r="N38" s="121">
        <v>9.6469999999999993E-3</v>
      </c>
      <c r="O38" s="121">
        <v>8.5518540000000005</v>
      </c>
      <c r="P38" s="121">
        <v>7.1656500000000003</v>
      </c>
      <c r="Q38" s="121">
        <v>44.150669999999998</v>
      </c>
      <c r="R38" s="121">
        <v>42.528283999999999</v>
      </c>
      <c r="S38" s="121">
        <v>1E-4</v>
      </c>
      <c r="T38" s="120">
        <v>2.5919297287998302</v>
      </c>
      <c r="U38" s="120">
        <v>5.93893356374869</v>
      </c>
      <c r="V38" s="121">
        <v>1.6426339999999999</v>
      </c>
      <c r="W38" s="122">
        <v>0.30809387724799597</v>
      </c>
      <c r="X38" s="125">
        <v>1.69434897734781</v>
      </c>
    </row>
    <row r="39" spans="1:27" x14ac:dyDescent="0.35">
      <c r="A39" s="8" t="s">
        <v>72</v>
      </c>
      <c r="B39" s="9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4">
      <c r="A40" s="15" t="s">
        <v>72</v>
      </c>
      <c r="B40" s="6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77">
        <v>3.1862305043810898E-3</v>
      </c>
      <c r="I40" s="77">
        <f>8*60+15.77</f>
        <v>495.77</v>
      </c>
      <c r="J40" s="85">
        <f>I40/60</f>
        <v>8.262833333333333</v>
      </c>
      <c r="K40" s="86">
        <v>4.07703976497482E-2</v>
      </c>
      <c r="L40" s="87">
        <v>2.5734116439194898</v>
      </c>
      <c r="M40" s="87">
        <v>7.5970990315112497</v>
      </c>
      <c r="N40" s="88">
        <v>9.6469999999999993E-3</v>
      </c>
      <c r="O40" s="88">
        <v>8.5518540000000005</v>
      </c>
      <c r="P40" s="88">
        <v>7.1656500000000003</v>
      </c>
      <c r="Q40" s="88">
        <v>44.150669999999998</v>
      </c>
      <c r="R40" s="88">
        <v>42.528283999999999</v>
      </c>
      <c r="S40" s="88">
        <v>1E-4</v>
      </c>
      <c r="T40" s="87">
        <v>2.2740628537826</v>
      </c>
      <c r="U40" s="87">
        <v>8.9849067613867906</v>
      </c>
      <c r="V40" s="88">
        <v>1.6426339999999999</v>
      </c>
      <c r="W40" s="87">
        <v>3.9625859389703901</v>
      </c>
      <c r="X40" s="89">
        <v>0.25923234863237199</v>
      </c>
    </row>
    <row r="41" spans="1:27" x14ac:dyDescent="0.35">
      <c r="N41" s="126"/>
      <c r="O41" s="126"/>
      <c r="P41" s="126"/>
      <c r="Q41" s="126"/>
      <c r="R41" s="126"/>
      <c r="S41" s="126"/>
      <c r="T41" s="126"/>
      <c r="U41" s="126"/>
      <c r="V41" s="126"/>
      <c r="W41" s="126"/>
    </row>
    <row r="42" spans="1:27" x14ac:dyDescent="0.35">
      <c r="A42" s="127" t="s">
        <v>73</v>
      </c>
      <c r="C42" s="132" t="s">
        <v>2</v>
      </c>
      <c r="D42" s="133"/>
      <c r="E42" s="133"/>
      <c r="F42" s="133"/>
      <c r="G42" s="134"/>
      <c r="M42" s="132" t="s">
        <v>51</v>
      </c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4"/>
    </row>
    <row r="43" spans="1:27" ht="29" x14ac:dyDescent="0.35">
      <c r="A43" s="128" t="s">
        <v>40</v>
      </c>
      <c r="B43" s="128" t="s">
        <v>45</v>
      </c>
      <c r="C43" s="63" t="s">
        <v>47</v>
      </c>
      <c r="D43" s="63" t="s">
        <v>46</v>
      </c>
      <c r="E43" s="63" t="s">
        <v>48</v>
      </c>
      <c r="F43" s="63" t="s">
        <v>49</v>
      </c>
      <c r="G43" s="63" t="s">
        <v>50</v>
      </c>
      <c r="H43" s="62" t="s">
        <v>75</v>
      </c>
      <c r="I43" s="62" t="s">
        <v>74</v>
      </c>
      <c r="J43" s="63" t="s">
        <v>80</v>
      </c>
      <c r="K43" s="62" t="s">
        <v>6</v>
      </c>
      <c r="L43" s="62" t="s">
        <v>34</v>
      </c>
      <c r="M43" s="129" t="s">
        <v>52</v>
      </c>
      <c r="N43" s="129" t="s">
        <v>53</v>
      </c>
      <c r="O43" s="129" t="s">
        <v>54</v>
      </c>
      <c r="P43" s="130" t="s">
        <v>55</v>
      </c>
      <c r="Q43" s="130" t="s">
        <v>56</v>
      </c>
      <c r="R43" s="130" t="s">
        <v>57</v>
      </c>
      <c r="S43" s="130" t="s">
        <v>58</v>
      </c>
      <c r="T43" s="130" t="s">
        <v>59</v>
      </c>
      <c r="U43" s="130" t="s">
        <v>60</v>
      </c>
      <c r="V43" s="129" t="s">
        <v>61</v>
      </c>
      <c r="W43" s="129" t="s">
        <v>65</v>
      </c>
      <c r="X43" s="131" t="s">
        <v>62</v>
      </c>
      <c r="Y43" s="129" t="s">
        <v>63</v>
      </c>
      <c r="Z43" s="129" t="s">
        <v>64</v>
      </c>
    </row>
    <row r="44" spans="1:27" x14ac:dyDescent="0.35">
      <c r="A44" s="2" t="s">
        <v>11</v>
      </c>
      <c r="B44" s="2" t="s">
        <v>70</v>
      </c>
      <c r="C44" s="2">
        <v>500</v>
      </c>
      <c r="D44" s="2">
        <v>20</v>
      </c>
      <c r="E44" s="2">
        <v>1.5</v>
      </c>
      <c r="F44" s="2">
        <v>1.5</v>
      </c>
      <c r="G44" s="2">
        <v>0.7</v>
      </c>
      <c r="H44" s="2">
        <v>7.3130405761186797E-4</v>
      </c>
      <c r="I44" s="2">
        <v>7.3200580000000004E-4</v>
      </c>
      <c r="J44" s="137">
        <f>I44-H44</f>
        <v>7.0174238813206728E-7</v>
      </c>
      <c r="K44" s="2">
        <f>3*60+57.43</f>
        <v>237.43</v>
      </c>
      <c r="L44" s="124">
        <f t="shared" ref="L44:L53" si="4">K44/60</f>
        <v>3.9571666666666667</v>
      </c>
      <c r="M44" s="2">
        <v>0.71311985409555101</v>
      </c>
      <c r="N44" s="2">
        <v>0.97877756252509795</v>
      </c>
      <c r="O44" s="28">
        <v>1.3865332065107401</v>
      </c>
      <c r="P44" s="64">
        <v>9.6469999999999993E-3</v>
      </c>
      <c r="Q44" s="64">
        <v>8.5518540000000005</v>
      </c>
      <c r="R44" s="64">
        <v>7.1656500000000003</v>
      </c>
      <c r="S44" s="64">
        <v>44.150669999999998</v>
      </c>
      <c r="T44" s="64">
        <v>42.528283999999999</v>
      </c>
      <c r="U44" s="64">
        <v>1E-4</v>
      </c>
      <c r="V44" s="28">
        <v>5.9542007177374403</v>
      </c>
      <c r="W44" s="28">
        <v>1.79638194253926</v>
      </c>
      <c r="X44" s="64">
        <v>1.6426339999999999</v>
      </c>
      <c r="Y44" s="123">
        <v>0.21458009771973999</v>
      </c>
      <c r="Z44" s="123">
        <v>0.59413672634577797</v>
      </c>
      <c r="AA44" t="s">
        <v>78</v>
      </c>
    </row>
    <row r="45" spans="1:27" x14ac:dyDescent="0.35">
      <c r="A45" s="2" t="s">
        <v>76</v>
      </c>
      <c r="B45" s="2" t="s">
        <v>70</v>
      </c>
      <c r="C45" s="2">
        <v>500</v>
      </c>
      <c r="D45" s="2">
        <v>25</v>
      </c>
      <c r="E45" s="2">
        <v>1.5</v>
      </c>
      <c r="F45" s="2">
        <v>1.5</v>
      </c>
      <c r="G45" s="2">
        <v>0.7</v>
      </c>
      <c r="H45" s="2">
        <v>6.3087397942353002E-4</v>
      </c>
      <c r="I45" s="65">
        <v>6.3270030000000003E-4</v>
      </c>
      <c r="J45" s="137">
        <f t="shared" ref="J45:J53" si="5">I45-H45</f>
        <v>1.8263205764700117E-6</v>
      </c>
      <c r="K45" s="2">
        <f>4*60+39.46</f>
        <v>279.45999999999998</v>
      </c>
      <c r="L45" s="124">
        <f t="shared" si="4"/>
        <v>4.6576666666666666</v>
      </c>
      <c r="M45" s="2">
        <v>0.48672783224284399</v>
      </c>
      <c r="N45" s="135">
        <v>3.6571481746471499</v>
      </c>
      <c r="O45" s="28">
        <v>0.634492783081814</v>
      </c>
      <c r="P45" s="64">
        <v>9.6469999999999993E-3</v>
      </c>
      <c r="Q45" s="64">
        <v>8.5518540000000005</v>
      </c>
      <c r="R45" s="64">
        <v>7.1656500000000003</v>
      </c>
      <c r="S45" s="64">
        <v>44.150669999999998</v>
      </c>
      <c r="T45" s="64">
        <v>42.528283999999999</v>
      </c>
      <c r="U45" s="64">
        <v>1E-4</v>
      </c>
      <c r="V45" s="28">
        <v>4.5572075522255302</v>
      </c>
      <c r="W45" s="2">
        <v>0.76824067703459098</v>
      </c>
      <c r="X45" s="64">
        <v>1.6426339999999999</v>
      </c>
      <c r="Y45" s="2">
        <v>0.50370776136467399</v>
      </c>
      <c r="Z45" s="123">
        <v>0.18674851086279001</v>
      </c>
      <c r="AA45" t="s">
        <v>79</v>
      </c>
    </row>
    <row r="46" spans="1:27" x14ac:dyDescent="0.35">
      <c r="A46" s="2" t="s">
        <v>21</v>
      </c>
      <c r="B46" s="2" t="s">
        <v>70</v>
      </c>
      <c r="C46" s="2">
        <v>500</v>
      </c>
      <c r="D46" s="2">
        <v>20</v>
      </c>
      <c r="E46" s="2">
        <v>1.5</v>
      </c>
      <c r="F46" s="2">
        <v>1.5</v>
      </c>
      <c r="G46" s="2">
        <v>0.7</v>
      </c>
      <c r="H46" s="2">
        <v>1.18379409388758E-3</v>
      </c>
      <c r="I46" s="2">
        <v>1.1842928E-3</v>
      </c>
      <c r="J46" s="137">
        <f t="shared" si="5"/>
        <v>4.9870611242008867E-7</v>
      </c>
      <c r="K46" s="2">
        <f>17*60+34.77</f>
        <v>1054.77</v>
      </c>
      <c r="L46" s="2">
        <f t="shared" si="4"/>
        <v>17.579499999999999</v>
      </c>
      <c r="M46" s="2">
        <v>9.6058530808813505E-2</v>
      </c>
      <c r="N46" s="135">
        <v>1.00355114415525</v>
      </c>
      <c r="O46" s="28">
        <v>1.1892168711854501</v>
      </c>
      <c r="P46" s="64">
        <v>9.6469999999999993E-3</v>
      </c>
      <c r="Q46" s="64">
        <v>8.5518540000000005</v>
      </c>
      <c r="R46" s="64">
        <v>7.1656500000000003</v>
      </c>
      <c r="S46" s="64">
        <v>44.150669999999998</v>
      </c>
      <c r="T46" s="64">
        <v>42.528283999999999</v>
      </c>
      <c r="U46" s="64">
        <v>1E-4</v>
      </c>
      <c r="V46" s="28">
        <v>9.9969037747824796</v>
      </c>
      <c r="W46" s="28">
        <v>9.8338183658809708</v>
      </c>
      <c r="X46" s="64">
        <v>1.6426339999999999</v>
      </c>
      <c r="Y46" s="2">
        <v>0.379470687638299</v>
      </c>
      <c r="Z46" s="123">
        <v>0.431561441158336</v>
      </c>
      <c r="AA46" t="s">
        <v>77</v>
      </c>
    </row>
    <row r="47" spans="1:27" x14ac:dyDescent="0.35">
      <c r="A47" s="2" t="s">
        <v>21</v>
      </c>
      <c r="B47" s="2" t="s">
        <v>70</v>
      </c>
      <c r="C47" s="2">
        <v>500</v>
      </c>
      <c r="D47" s="2">
        <v>25</v>
      </c>
      <c r="E47" s="2">
        <v>1.5</v>
      </c>
      <c r="F47" s="2">
        <v>1.5</v>
      </c>
      <c r="G47" s="2">
        <v>0.7</v>
      </c>
      <c r="H47" s="2"/>
      <c r="I47" s="2"/>
      <c r="J47" s="137">
        <f t="shared" si="5"/>
        <v>0</v>
      </c>
      <c r="K47" s="2"/>
      <c r="L47" s="2">
        <f t="shared" si="4"/>
        <v>0</v>
      </c>
      <c r="M47" s="2"/>
      <c r="N47" s="2"/>
      <c r="O47" s="28"/>
      <c r="P47" s="64">
        <v>9.6469999999999993E-3</v>
      </c>
      <c r="Q47" s="64">
        <v>8.5518540000000005</v>
      </c>
      <c r="R47" s="64">
        <v>7.1656500000000003</v>
      </c>
      <c r="S47" s="64">
        <v>44.150669999999998</v>
      </c>
      <c r="T47" s="64">
        <v>42.528283999999999</v>
      </c>
      <c r="U47" s="64">
        <v>1E-4</v>
      </c>
      <c r="V47" s="2"/>
      <c r="W47" s="2"/>
      <c r="X47" s="64">
        <v>1.6426339999999999</v>
      </c>
      <c r="Y47" s="2"/>
      <c r="Z47" s="123"/>
    </row>
    <row r="48" spans="1:27" x14ac:dyDescent="0.35">
      <c r="A48" s="2" t="s">
        <v>18</v>
      </c>
      <c r="B48" s="2" t="s">
        <v>70</v>
      </c>
      <c r="C48" s="2">
        <v>500</v>
      </c>
      <c r="D48" s="2">
        <v>20</v>
      </c>
      <c r="E48" s="2">
        <v>1.5</v>
      </c>
      <c r="F48" s="2">
        <v>1.5</v>
      </c>
      <c r="G48" s="2">
        <v>0.7</v>
      </c>
      <c r="H48" s="2">
        <v>5.2869056794817596E-4</v>
      </c>
      <c r="I48" s="2">
        <v>5.2928410000000002E-4</v>
      </c>
      <c r="J48" s="137">
        <f t="shared" si="5"/>
        <v>5.9353205182405191E-7</v>
      </c>
      <c r="K48" s="2">
        <f>7*60+44.06</f>
        <v>464.06</v>
      </c>
      <c r="L48" s="124">
        <f t="shared" si="4"/>
        <v>7.7343333333333337</v>
      </c>
      <c r="M48" s="2">
        <v>0.176326055422725</v>
      </c>
      <c r="N48" s="2">
        <v>0.88799887600918403</v>
      </c>
      <c r="O48" s="28">
        <v>7.5416513057680996</v>
      </c>
      <c r="P48" s="64">
        <v>9.6469999999999993E-3</v>
      </c>
      <c r="Q48" s="64">
        <v>8.5518540000000005</v>
      </c>
      <c r="R48" s="64">
        <v>7.1656500000000003</v>
      </c>
      <c r="S48" s="64">
        <v>44.150669999999998</v>
      </c>
      <c r="T48" s="64">
        <v>42.528283999999999</v>
      </c>
      <c r="U48" s="64">
        <v>1E-4</v>
      </c>
      <c r="V48" s="28">
        <v>1.34913658400692</v>
      </c>
      <c r="W48" s="28">
        <v>3.96599331480795</v>
      </c>
      <c r="X48" s="64">
        <v>1.6426339999999999</v>
      </c>
      <c r="Y48" s="2">
        <v>0.141621811801041</v>
      </c>
      <c r="Z48" s="123">
        <v>0.80770986194676198</v>
      </c>
      <c r="AA48" t="s">
        <v>77</v>
      </c>
    </row>
    <row r="49" spans="1:27" x14ac:dyDescent="0.35">
      <c r="A49" s="2" t="s">
        <v>18</v>
      </c>
      <c r="B49" s="2" t="s">
        <v>70</v>
      </c>
      <c r="C49" s="2">
        <v>500</v>
      </c>
      <c r="D49" s="2">
        <v>25</v>
      </c>
      <c r="E49" s="2">
        <v>1.5</v>
      </c>
      <c r="F49" s="2">
        <v>1.5</v>
      </c>
      <c r="G49" s="2">
        <v>0.7</v>
      </c>
      <c r="H49" s="2">
        <v>5.3039626225131402E-4</v>
      </c>
      <c r="I49" s="2">
        <v>5.3090359999999998E-4</v>
      </c>
      <c r="J49" s="137">
        <f t="shared" si="5"/>
        <v>5.0733774868596659E-7</v>
      </c>
      <c r="K49" s="2">
        <f>9*60+40.34</f>
        <v>580.34</v>
      </c>
      <c r="L49" s="124">
        <f t="shared" si="4"/>
        <v>9.6723333333333343</v>
      </c>
      <c r="M49" s="2">
        <v>0.17718497294877</v>
      </c>
      <c r="N49" s="2">
        <v>0.92223920885894795</v>
      </c>
      <c r="O49" s="28">
        <v>7.0713621413710097</v>
      </c>
      <c r="P49" s="64">
        <v>9.6469999999999993E-3</v>
      </c>
      <c r="Q49" s="64">
        <v>8.5518540000000005</v>
      </c>
      <c r="R49" s="64">
        <v>7.1656500000000003</v>
      </c>
      <c r="S49" s="64">
        <v>44.150669999999998</v>
      </c>
      <c r="T49" s="64">
        <v>42.528283999999999</v>
      </c>
      <c r="U49" s="64">
        <v>1E-4</v>
      </c>
      <c r="V49" s="28">
        <v>1.4303486515279999</v>
      </c>
      <c r="W49" s="28">
        <v>9.7516013582037004</v>
      </c>
      <c r="X49" s="64">
        <v>1.6426339999999999</v>
      </c>
      <c r="Y49" s="2">
        <v>0.154660141680833</v>
      </c>
      <c r="Z49" s="123">
        <v>0.79017303845450004</v>
      </c>
      <c r="AA49" t="s">
        <v>77</v>
      </c>
    </row>
    <row r="50" spans="1:27" x14ac:dyDescent="0.35">
      <c r="A50" s="2" t="s">
        <v>71</v>
      </c>
      <c r="B50" s="2" t="s">
        <v>70</v>
      </c>
      <c r="C50" s="2">
        <v>500</v>
      </c>
      <c r="D50" s="2">
        <v>20</v>
      </c>
      <c r="E50" s="2">
        <v>1.5</v>
      </c>
      <c r="F50" s="2">
        <v>1.5</v>
      </c>
      <c r="G50" s="2">
        <v>0.7</v>
      </c>
      <c r="H50" s="65">
        <v>1.2186779840844099E-2</v>
      </c>
      <c r="I50" s="2">
        <v>1.2267101799999999E-2</v>
      </c>
      <c r="J50" s="137">
        <f t="shared" si="5"/>
        <v>8.0321959155900055E-5</v>
      </c>
      <c r="K50" s="2">
        <f>2*60+50.53</f>
        <v>170.53</v>
      </c>
      <c r="L50" s="124">
        <f t="shared" si="4"/>
        <v>2.8421666666666665</v>
      </c>
      <c r="M50" s="2">
        <v>2.6013227357739199E-2</v>
      </c>
      <c r="N50" s="135">
        <v>3.9447538907017599</v>
      </c>
      <c r="O50" s="28">
        <v>2.3960064769424201</v>
      </c>
      <c r="P50" s="64">
        <v>9.6469999999999993E-3</v>
      </c>
      <c r="Q50" s="64">
        <v>8.5518540000000005</v>
      </c>
      <c r="R50" s="64">
        <v>7.1656500000000003</v>
      </c>
      <c r="S50" s="64">
        <v>44.150669999999998</v>
      </c>
      <c r="T50" s="64">
        <v>42.528283999999999</v>
      </c>
      <c r="U50" s="64">
        <v>1E-4</v>
      </c>
      <c r="V50" s="28">
        <v>1.68095463963179</v>
      </c>
      <c r="W50" s="2">
        <v>0.100021136316761</v>
      </c>
      <c r="X50" s="64">
        <v>1.6426339999999999</v>
      </c>
      <c r="Y50" s="2">
        <v>0.29741864537122398</v>
      </c>
      <c r="Z50" s="123">
        <v>1.75870071592455</v>
      </c>
      <c r="AA50" t="s">
        <v>77</v>
      </c>
    </row>
    <row r="51" spans="1:27" x14ac:dyDescent="0.35">
      <c r="A51" s="2" t="s">
        <v>71</v>
      </c>
      <c r="B51" s="2" t="s">
        <v>70</v>
      </c>
      <c r="C51" s="2">
        <v>500</v>
      </c>
      <c r="D51" s="2">
        <v>25</v>
      </c>
      <c r="E51" s="2">
        <v>1.5</v>
      </c>
      <c r="F51" s="2">
        <v>1.5</v>
      </c>
      <c r="G51" s="2">
        <v>0.7</v>
      </c>
      <c r="H51" s="2">
        <v>1.18414649883664E-2</v>
      </c>
      <c r="I51" s="2">
        <v>1.18467407E-2</v>
      </c>
      <c r="J51" s="137">
        <f t="shared" si="5"/>
        <v>5.2757116336000359E-6</v>
      </c>
      <c r="K51" s="2">
        <f>3*60+29.15</f>
        <v>209.15</v>
      </c>
      <c r="L51" s="124">
        <f t="shared" si="4"/>
        <v>3.4858333333333333</v>
      </c>
      <c r="M51" s="2">
        <v>3.3605784285897403E-2</v>
      </c>
      <c r="N51" s="135">
        <v>2.3946894101176999</v>
      </c>
      <c r="O51" s="28">
        <v>1.7960724825543599</v>
      </c>
      <c r="P51" s="64">
        <v>9.6469999999999993E-3</v>
      </c>
      <c r="Q51" s="64">
        <v>8.5518540000000005</v>
      </c>
      <c r="R51" s="64">
        <v>7.1656500000000003</v>
      </c>
      <c r="S51" s="64">
        <v>44.150669999999998</v>
      </c>
      <c r="T51" s="64">
        <v>42.528283999999999</v>
      </c>
      <c r="U51" s="64">
        <v>1E-4</v>
      </c>
      <c r="V51" s="28">
        <v>3.1568408377157899</v>
      </c>
      <c r="W51" s="28">
        <v>9.5221624650693801</v>
      </c>
      <c r="X51" s="64">
        <v>1.6426339999999999</v>
      </c>
      <c r="Y51" s="2">
        <v>0.22908727669366399</v>
      </c>
      <c r="Z51" s="123">
        <v>2.16891404109316</v>
      </c>
      <c r="AA51" t="s">
        <v>77</v>
      </c>
    </row>
    <row r="52" spans="1:27" x14ac:dyDescent="0.35">
      <c r="A52" s="2" t="s">
        <v>72</v>
      </c>
      <c r="B52" s="2" t="s">
        <v>70</v>
      </c>
      <c r="C52" s="2">
        <v>500</v>
      </c>
      <c r="D52" s="2">
        <v>20</v>
      </c>
      <c r="E52" s="2">
        <v>1.5</v>
      </c>
      <c r="F52" s="2">
        <v>1.5</v>
      </c>
      <c r="G52" s="2">
        <v>0.7</v>
      </c>
      <c r="H52" s="2">
        <v>4.3715973132067197E-3</v>
      </c>
      <c r="I52" s="65">
        <v>4.3750465000000002E-3</v>
      </c>
      <c r="J52" s="137">
        <f t="shared" si="5"/>
        <v>3.4491867932804829E-6</v>
      </c>
      <c r="K52" s="2">
        <f>4*60+50.31</f>
        <v>290.31</v>
      </c>
      <c r="L52" s="2">
        <f>K52/60</f>
        <v>4.8384999999999998</v>
      </c>
      <c r="M52" s="2">
        <v>3.8416896218145098E-2</v>
      </c>
      <c r="N52" s="135">
        <v>1.83506257887516</v>
      </c>
      <c r="O52" s="28">
        <v>9.7284510170015306</v>
      </c>
      <c r="P52" s="64">
        <v>9.6469999999999993E-3</v>
      </c>
      <c r="Q52" s="64">
        <v>8.5518540000000005</v>
      </c>
      <c r="R52" s="64">
        <v>7.1656500000000003</v>
      </c>
      <c r="S52" s="64">
        <v>44.150669999999998</v>
      </c>
      <c r="T52" s="64">
        <v>42.528283999999999</v>
      </c>
      <c r="U52" s="64">
        <v>1E-4</v>
      </c>
      <c r="V52" s="28">
        <v>1.13543446135009</v>
      </c>
      <c r="W52" s="2">
        <v>0.10023331704901201</v>
      </c>
      <c r="X52" s="64">
        <v>1.6426339999999999</v>
      </c>
      <c r="Y52" s="2">
        <v>0.41009410802541102</v>
      </c>
      <c r="Z52" s="123">
        <v>0.72353345265294899</v>
      </c>
      <c r="AA52" t="s">
        <v>77</v>
      </c>
    </row>
    <row r="53" spans="1:27" x14ac:dyDescent="0.35">
      <c r="A53" s="2" t="s">
        <v>72</v>
      </c>
      <c r="B53" s="2" t="s">
        <v>70</v>
      </c>
      <c r="C53" s="2">
        <v>500</v>
      </c>
      <c r="D53" s="2">
        <v>25</v>
      </c>
      <c r="E53" s="2">
        <v>1.5</v>
      </c>
      <c r="F53" s="2">
        <v>1.5</v>
      </c>
      <c r="G53" s="2">
        <v>0.7</v>
      </c>
      <c r="H53" s="2">
        <v>2.0817824594437902E-3</v>
      </c>
      <c r="I53" s="2">
        <v>2.1050231000000002E-3</v>
      </c>
      <c r="J53" s="137">
        <f t="shared" si="5"/>
        <v>2.3240640556209963E-5</v>
      </c>
      <c r="K53" s="2">
        <f>60*6+38.02</f>
        <v>398.02</v>
      </c>
      <c r="L53" s="124">
        <f t="shared" si="4"/>
        <v>6.6336666666666666</v>
      </c>
      <c r="M53" s="65">
        <v>7.0883156158820002E-2</v>
      </c>
      <c r="N53" s="135">
        <v>1.3884046304384801</v>
      </c>
      <c r="O53" s="123">
        <v>0.66052612892409401</v>
      </c>
      <c r="P53" s="64">
        <v>9.6469999999999993E-3</v>
      </c>
      <c r="Q53" s="64">
        <v>8.5518540000000005</v>
      </c>
      <c r="R53" s="64">
        <v>7.1656500000000003</v>
      </c>
      <c r="S53" s="64">
        <v>44.150669999999998</v>
      </c>
      <c r="T53" s="64">
        <v>42.528283999999999</v>
      </c>
      <c r="U53" s="64">
        <v>1E-4</v>
      </c>
      <c r="V53" s="28">
        <v>9.9999946114827694</v>
      </c>
      <c r="W53" s="2">
        <v>0.10002807809142999</v>
      </c>
      <c r="X53" s="64">
        <v>1.6426339999999999</v>
      </c>
      <c r="Y53" s="123">
        <v>0.501431897649114</v>
      </c>
      <c r="Z53" s="28">
        <v>2.8485587129522201</v>
      </c>
      <c r="AA53" t="s">
        <v>77</v>
      </c>
    </row>
    <row r="55" spans="1:27" x14ac:dyDescent="0.35">
      <c r="H55" s="136"/>
      <c r="J55" t="s">
        <v>81</v>
      </c>
    </row>
  </sheetData>
  <autoFilter ref="A2:X36" xr:uid="{3F024A9F-720A-4384-9592-EDD81D7A1CFE}"/>
  <phoneticPr fontId="7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Pruebas PSO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María Fernanda Folch Díaz</cp:lastModifiedBy>
  <dcterms:created xsi:type="dcterms:W3CDTF">2015-06-05T18:19:34Z</dcterms:created>
  <dcterms:modified xsi:type="dcterms:W3CDTF">2026-03-20T16:03:54Z</dcterms:modified>
</cp:coreProperties>
</file>