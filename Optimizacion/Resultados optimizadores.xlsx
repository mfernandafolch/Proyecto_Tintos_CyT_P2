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uccl0-my.sharepoint.com/personal/mfernandafolch_uc_cl/Documents/Escritorio/Concha y Toro/Proyecto_Tintos_CyT_P2/Optimizacion/"/>
    </mc:Choice>
  </mc:AlternateContent>
  <xr:revisionPtr revIDLastSave="894" documentId="11_AD4D2F04E46CFB4ACB3E20395551EF76693EDF1D" xr6:coauthVersionLast="47" xr6:coauthVersionMax="47" xr10:uidLastSave="{D80D664C-0605-4EBC-81C8-2056D54ED004}"/>
  <bookViews>
    <workbookView xWindow="-110" yWindow="-110" windowWidth="19420" windowHeight="103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0" i="1" l="1"/>
  <c r="J69" i="1"/>
  <c r="J68" i="1"/>
  <c r="J67" i="1"/>
  <c r="J76" i="1"/>
  <c r="J74" i="1"/>
  <c r="J75" i="1"/>
  <c r="J73" i="1"/>
  <c r="J66" i="1"/>
  <c r="J65" i="1"/>
  <c r="J64" i="1"/>
  <c r="J63" i="1"/>
  <c r="J53" i="1"/>
  <c r="J52" i="1"/>
  <c r="J51" i="1"/>
  <c r="J50" i="1"/>
  <c r="J49" i="1"/>
  <c r="J10" i="1"/>
</calcChain>
</file>

<file path=xl/sharedStrings.xml><?xml version="1.0" encoding="utf-8"?>
<sst xmlns="http://schemas.openxmlformats.org/spreadsheetml/2006/main" count="160" uniqueCount="29">
  <si>
    <t>Set de datos:</t>
  </si>
  <si>
    <t>Método opt. global</t>
  </si>
  <si>
    <t>Parámetros opt.</t>
  </si>
  <si>
    <t>maxiter</t>
  </si>
  <si>
    <t>popsize</t>
  </si>
  <si>
    <t>n_particles</t>
  </si>
  <si>
    <t>n_iter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</si>
  <si>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</si>
  <si>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</si>
  <si>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</si>
  <si>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</si>
  <si>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</si>
  <si>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</si>
  <si>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</si>
  <si>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</si>
  <si>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</si>
  <si>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</si>
  <si>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</si>
  <si>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</si>
  <si>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</si>
  <si>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</si>
  <si>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</si>
  <si>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</si>
  <si>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Probé coon PSO de mealpy, se demora mucho y como que no funciona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</si>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</sst>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000"/>
    <numFmt numFmtId="165" formatCode="#,##0.00000000"/>
    <numFmt numFmtId="170" formatCode="#,##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165" fontId="0" fillId="2" borderId="1" xfId="0" applyNumberFormat="1" applyFill="1" applyBorder="1"/>
    <xf numFmtId="165" fontId="0" fillId="0" borderId="1" xfId="0" applyNumberFormat="1" applyFill="1" applyBorder="1"/>
    <xf numFmtId="0" fontId="0" fillId="0" borderId="1" xfId="0" applyFill="1" applyBorder="1"/>
    <xf numFmtId="170" fontId="0" fillId="0" borderId="1" xfId="0" applyNumberFormat="1" applyBorder="1"/>
    <xf numFmtId="0" fontId="2" fillId="0" borderId="1" xfId="0" applyFont="1" applyFill="1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6"/>
  <sheetViews>
    <sheetView tabSelected="1" topLeftCell="A57" workbookViewId="0">
      <selection activeCell="L71" sqref="L71"/>
    </sheetView>
  </sheetViews>
  <sheetFormatPr baseColWidth="10" defaultColWidth="8.7265625" defaultRowHeight="14.5" x14ac:dyDescent="0.35"/>
  <cols>
    <col min="1" max="1" width="11.54296875" bestFit="1" customWidth="1"/>
    <col min="2" max="2" width="18.36328125" bestFit="1" customWidth="1"/>
    <col min="3" max="3" width="9.36328125" customWidth="1"/>
    <col min="5" max="5" width="9.90625" bestFit="1" customWidth="1"/>
    <col min="7" max="7" width="13.7265625" bestFit="1" customWidth="1"/>
    <col min="8" max="8" width="13.453125" bestFit="1" customWidth="1"/>
    <col min="9" max="9" width="11.7265625" bestFit="1" customWidth="1"/>
    <col min="10" max="10" width="9.90625" bestFit="1" customWidth="1"/>
    <col min="12" max="12" width="52.7265625" customWidth="1"/>
  </cols>
  <sheetData>
    <row r="1" spans="1:12" ht="15" thickBot="1" x14ac:dyDescent="0.4">
      <c r="A1" t="s">
        <v>0</v>
      </c>
      <c r="B1" t="s">
        <v>13</v>
      </c>
    </row>
    <row r="2" spans="1:12" x14ac:dyDescent="0.35">
      <c r="B2" s="29" t="s">
        <v>1</v>
      </c>
      <c r="C2" s="31" t="s">
        <v>2</v>
      </c>
      <c r="D2" s="31"/>
      <c r="E2" s="31"/>
      <c r="F2" s="31"/>
      <c r="G2" s="32" t="s">
        <v>14</v>
      </c>
      <c r="H2" s="32" t="s">
        <v>11</v>
      </c>
      <c r="I2" s="32" t="s">
        <v>12</v>
      </c>
      <c r="J2" s="34" t="s">
        <v>8</v>
      </c>
      <c r="L2" t="s">
        <v>16</v>
      </c>
    </row>
    <row r="3" spans="1:12" ht="15" thickBot="1" x14ac:dyDescent="0.4">
      <c r="B3" s="36"/>
      <c r="C3" s="16" t="s">
        <v>3</v>
      </c>
      <c r="D3" s="16" t="s">
        <v>4</v>
      </c>
      <c r="E3" s="16" t="s">
        <v>5</v>
      </c>
      <c r="F3" s="16" t="s">
        <v>6</v>
      </c>
      <c r="G3" s="37"/>
      <c r="H3" s="37"/>
      <c r="I3" s="37"/>
      <c r="J3" s="38"/>
      <c r="L3" t="s">
        <v>17</v>
      </c>
    </row>
    <row r="4" spans="1:12" x14ac:dyDescent="0.35">
      <c r="B4" s="8" t="s">
        <v>7</v>
      </c>
      <c r="C4" s="9">
        <v>8</v>
      </c>
      <c r="D4" s="9">
        <v>4</v>
      </c>
      <c r="E4" s="9"/>
      <c r="F4" s="9"/>
      <c r="G4" s="9" t="s">
        <v>9</v>
      </c>
      <c r="H4" s="10">
        <v>82.549381118790606</v>
      </c>
      <c r="I4" s="9"/>
      <c r="J4" s="11">
        <v>19.95</v>
      </c>
    </row>
    <row r="5" spans="1:12" x14ac:dyDescent="0.35">
      <c r="B5" s="12" t="s">
        <v>7</v>
      </c>
      <c r="C5" s="2">
        <v>8</v>
      </c>
      <c r="D5" s="2">
        <v>6</v>
      </c>
      <c r="E5" s="2"/>
      <c r="F5" s="2"/>
      <c r="G5" s="2" t="s">
        <v>9</v>
      </c>
      <c r="H5" s="3">
        <v>204.12437459632801</v>
      </c>
      <c r="I5" s="2"/>
      <c r="J5" s="13">
        <v>16.18</v>
      </c>
    </row>
    <row r="6" spans="1:12" x14ac:dyDescent="0.35">
      <c r="B6" s="12" t="s">
        <v>7</v>
      </c>
      <c r="C6" s="2">
        <v>8</v>
      </c>
      <c r="D6" s="2">
        <v>8</v>
      </c>
      <c r="E6" s="2"/>
      <c r="F6" s="2"/>
      <c r="G6" s="2" t="s">
        <v>9</v>
      </c>
      <c r="H6" s="3">
        <v>538.65830215846302</v>
      </c>
      <c r="I6" s="2"/>
      <c r="J6" s="13">
        <v>28.18</v>
      </c>
    </row>
    <row r="7" spans="1:12" x14ac:dyDescent="0.35">
      <c r="B7" s="12" t="s">
        <v>7</v>
      </c>
      <c r="C7" s="2">
        <v>14</v>
      </c>
      <c r="D7" s="2">
        <v>4</v>
      </c>
      <c r="E7" s="2"/>
      <c r="F7" s="2"/>
      <c r="G7" s="2" t="s">
        <v>9</v>
      </c>
      <c r="H7" s="3">
        <v>81.804288393525695</v>
      </c>
      <c r="I7" s="2"/>
      <c r="J7" s="13">
        <v>46.52</v>
      </c>
    </row>
    <row r="8" spans="1:12" x14ac:dyDescent="0.35">
      <c r="B8" s="12" t="s">
        <v>7</v>
      </c>
      <c r="C8" s="2">
        <v>14</v>
      </c>
      <c r="D8" s="2">
        <v>6</v>
      </c>
      <c r="E8" s="2"/>
      <c r="F8" s="2"/>
      <c r="G8" s="2" t="s">
        <v>9</v>
      </c>
      <c r="H8" s="3">
        <v>84.980454925729703</v>
      </c>
      <c r="I8" s="2"/>
      <c r="J8" s="13">
        <v>24.79</v>
      </c>
    </row>
    <row r="9" spans="1:12" x14ac:dyDescent="0.35">
      <c r="B9" s="12" t="s">
        <v>7</v>
      </c>
      <c r="C9" s="2">
        <v>14</v>
      </c>
      <c r="D9" s="2">
        <v>8</v>
      </c>
      <c r="E9" s="2"/>
      <c r="F9" s="2"/>
      <c r="G9" s="2" t="s">
        <v>9</v>
      </c>
      <c r="H9" s="4">
        <v>55.270130124821399</v>
      </c>
      <c r="I9" s="2"/>
      <c r="J9" s="13">
        <v>42.3</v>
      </c>
    </row>
    <row r="10" spans="1:12" x14ac:dyDescent="0.35">
      <c r="B10" s="12" t="s">
        <v>7</v>
      </c>
      <c r="C10" s="2">
        <v>20</v>
      </c>
      <c r="D10" s="2">
        <v>4</v>
      </c>
      <c r="E10" s="2"/>
      <c r="F10" s="2"/>
      <c r="G10" s="2" t="s">
        <v>9</v>
      </c>
      <c r="H10" s="3">
        <v>81.842917511313502</v>
      </c>
      <c r="I10" s="2"/>
      <c r="J10" s="13">
        <f>60+7.47</f>
        <v>67.47</v>
      </c>
    </row>
    <row r="11" spans="1:12" x14ac:dyDescent="0.35">
      <c r="B11" s="12" t="s">
        <v>7</v>
      </c>
      <c r="C11" s="2">
        <v>20</v>
      </c>
      <c r="D11" s="2">
        <v>6</v>
      </c>
      <c r="E11" s="2"/>
      <c r="F11" s="2"/>
      <c r="G11" s="2" t="s">
        <v>9</v>
      </c>
      <c r="H11" s="5">
        <v>63.049160766663</v>
      </c>
      <c r="I11" s="2"/>
      <c r="J11" s="13">
        <v>59.3</v>
      </c>
    </row>
    <row r="12" spans="1:12" x14ac:dyDescent="0.35">
      <c r="B12" s="12" t="s">
        <v>7</v>
      </c>
      <c r="C12" s="2">
        <v>20</v>
      </c>
      <c r="D12" s="2">
        <v>8</v>
      </c>
      <c r="E12" s="2"/>
      <c r="F12" s="2"/>
      <c r="G12" s="2" t="s">
        <v>9</v>
      </c>
      <c r="H12" s="3">
        <v>93.389411925614297</v>
      </c>
      <c r="I12" s="2"/>
      <c r="J12" s="13">
        <v>55.53</v>
      </c>
    </row>
    <row r="13" spans="1:12" x14ac:dyDescent="0.35">
      <c r="B13" s="12" t="s">
        <v>7</v>
      </c>
      <c r="C13" s="2">
        <v>8</v>
      </c>
      <c r="D13" s="2">
        <v>4</v>
      </c>
      <c r="E13" s="2"/>
      <c r="F13" s="2"/>
      <c r="G13" s="2" t="s">
        <v>10</v>
      </c>
      <c r="H13" s="3">
        <v>82.549381118790606</v>
      </c>
      <c r="I13" s="3">
        <v>82.325162791377593</v>
      </c>
      <c r="J13" s="13">
        <v>21.41</v>
      </c>
    </row>
    <row r="14" spans="1:12" x14ac:dyDescent="0.35">
      <c r="B14" s="12" t="s">
        <v>7</v>
      </c>
      <c r="C14" s="2">
        <v>8</v>
      </c>
      <c r="D14" s="2">
        <v>6</v>
      </c>
      <c r="E14" s="2"/>
      <c r="F14" s="2"/>
      <c r="G14" s="2" t="s">
        <v>10</v>
      </c>
      <c r="H14" s="3">
        <v>204.12437459632801</v>
      </c>
      <c r="I14" s="3">
        <v>204.124337016564</v>
      </c>
      <c r="J14" s="13">
        <v>17.03</v>
      </c>
    </row>
    <row r="15" spans="1:12" x14ac:dyDescent="0.35">
      <c r="B15" s="12" t="s">
        <v>7</v>
      </c>
      <c r="C15" s="2">
        <v>8</v>
      </c>
      <c r="D15" s="2">
        <v>8</v>
      </c>
      <c r="E15" s="2"/>
      <c r="F15" s="2"/>
      <c r="G15" s="2" t="s">
        <v>10</v>
      </c>
      <c r="H15" s="3">
        <v>538.65830215846302</v>
      </c>
      <c r="I15" s="3">
        <v>84.173643476015002</v>
      </c>
      <c r="J15" s="13">
        <v>31.45</v>
      </c>
    </row>
    <row r="16" spans="1:12" x14ac:dyDescent="0.35">
      <c r="B16" s="12" t="s">
        <v>7</v>
      </c>
      <c r="C16" s="2">
        <v>14</v>
      </c>
      <c r="D16" s="2">
        <v>4</v>
      </c>
      <c r="E16" s="2"/>
      <c r="F16" s="2"/>
      <c r="G16" s="2" t="s">
        <v>10</v>
      </c>
      <c r="H16" s="3">
        <v>81.804288393525695</v>
      </c>
      <c r="I16" s="3">
        <v>81.804279113154806</v>
      </c>
      <c r="J16" s="13">
        <v>41.68</v>
      </c>
    </row>
    <row r="17" spans="2:10" x14ac:dyDescent="0.35">
      <c r="B17" s="12" t="s">
        <v>7</v>
      </c>
      <c r="C17" s="2">
        <v>14</v>
      </c>
      <c r="D17" s="2">
        <v>6</v>
      </c>
      <c r="E17" s="2"/>
      <c r="F17" s="2"/>
      <c r="G17" s="2" t="s">
        <v>10</v>
      </c>
      <c r="H17" s="3">
        <v>84.980454925729703</v>
      </c>
      <c r="I17" s="3">
        <v>84.7505328845523</v>
      </c>
      <c r="J17" s="13">
        <v>25.76</v>
      </c>
    </row>
    <row r="18" spans="2:10" x14ac:dyDescent="0.35">
      <c r="B18" s="12" t="s">
        <v>7</v>
      </c>
      <c r="C18" s="2">
        <v>14</v>
      </c>
      <c r="D18" s="2">
        <v>8</v>
      </c>
      <c r="E18" s="2"/>
      <c r="F18" s="2"/>
      <c r="G18" s="2" t="s">
        <v>10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5">
      <c r="B19" s="12" t="s">
        <v>7</v>
      </c>
      <c r="C19" s="2">
        <v>20</v>
      </c>
      <c r="D19" s="2">
        <v>4</v>
      </c>
      <c r="E19" s="2"/>
      <c r="F19" s="2"/>
      <c r="G19" s="2" t="s">
        <v>10</v>
      </c>
      <c r="H19" s="3">
        <v>81.842917511313502</v>
      </c>
      <c r="I19" s="3">
        <v>81.842917511313502</v>
      </c>
      <c r="J19" s="13">
        <v>48.2</v>
      </c>
    </row>
    <row r="20" spans="2:10" x14ac:dyDescent="0.35">
      <c r="B20" s="12" t="s">
        <v>7</v>
      </c>
      <c r="C20" s="2">
        <v>20</v>
      </c>
      <c r="D20" s="2">
        <v>6</v>
      </c>
      <c r="E20" s="2"/>
      <c r="F20" s="2"/>
      <c r="G20" s="2" t="s">
        <v>10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4">
      <c r="B21" s="22" t="s">
        <v>7</v>
      </c>
      <c r="C21" s="23">
        <v>20</v>
      </c>
      <c r="D21" s="23">
        <v>8</v>
      </c>
      <c r="E21" s="23"/>
      <c r="F21" s="23"/>
      <c r="G21" s="23" t="s">
        <v>10</v>
      </c>
      <c r="H21" s="21">
        <v>93.389411925614297</v>
      </c>
      <c r="I21" s="21">
        <v>67.115603761140093</v>
      </c>
      <c r="J21" s="24">
        <v>57.4</v>
      </c>
    </row>
    <row r="22" spans="2:10" x14ac:dyDescent="0.35">
      <c r="B22" s="8" t="s">
        <v>15</v>
      </c>
      <c r="C22" s="9">
        <v>10</v>
      </c>
      <c r="D22" s="9"/>
      <c r="E22" s="9"/>
      <c r="F22" s="9"/>
      <c r="G22" s="17" t="s">
        <v>9</v>
      </c>
      <c r="H22" s="10">
        <v>59.072205394945499</v>
      </c>
      <c r="I22" s="19"/>
      <c r="J22" s="11">
        <v>17.579999999999998</v>
      </c>
    </row>
    <row r="23" spans="2:10" x14ac:dyDescent="0.35">
      <c r="B23" s="12" t="s">
        <v>15</v>
      </c>
      <c r="C23" s="2">
        <v>20</v>
      </c>
      <c r="D23" s="2"/>
      <c r="E23" s="2"/>
      <c r="F23" s="2"/>
      <c r="G23" s="18" t="s">
        <v>9</v>
      </c>
      <c r="H23" s="3">
        <v>59.072205394945499</v>
      </c>
      <c r="I23" s="20"/>
      <c r="J23" s="13">
        <v>21.11</v>
      </c>
    </row>
    <row r="24" spans="2:10" x14ac:dyDescent="0.35">
      <c r="B24" s="12" t="s">
        <v>15</v>
      </c>
      <c r="C24" s="2">
        <v>40</v>
      </c>
      <c r="D24" s="2"/>
      <c r="E24" s="2"/>
      <c r="F24" s="2"/>
      <c r="G24" s="18" t="s">
        <v>9</v>
      </c>
      <c r="H24" s="3">
        <v>59.072205394945499</v>
      </c>
      <c r="I24" s="20"/>
      <c r="J24" s="13">
        <v>25.03</v>
      </c>
    </row>
    <row r="25" spans="2:10" x14ac:dyDescent="0.35">
      <c r="B25" s="12" t="s">
        <v>15</v>
      </c>
      <c r="C25" s="2">
        <v>60</v>
      </c>
      <c r="D25" s="2"/>
      <c r="E25" s="2"/>
      <c r="F25" s="2"/>
      <c r="G25" s="18" t="s">
        <v>9</v>
      </c>
      <c r="H25" s="3">
        <v>59.072205394945499</v>
      </c>
      <c r="I25" s="20"/>
      <c r="J25" s="13">
        <v>31.68</v>
      </c>
    </row>
    <row r="26" spans="2:10" x14ac:dyDescent="0.35">
      <c r="B26" s="12" t="s">
        <v>15</v>
      </c>
      <c r="C26" s="2">
        <v>10</v>
      </c>
      <c r="D26" s="2"/>
      <c r="E26" s="2"/>
      <c r="F26" s="2"/>
      <c r="G26" s="18" t="s">
        <v>10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5">
      <c r="B27" s="12" t="s">
        <v>15</v>
      </c>
      <c r="C27" s="2">
        <v>20</v>
      </c>
      <c r="D27" s="2"/>
      <c r="E27" s="2"/>
      <c r="F27" s="2"/>
      <c r="G27" s="18" t="s">
        <v>10</v>
      </c>
      <c r="H27" s="3">
        <v>59.072205394945499</v>
      </c>
      <c r="I27" s="20">
        <v>59.063559083312597</v>
      </c>
      <c r="J27" s="13">
        <v>20.59</v>
      </c>
    </row>
    <row r="28" spans="2:10" x14ac:dyDescent="0.35">
      <c r="B28" s="12" t="s">
        <v>15</v>
      </c>
      <c r="C28" s="2">
        <v>40</v>
      </c>
      <c r="D28" s="2"/>
      <c r="E28" s="2"/>
      <c r="F28" s="2"/>
      <c r="G28" s="18" t="s">
        <v>10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4">
      <c r="B29" s="22" t="s">
        <v>15</v>
      </c>
      <c r="C29" s="23">
        <v>60</v>
      </c>
      <c r="D29" s="23"/>
      <c r="E29" s="23"/>
      <c r="F29" s="23"/>
      <c r="G29" s="25" t="s">
        <v>10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5">
      <c r="B30" s="8" t="s">
        <v>18</v>
      </c>
      <c r="C30" s="9"/>
      <c r="D30" s="9"/>
      <c r="E30" s="9">
        <v>10</v>
      </c>
      <c r="F30" s="9">
        <v>50</v>
      </c>
      <c r="G30" s="9" t="s">
        <v>9</v>
      </c>
      <c r="H30" s="10">
        <v>76.496085191314805</v>
      </c>
      <c r="I30" s="9"/>
      <c r="J30" s="11">
        <v>12.17</v>
      </c>
    </row>
    <row r="31" spans="2:10" x14ac:dyDescent="0.35">
      <c r="B31" s="12" t="s">
        <v>18</v>
      </c>
      <c r="C31" s="2"/>
      <c r="D31" s="2"/>
      <c r="E31" s="2">
        <v>15</v>
      </c>
      <c r="F31" s="2">
        <v>50</v>
      </c>
      <c r="G31" s="2" t="s">
        <v>9</v>
      </c>
      <c r="H31" s="3">
        <v>34.156916731388499</v>
      </c>
      <c r="I31" s="2"/>
      <c r="J31" s="13">
        <v>15.71</v>
      </c>
    </row>
    <row r="32" spans="2:10" x14ac:dyDescent="0.35">
      <c r="B32" s="12" t="s">
        <v>18</v>
      </c>
      <c r="C32" s="2"/>
      <c r="D32" s="2"/>
      <c r="E32" s="2">
        <v>20</v>
      </c>
      <c r="F32" s="2">
        <v>50</v>
      </c>
      <c r="G32" s="2" t="s">
        <v>9</v>
      </c>
      <c r="H32" s="3">
        <v>21.866985737151001</v>
      </c>
      <c r="I32" s="2"/>
      <c r="J32" s="13">
        <v>16.809999999999999</v>
      </c>
    </row>
    <row r="33" spans="1:12" x14ac:dyDescent="0.35">
      <c r="B33" s="12" t="s">
        <v>18</v>
      </c>
      <c r="C33" s="2"/>
      <c r="D33" s="2"/>
      <c r="E33" s="2">
        <v>25</v>
      </c>
      <c r="F33" s="2">
        <v>50</v>
      </c>
      <c r="G33" s="2" t="s">
        <v>9</v>
      </c>
      <c r="H33" s="3">
        <v>21.598196097453801</v>
      </c>
      <c r="I33" s="2"/>
      <c r="J33" s="13">
        <v>23.94</v>
      </c>
    </row>
    <row r="34" spans="1:12" x14ac:dyDescent="0.35">
      <c r="B34" s="12" t="s">
        <v>18</v>
      </c>
      <c r="C34" s="2"/>
      <c r="D34" s="2"/>
      <c r="E34" s="2">
        <v>10</v>
      </c>
      <c r="F34" s="2">
        <v>80</v>
      </c>
      <c r="G34" s="2" t="s">
        <v>9</v>
      </c>
      <c r="H34" s="3">
        <v>68.838314256654002</v>
      </c>
      <c r="I34" s="2"/>
      <c r="J34" s="13">
        <v>19.32</v>
      </c>
    </row>
    <row r="35" spans="1:12" x14ac:dyDescent="0.35">
      <c r="B35" s="12" t="s">
        <v>18</v>
      </c>
      <c r="C35" s="2"/>
      <c r="D35" s="2"/>
      <c r="E35" s="2">
        <v>15</v>
      </c>
      <c r="F35" s="2">
        <v>80</v>
      </c>
      <c r="G35" s="2" t="s">
        <v>9</v>
      </c>
      <c r="H35" s="3">
        <v>33.383979815760597</v>
      </c>
      <c r="I35" s="2"/>
      <c r="J35" s="13">
        <v>26.42</v>
      </c>
    </row>
    <row r="36" spans="1:12" x14ac:dyDescent="0.35">
      <c r="B36" s="12" t="s">
        <v>18</v>
      </c>
      <c r="C36" s="2"/>
      <c r="D36" s="2"/>
      <c r="E36" s="2">
        <v>20</v>
      </c>
      <c r="F36" s="2">
        <v>80</v>
      </c>
      <c r="G36" s="2" t="s">
        <v>9</v>
      </c>
      <c r="H36" s="3">
        <v>21.115469552137299</v>
      </c>
      <c r="I36" s="2"/>
      <c r="J36" s="13">
        <v>25.24</v>
      </c>
    </row>
    <row r="37" spans="1:12" x14ac:dyDescent="0.35">
      <c r="B37" s="12" t="s">
        <v>18</v>
      </c>
      <c r="C37" s="2"/>
      <c r="D37" s="2"/>
      <c r="E37" s="2">
        <v>25</v>
      </c>
      <c r="F37" s="2">
        <v>80</v>
      </c>
      <c r="G37" s="2" t="s">
        <v>9</v>
      </c>
      <c r="H37" s="3">
        <v>21.152551459206698</v>
      </c>
      <c r="I37" s="2"/>
      <c r="J37" s="13">
        <v>30.22</v>
      </c>
    </row>
    <row r="38" spans="1:12" x14ac:dyDescent="0.35">
      <c r="B38" s="12" t="s">
        <v>18</v>
      </c>
      <c r="C38" s="2"/>
      <c r="D38" s="2"/>
      <c r="E38" s="2">
        <v>25</v>
      </c>
      <c r="F38" s="2">
        <v>100</v>
      </c>
      <c r="G38" s="2" t="s">
        <v>9</v>
      </c>
      <c r="H38" s="4">
        <v>21.096195547588302</v>
      </c>
      <c r="I38" s="2"/>
      <c r="J38" s="13">
        <v>47.07</v>
      </c>
    </row>
    <row r="39" spans="1:12" x14ac:dyDescent="0.35">
      <c r="B39" s="12" t="s">
        <v>18</v>
      </c>
      <c r="C39" s="2"/>
      <c r="D39" s="2"/>
      <c r="E39" s="2">
        <v>25</v>
      </c>
      <c r="F39" s="2">
        <v>150</v>
      </c>
      <c r="G39" s="2" t="s">
        <v>9</v>
      </c>
      <c r="H39" s="3">
        <v>20.933555214239501</v>
      </c>
      <c r="I39" s="2"/>
      <c r="J39" s="13">
        <v>63.35</v>
      </c>
    </row>
    <row r="40" spans="1:12" x14ac:dyDescent="0.35">
      <c r="B40" s="12" t="s">
        <v>18</v>
      </c>
      <c r="C40" s="2"/>
      <c r="D40" s="2"/>
      <c r="E40" s="2">
        <v>25</v>
      </c>
      <c r="F40" s="2">
        <v>80</v>
      </c>
      <c r="G40" s="2" t="s">
        <v>10</v>
      </c>
      <c r="H40" s="3">
        <v>21.152551459206698</v>
      </c>
      <c r="I40" s="3">
        <v>21.151507086732401</v>
      </c>
      <c r="J40" s="13">
        <v>29.78</v>
      </c>
    </row>
    <row r="41" spans="1:12" x14ac:dyDescent="0.35">
      <c r="B41" s="12" t="s">
        <v>18</v>
      </c>
      <c r="C41" s="2"/>
      <c r="D41" s="2"/>
      <c r="E41" s="2">
        <v>25</v>
      </c>
      <c r="F41" s="2">
        <v>100</v>
      </c>
      <c r="G41" s="2" t="s">
        <v>10</v>
      </c>
      <c r="H41" s="4">
        <v>21.096195547588302</v>
      </c>
      <c r="I41" s="4">
        <v>21.090065683150002</v>
      </c>
      <c r="J41" s="13">
        <v>35.68</v>
      </c>
      <c r="L41" t="s">
        <v>19</v>
      </c>
    </row>
    <row r="42" spans="1:12" ht="15" thickBot="1" x14ac:dyDescent="0.4">
      <c r="B42" s="15" t="s">
        <v>18</v>
      </c>
      <c r="C42" s="6"/>
      <c r="D42" s="6"/>
      <c r="E42" s="6">
        <v>25</v>
      </c>
      <c r="F42" s="6">
        <v>150</v>
      </c>
      <c r="G42" s="6" t="s">
        <v>10</v>
      </c>
      <c r="H42" s="14">
        <v>20.933555214239501</v>
      </c>
      <c r="I42" s="14">
        <v>20.913852644711</v>
      </c>
      <c r="J42" s="27">
        <v>63.56</v>
      </c>
    </row>
    <row r="45" spans="1:12" ht="15" thickBot="1" x14ac:dyDescent="0.4">
      <c r="A45" t="s">
        <v>0</v>
      </c>
      <c r="B45" t="s">
        <v>20</v>
      </c>
    </row>
    <row r="46" spans="1:12" x14ac:dyDescent="0.35">
      <c r="B46" s="29" t="s">
        <v>1</v>
      </c>
      <c r="C46" s="31" t="s">
        <v>2</v>
      </c>
      <c r="D46" s="31"/>
      <c r="E46" s="31"/>
      <c r="F46" s="31"/>
      <c r="G46" s="32" t="s">
        <v>14</v>
      </c>
      <c r="H46" s="32" t="s">
        <v>11</v>
      </c>
      <c r="I46" s="32" t="s">
        <v>12</v>
      </c>
      <c r="J46" s="34" t="s">
        <v>8</v>
      </c>
    </row>
    <row r="47" spans="1:12" x14ac:dyDescent="0.35">
      <c r="B47" s="30"/>
      <c r="C47" s="7" t="s">
        <v>3</v>
      </c>
      <c r="D47" s="7" t="s">
        <v>4</v>
      </c>
      <c r="E47" s="7" t="s">
        <v>5</v>
      </c>
      <c r="F47" s="7" t="s">
        <v>6</v>
      </c>
      <c r="G47" s="33"/>
      <c r="H47" s="33"/>
      <c r="I47" s="33"/>
      <c r="J47" s="35"/>
    </row>
    <row r="48" spans="1:12" x14ac:dyDescent="0.35">
      <c r="B48" s="2" t="s">
        <v>18</v>
      </c>
      <c r="C48" s="2"/>
      <c r="D48" s="2"/>
      <c r="E48" s="2">
        <v>25</v>
      </c>
      <c r="F48" s="2">
        <v>50</v>
      </c>
      <c r="G48" s="2" t="s">
        <v>9</v>
      </c>
      <c r="H48" s="28">
        <v>39.402122681394601</v>
      </c>
      <c r="I48" s="2"/>
      <c r="J48" s="2">
        <v>48.38</v>
      </c>
    </row>
    <row r="49" spans="1:12" x14ac:dyDescent="0.35">
      <c r="B49" s="2" t="s">
        <v>18</v>
      </c>
      <c r="C49" s="2"/>
      <c r="D49" s="2"/>
      <c r="E49" s="2">
        <v>25</v>
      </c>
      <c r="F49" s="2">
        <v>80</v>
      </c>
      <c r="G49" s="2" t="s">
        <v>9</v>
      </c>
      <c r="H49" s="28">
        <v>26.1017589545019</v>
      </c>
      <c r="I49" s="2"/>
      <c r="J49" s="2">
        <f>60+17.06</f>
        <v>77.06</v>
      </c>
    </row>
    <row r="50" spans="1:12" x14ac:dyDescent="0.35">
      <c r="B50" s="2" t="s">
        <v>18</v>
      </c>
      <c r="C50" s="2"/>
      <c r="D50" s="2"/>
      <c r="E50" s="2">
        <v>25</v>
      </c>
      <c r="F50" s="2">
        <v>100</v>
      </c>
      <c r="G50" s="2" t="s">
        <v>9</v>
      </c>
      <c r="H50" s="39">
        <v>26.036020305426099</v>
      </c>
      <c r="I50" s="2"/>
      <c r="J50" s="2">
        <f>60+32.74</f>
        <v>92.740000000000009</v>
      </c>
    </row>
    <row r="51" spans="1:12" x14ac:dyDescent="0.35">
      <c r="B51" s="2" t="s">
        <v>18</v>
      </c>
      <c r="C51" s="2"/>
      <c r="D51" s="2"/>
      <c r="E51" s="2">
        <v>25</v>
      </c>
      <c r="F51" s="2">
        <v>120</v>
      </c>
      <c r="G51" s="2" t="s">
        <v>9</v>
      </c>
      <c r="H51" s="28">
        <v>26.036020305426099</v>
      </c>
      <c r="I51" s="2"/>
      <c r="J51" s="2">
        <f>60+52.17</f>
        <v>112.17</v>
      </c>
      <c r="L51" t="s">
        <v>21</v>
      </c>
    </row>
    <row r="52" spans="1:12" x14ac:dyDescent="0.35">
      <c r="B52" s="2" t="s">
        <v>18</v>
      </c>
      <c r="C52" s="2"/>
      <c r="D52" s="2"/>
      <c r="E52" s="2">
        <v>25</v>
      </c>
      <c r="F52" s="2">
        <v>80</v>
      </c>
      <c r="G52" s="2" t="s">
        <v>10</v>
      </c>
      <c r="H52" s="28">
        <v>26.1017589545019</v>
      </c>
      <c r="I52" s="3">
        <v>26.1014646021309</v>
      </c>
      <c r="J52" s="2">
        <f>60+13.62</f>
        <v>73.62</v>
      </c>
    </row>
    <row r="53" spans="1:12" x14ac:dyDescent="0.35">
      <c r="B53" s="2" t="s">
        <v>18</v>
      </c>
      <c r="C53" s="2"/>
      <c r="D53" s="2"/>
      <c r="E53" s="2">
        <v>25</v>
      </c>
      <c r="F53" s="2">
        <v>100</v>
      </c>
      <c r="G53" s="2" t="s">
        <v>10</v>
      </c>
      <c r="H53" s="39">
        <v>26.036020305426099</v>
      </c>
      <c r="I53" s="4">
        <v>26.028892560451698</v>
      </c>
      <c r="J53" s="2">
        <f>60+33.08</f>
        <v>93.08</v>
      </c>
    </row>
    <row r="57" spans="1:12" x14ac:dyDescent="0.35">
      <c r="B57" t="s">
        <v>22</v>
      </c>
      <c r="K57" s="1"/>
    </row>
    <row r="58" spans="1:12" x14ac:dyDescent="0.35">
      <c r="B58" t="s">
        <v>23</v>
      </c>
    </row>
    <row r="60" spans="1:12" ht="15" thickBot="1" x14ac:dyDescent="0.4">
      <c r="A60" t="s">
        <v>0</v>
      </c>
      <c r="B60" t="s">
        <v>24</v>
      </c>
    </row>
    <row r="61" spans="1:12" x14ac:dyDescent="0.35">
      <c r="B61" s="29" t="s">
        <v>1</v>
      </c>
      <c r="C61" s="31" t="s">
        <v>2</v>
      </c>
      <c r="D61" s="31"/>
      <c r="E61" s="31"/>
      <c r="F61" s="31"/>
      <c r="G61" s="32" t="s">
        <v>14</v>
      </c>
      <c r="H61" s="32" t="s">
        <v>11</v>
      </c>
      <c r="I61" s="32" t="s">
        <v>12</v>
      </c>
      <c r="J61" s="34" t="s">
        <v>8</v>
      </c>
    </row>
    <row r="62" spans="1:12" x14ac:dyDescent="0.35">
      <c r="B62" s="30"/>
      <c r="C62" s="7" t="s">
        <v>3</v>
      </c>
      <c r="D62" s="7" t="s">
        <v>4</v>
      </c>
      <c r="E62" s="7" t="s">
        <v>5</v>
      </c>
      <c r="F62" s="7" t="s">
        <v>6</v>
      </c>
      <c r="G62" s="33"/>
      <c r="H62" s="33"/>
      <c r="I62" s="33"/>
      <c r="J62" s="35"/>
    </row>
    <row r="63" spans="1:12" x14ac:dyDescent="0.35">
      <c r="B63" s="2" t="s">
        <v>18</v>
      </c>
      <c r="C63" s="2"/>
      <c r="D63" s="2"/>
      <c r="E63" s="44">
        <v>25</v>
      </c>
      <c r="F63" s="44">
        <v>100</v>
      </c>
      <c r="G63" s="44" t="s">
        <v>9</v>
      </c>
      <c r="H63" s="40">
        <v>642.85640012476097</v>
      </c>
      <c r="I63" s="2"/>
      <c r="J63" s="2">
        <f>2*60+14.52</f>
        <v>134.52000000000001</v>
      </c>
      <c r="L63" t="s">
        <v>25</v>
      </c>
    </row>
    <row r="64" spans="1:12" x14ac:dyDescent="0.35">
      <c r="B64" s="2" t="s">
        <v>18</v>
      </c>
      <c r="C64" s="2"/>
      <c r="D64" s="2"/>
      <c r="E64" s="2">
        <v>25</v>
      </c>
      <c r="F64" s="2">
        <v>120</v>
      </c>
      <c r="G64" s="2" t="s">
        <v>9</v>
      </c>
      <c r="H64" s="39">
        <v>642.66116140171596</v>
      </c>
      <c r="I64" s="2"/>
      <c r="J64" s="2">
        <f>2*60+21.53</f>
        <v>141.53</v>
      </c>
      <c r="L64" t="s">
        <v>26</v>
      </c>
    </row>
    <row r="65" spans="2:12" x14ac:dyDescent="0.35">
      <c r="B65" s="2" t="s">
        <v>18</v>
      </c>
      <c r="C65" s="2"/>
      <c r="D65" s="2"/>
      <c r="E65" s="2">
        <v>25</v>
      </c>
      <c r="F65" s="2">
        <v>150</v>
      </c>
      <c r="G65" s="2" t="s">
        <v>9</v>
      </c>
      <c r="H65" s="39">
        <v>642.66116140171596</v>
      </c>
      <c r="I65" s="2"/>
      <c r="J65" s="2">
        <f>2*60+41.42</f>
        <v>161.42000000000002</v>
      </c>
    </row>
    <row r="66" spans="2:12" x14ac:dyDescent="0.35">
      <c r="B66" s="2" t="s">
        <v>18</v>
      </c>
      <c r="C66" s="2"/>
      <c r="D66" s="2"/>
      <c r="E66" s="2">
        <v>25</v>
      </c>
      <c r="F66" s="2">
        <v>150</v>
      </c>
      <c r="G66" s="41" t="s">
        <v>10</v>
      </c>
      <c r="H66" s="39">
        <v>642.66116140171596</v>
      </c>
      <c r="I66" s="42">
        <v>642.92712592794396</v>
      </c>
      <c r="J66" s="2">
        <f>2*60+40.53</f>
        <v>160.53</v>
      </c>
      <c r="L66" t="s">
        <v>27</v>
      </c>
    </row>
    <row r="67" spans="2:12" x14ac:dyDescent="0.35">
      <c r="B67" s="2" t="s">
        <v>18</v>
      </c>
      <c r="C67" s="2"/>
      <c r="D67" s="2"/>
      <c r="E67" s="2">
        <v>30</v>
      </c>
      <c r="F67" s="2">
        <v>150</v>
      </c>
      <c r="G67" s="2" t="s">
        <v>9</v>
      </c>
      <c r="H67" s="40">
        <v>376.02775723511297</v>
      </c>
      <c r="I67" s="2"/>
      <c r="J67" s="2">
        <f>60+36.33</f>
        <v>96.33</v>
      </c>
    </row>
    <row r="68" spans="2:12" x14ac:dyDescent="0.35">
      <c r="B68" s="2" t="s">
        <v>18</v>
      </c>
      <c r="C68" s="2"/>
      <c r="D68" s="2"/>
      <c r="E68" s="41">
        <v>30</v>
      </c>
      <c r="F68" s="41">
        <v>200</v>
      </c>
      <c r="G68" s="2" t="s">
        <v>9</v>
      </c>
      <c r="H68" s="28">
        <v>375.67459265584</v>
      </c>
      <c r="I68" s="2"/>
      <c r="J68" s="2">
        <f>60+50.99</f>
        <v>110.99000000000001</v>
      </c>
    </row>
    <row r="69" spans="2:12" x14ac:dyDescent="0.35">
      <c r="B69" s="2" t="s">
        <v>18</v>
      </c>
      <c r="C69" s="2"/>
      <c r="D69" s="2"/>
      <c r="E69" s="2">
        <v>35</v>
      </c>
      <c r="F69" s="2">
        <v>200</v>
      </c>
      <c r="G69" s="2" t="s">
        <v>9</v>
      </c>
      <c r="H69" s="28">
        <v>642.68328820100896</v>
      </c>
      <c r="I69" s="2"/>
      <c r="J69" s="2">
        <f>5*60+13.72</f>
        <v>313.72000000000003</v>
      </c>
    </row>
    <row r="70" spans="2:12" x14ac:dyDescent="0.35">
      <c r="B70" s="41" t="s">
        <v>18</v>
      </c>
      <c r="C70" s="2"/>
      <c r="D70" s="2"/>
      <c r="E70" s="43">
        <v>25</v>
      </c>
      <c r="F70" s="43">
        <v>100</v>
      </c>
      <c r="G70" s="44" t="s">
        <v>9</v>
      </c>
      <c r="H70" s="28">
        <v>642.65825516787504</v>
      </c>
      <c r="I70" s="2"/>
      <c r="J70" s="2">
        <f>5*60+38.17</f>
        <v>338.17</v>
      </c>
      <c r="L70" t="s">
        <v>28</v>
      </c>
    </row>
    <row r="72" spans="2:12" ht="15" thickBot="1" x14ac:dyDescent="0.4"/>
    <row r="73" spans="2:12" x14ac:dyDescent="0.35">
      <c r="B73" s="8" t="s">
        <v>15</v>
      </c>
      <c r="C73" s="9">
        <v>10</v>
      </c>
      <c r="D73" s="9"/>
      <c r="E73" s="9"/>
      <c r="F73" s="9"/>
      <c r="G73" s="9" t="s">
        <v>9</v>
      </c>
      <c r="H73" s="10">
        <v>1627.2112119826199</v>
      </c>
      <c r="I73" s="10"/>
      <c r="J73" s="11">
        <f>60+18.43</f>
        <v>78.430000000000007</v>
      </c>
    </row>
    <row r="74" spans="2:12" x14ac:dyDescent="0.35">
      <c r="B74" s="12" t="s">
        <v>15</v>
      </c>
      <c r="C74" s="2">
        <v>20</v>
      </c>
      <c r="D74" s="2"/>
      <c r="E74" s="2"/>
      <c r="F74" s="2"/>
      <c r="G74" s="2" t="s">
        <v>9</v>
      </c>
      <c r="H74" s="3">
        <v>270.86726147910599</v>
      </c>
      <c r="I74" s="3"/>
      <c r="J74" s="13">
        <f>4*60+16</f>
        <v>256</v>
      </c>
    </row>
    <row r="75" spans="2:12" x14ac:dyDescent="0.35">
      <c r="B75" s="12" t="s">
        <v>15</v>
      </c>
      <c r="C75" s="2">
        <v>40</v>
      </c>
      <c r="D75" s="2"/>
      <c r="E75" s="2"/>
      <c r="F75" s="2"/>
      <c r="G75" s="2" t="s">
        <v>9</v>
      </c>
      <c r="H75" s="3">
        <v>80.891270066865701</v>
      </c>
      <c r="I75" s="3"/>
      <c r="J75" s="13">
        <f>6*60+32.9</f>
        <v>392.9</v>
      </c>
    </row>
    <row r="76" spans="2:12" ht="15" thickBot="1" x14ac:dyDescent="0.4">
      <c r="B76" s="15" t="s">
        <v>15</v>
      </c>
      <c r="C76" s="6">
        <v>60</v>
      </c>
      <c r="D76" s="6"/>
      <c r="E76" s="6"/>
      <c r="F76" s="6"/>
      <c r="G76" s="6" t="s">
        <v>9</v>
      </c>
      <c r="H76" s="14">
        <v>80.891270066865701</v>
      </c>
      <c r="I76" s="14"/>
      <c r="J76" s="27">
        <f>8*60+48.35</f>
        <v>528.35</v>
      </c>
    </row>
  </sheetData>
  <mergeCells count="18">
    <mergeCell ref="B61:B62"/>
    <mergeCell ref="C61:F61"/>
    <mergeCell ref="G61:G62"/>
    <mergeCell ref="H61:H62"/>
    <mergeCell ref="I61:I62"/>
    <mergeCell ref="J61:J62"/>
    <mergeCell ref="J46:J47"/>
    <mergeCell ref="C2:F2"/>
    <mergeCell ref="B2:B3"/>
    <mergeCell ref="G2:G3"/>
    <mergeCell ref="H2:H3"/>
    <mergeCell ref="J2:J3"/>
    <mergeCell ref="I2:I3"/>
    <mergeCell ref="B46:B47"/>
    <mergeCell ref="C46:F46"/>
    <mergeCell ref="G46:G47"/>
    <mergeCell ref="H46:H47"/>
    <mergeCell ref="I46:I4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María Fernanda Folch Díaz</cp:lastModifiedBy>
  <dcterms:created xsi:type="dcterms:W3CDTF">2015-06-05T18:19:34Z</dcterms:created>
  <dcterms:modified xsi:type="dcterms:W3CDTF">2026-03-16T20:37:29Z</dcterms:modified>
</cp:coreProperties>
</file>