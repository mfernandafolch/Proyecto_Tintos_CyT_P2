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D4E43BD0-5E90-4E7E-8DBE-0825B8D1F991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</sheets>
  <definedNames>
    <definedName name="_xlnm._FilterDatabase" localSheetId="2" hidden="1">'Pruebas PSO'!$A$2:$X$40</definedName>
    <definedName name="_xlnm._FilterDatabase" localSheetId="4" hidden="1">'Pruebas variedades'!$A$1:$AA$1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5" l="1"/>
  <c r="K12" i="5"/>
  <c r="L12" i="5" s="1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2" i="5"/>
  <c r="K2" i="5"/>
  <c r="L4" i="5"/>
  <c r="K4" i="5"/>
  <c r="K3" i="5"/>
  <c r="L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<sst xmlns="http://schemas.openxmlformats.org/spreadsheetml/2006/main" count="650" uniqueCount="126">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</sst>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 vertical="center" wrapText="1"/>
    </xf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0" fontId="1" fillId="4" borderId="0" xfId="0" applyFont="1" applyFill="1" applyAlignment="1">
      <alignment horizontal="center" vertical="center"/>
    </xf>
    <xf numFmtId="9" fontId="0" fillId="0" borderId="1" xfId="0" applyNumberFormat="1" applyBorder="1"/>
    <xf numFmtId="0" fontId="0" fillId="0" borderId="1" xfId="0" applyFill="1" applyBorder="1"/>
    <xf numFmtId="0" fontId="8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06" t="s">
        <v>1</v>
      </c>
      <c r="C2" s="205" t="s">
        <v>2</v>
      </c>
      <c r="D2" s="205"/>
      <c r="E2" s="205"/>
      <c r="F2" s="205"/>
      <c r="G2" s="208" t="s">
        <v>12</v>
      </c>
      <c r="H2" s="208" t="s">
        <v>9</v>
      </c>
      <c r="I2" s="208" t="s">
        <v>10</v>
      </c>
      <c r="J2" s="203" t="s">
        <v>6</v>
      </c>
      <c r="L2" t="s">
        <v>14</v>
      </c>
    </row>
    <row r="3" spans="1:12" ht="15" thickBot="1" x14ac:dyDescent="0.35">
      <c r="B3" s="207"/>
      <c r="C3" s="16" t="s">
        <v>3</v>
      </c>
      <c r="D3" s="16" t="s">
        <v>4</v>
      </c>
      <c r="E3" s="7" t="s">
        <v>30</v>
      </c>
      <c r="F3" s="7" t="s">
        <v>29</v>
      </c>
      <c r="G3" s="209"/>
      <c r="H3" s="209"/>
      <c r="I3" s="209"/>
      <c r="J3" s="210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06" t="s">
        <v>1</v>
      </c>
      <c r="C71" s="205" t="s">
        <v>2</v>
      </c>
      <c r="D71" s="205"/>
      <c r="E71" s="205"/>
      <c r="F71" s="205"/>
      <c r="G71" s="208" t="s">
        <v>12</v>
      </c>
      <c r="H71" s="208" t="s">
        <v>9</v>
      </c>
      <c r="I71" s="208" t="s">
        <v>10</v>
      </c>
      <c r="J71" s="203" t="s">
        <v>6</v>
      </c>
    </row>
    <row r="72" spans="1:12" ht="15" thickBot="1" x14ac:dyDescent="0.35">
      <c r="B72" s="211"/>
      <c r="C72" s="7" t="s">
        <v>3</v>
      </c>
      <c r="D72" s="7" t="s">
        <v>4</v>
      </c>
      <c r="E72" s="7" t="s">
        <v>30</v>
      </c>
      <c r="F72" s="7" t="s">
        <v>29</v>
      </c>
      <c r="G72" s="212"/>
      <c r="H72" s="212"/>
      <c r="I72" s="212"/>
      <c r="J72" s="204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opLeftCell="A14"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14" t="s">
        <v>1</v>
      </c>
      <c r="C2" s="215" t="s">
        <v>2</v>
      </c>
      <c r="D2" s="215"/>
      <c r="E2" s="215"/>
      <c r="F2" s="215"/>
      <c r="G2" s="214" t="s">
        <v>9</v>
      </c>
      <c r="H2" s="214" t="s">
        <v>6</v>
      </c>
      <c r="I2" s="214" t="s">
        <v>34</v>
      </c>
      <c r="N2" s="214" t="s">
        <v>40</v>
      </c>
      <c r="O2" s="220" t="s">
        <v>1</v>
      </c>
      <c r="P2" s="217" t="s">
        <v>2</v>
      </c>
      <c r="Q2" s="218"/>
      <c r="R2" s="218"/>
      <c r="S2" s="219"/>
      <c r="T2" s="212" t="s">
        <v>9</v>
      </c>
      <c r="U2" s="212" t="s">
        <v>6</v>
      </c>
      <c r="V2" s="212" t="s">
        <v>34</v>
      </c>
    </row>
    <row r="3" spans="1:23" x14ac:dyDescent="0.3">
      <c r="B3" s="214"/>
      <c r="C3" s="50" t="s">
        <v>3</v>
      </c>
      <c r="D3" s="50" t="s">
        <v>4</v>
      </c>
      <c r="E3" s="50" t="s">
        <v>30</v>
      </c>
      <c r="F3" s="50" t="s">
        <v>29</v>
      </c>
      <c r="G3" s="214"/>
      <c r="H3" s="214"/>
      <c r="I3" s="214"/>
      <c r="N3" s="214"/>
      <c r="O3" s="220"/>
      <c r="P3" s="50" t="s">
        <v>3</v>
      </c>
      <c r="Q3" s="50" t="s">
        <v>4</v>
      </c>
      <c r="R3" s="50" t="s">
        <v>30</v>
      </c>
      <c r="S3" s="50" t="s">
        <v>29</v>
      </c>
      <c r="T3" s="216"/>
      <c r="U3" s="216"/>
      <c r="V3" s="216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14" t="s">
        <v>1</v>
      </c>
      <c r="C21" s="215" t="s">
        <v>2</v>
      </c>
      <c r="D21" s="215"/>
      <c r="E21" s="215"/>
      <c r="F21" s="215"/>
      <c r="G21" s="214" t="s">
        <v>9</v>
      </c>
      <c r="H21" s="214" t="s">
        <v>6</v>
      </c>
      <c r="I21" s="214" t="s">
        <v>34</v>
      </c>
    </row>
    <row r="22" spans="1:11" x14ac:dyDescent="0.3">
      <c r="B22" s="214"/>
      <c r="C22" s="50" t="s">
        <v>3</v>
      </c>
      <c r="D22" s="50" t="s">
        <v>4</v>
      </c>
      <c r="E22" s="50" t="s">
        <v>30</v>
      </c>
      <c r="F22" s="50" t="s">
        <v>29</v>
      </c>
      <c r="G22" s="214"/>
      <c r="H22" s="214"/>
      <c r="I22" s="214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14" t="s">
        <v>1</v>
      </c>
      <c r="C40" s="215" t="s">
        <v>2</v>
      </c>
      <c r="D40" s="215"/>
      <c r="E40" s="215"/>
      <c r="F40" s="215"/>
      <c r="G40" s="214" t="s">
        <v>9</v>
      </c>
      <c r="H40" s="214" t="s">
        <v>6</v>
      </c>
      <c r="I40" s="214" t="s">
        <v>34</v>
      </c>
      <c r="J40" s="213"/>
    </row>
    <row r="41" spans="1:11" x14ac:dyDescent="0.3">
      <c r="B41" s="214"/>
      <c r="C41" s="50" t="s">
        <v>3</v>
      </c>
      <c r="D41" s="50" t="s">
        <v>4</v>
      </c>
      <c r="E41" s="50" t="s">
        <v>30</v>
      </c>
      <c r="F41" s="50" t="s">
        <v>29</v>
      </c>
      <c r="G41" s="214"/>
      <c r="H41" s="214"/>
      <c r="I41" s="214"/>
      <c r="J41" s="213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V2:V3"/>
    <mergeCell ref="U2:U3"/>
    <mergeCell ref="T2:T3"/>
    <mergeCell ref="P2:S2"/>
    <mergeCell ref="N2:N3"/>
    <mergeCell ref="O2:O3"/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topLeftCell="A36"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21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22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21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23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21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24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22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25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B22"/>
  <sheetViews>
    <sheetView tabSelected="1" topLeftCell="L1" workbookViewId="0">
      <selection activeCell="V22" sqref="V22"/>
    </sheetView>
  </sheetViews>
  <sheetFormatPr baseColWidth="10" defaultRowHeight="14.4" x14ac:dyDescent="0.3"/>
  <cols>
    <col min="1" max="1" width="43.88671875" bestFit="1" customWidth="1"/>
    <col min="3" max="3" width="17.21875" bestFit="1" customWidth="1"/>
  </cols>
  <sheetData>
    <row r="1" spans="1:28" ht="28.8" x14ac:dyDescent="0.3">
      <c r="A1" s="177" t="s">
        <v>40</v>
      </c>
      <c r="B1" s="177" t="s">
        <v>45</v>
      </c>
      <c r="C1" s="226" t="s">
        <v>109</v>
      </c>
      <c r="D1" s="178" t="s">
        <v>47</v>
      </c>
      <c r="E1" s="178" t="s">
        <v>46</v>
      </c>
      <c r="F1" s="178" t="s">
        <v>48</v>
      </c>
      <c r="G1" s="178" t="s">
        <v>49</v>
      </c>
      <c r="H1" s="178" t="s">
        <v>50</v>
      </c>
      <c r="I1" s="177" t="s">
        <v>104</v>
      </c>
      <c r="J1" s="177" t="s">
        <v>9</v>
      </c>
      <c r="K1" s="177" t="s">
        <v>6</v>
      </c>
      <c r="L1" s="177" t="s">
        <v>34</v>
      </c>
      <c r="M1" s="177" t="s">
        <v>113</v>
      </c>
      <c r="N1" s="179" t="s">
        <v>52</v>
      </c>
      <c r="O1" s="179" t="s">
        <v>53</v>
      </c>
      <c r="P1" s="179" t="s">
        <v>54</v>
      </c>
      <c r="Q1" s="180" t="s">
        <v>55</v>
      </c>
      <c r="R1" s="180" t="s">
        <v>56</v>
      </c>
      <c r="S1" s="180" t="s">
        <v>57</v>
      </c>
      <c r="T1" s="180" t="s">
        <v>58</v>
      </c>
      <c r="U1" s="180" t="s">
        <v>59</v>
      </c>
      <c r="V1" s="180" t="s">
        <v>60</v>
      </c>
      <c r="W1" s="179" t="s">
        <v>61</v>
      </c>
      <c r="X1" s="179" t="s">
        <v>65</v>
      </c>
      <c r="Y1" s="181" t="s">
        <v>62</v>
      </c>
      <c r="Z1" s="179" t="s">
        <v>63</v>
      </c>
      <c r="AA1" s="179" t="s">
        <v>64</v>
      </c>
    </row>
    <row r="2" spans="1:28" x14ac:dyDescent="0.3">
      <c r="A2" s="2" t="s">
        <v>112</v>
      </c>
      <c r="B2" s="2" t="s">
        <v>70</v>
      </c>
      <c r="C2" s="2" t="s">
        <v>110</v>
      </c>
      <c r="D2" s="2">
        <v>1000</v>
      </c>
      <c r="E2" s="2">
        <v>25</v>
      </c>
      <c r="F2" s="2">
        <v>1.5</v>
      </c>
      <c r="G2" s="2">
        <v>1.5</v>
      </c>
      <c r="H2" s="2">
        <v>0.7</v>
      </c>
      <c r="I2" s="227">
        <v>0.01</v>
      </c>
      <c r="J2" s="2">
        <v>9.1703383080884396E-4</v>
      </c>
      <c r="K2" s="2">
        <f>12*60+42.48</f>
        <v>762.48</v>
      </c>
      <c r="L2" s="51">
        <f>K2/60</f>
        <v>12.708</v>
      </c>
      <c r="M2" s="2">
        <v>1001</v>
      </c>
      <c r="N2" s="2">
        <v>4.94801127619185E-2</v>
      </c>
      <c r="O2" s="28">
        <v>2.8123834061945798</v>
      </c>
      <c r="P2" s="2">
        <v>0.99007892976186596</v>
      </c>
      <c r="Q2" s="64">
        <v>9.6469999999999993E-3</v>
      </c>
      <c r="R2" s="64">
        <v>8.5518540000000005</v>
      </c>
      <c r="S2" s="64">
        <v>7.1656500000000003</v>
      </c>
      <c r="T2" s="64">
        <v>44.150669999999998</v>
      </c>
      <c r="U2" s="64">
        <v>42.528283999999999</v>
      </c>
      <c r="V2" s="64">
        <v>1E-4</v>
      </c>
      <c r="W2" s="28">
        <v>6.5145360017396499</v>
      </c>
      <c r="X2" s="28">
        <v>4.8258843066456301</v>
      </c>
      <c r="Y2" s="64">
        <v>1.6426339999999999</v>
      </c>
      <c r="Z2" s="2">
        <v>0.17887038422377</v>
      </c>
      <c r="AA2" s="2">
        <v>0.96760882811171001</v>
      </c>
    </row>
    <row r="3" spans="1:28" x14ac:dyDescent="0.3">
      <c r="A3" s="2" t="s">
        <v>18</v>
      </c>
      <c r="B3" s="2" t="s">
        <v>70</v>
      </c>
      <c r="C3" s="2" t="s">
        <v>110</v>
      </c>
      <c r="D3" s="2">
        <v>1000</v>
      </c>
      <c r="E3" s="2">
        <v>25</v>
      </c>
      <c r="F3" s="2">
        <v>1.5</v>
      </c>
      <c r="G3" s="2">
        <v>1.5</v>
      </c>
      <c r="H3" s="2">
        <v>0.7</v>
      </c>
      <c r="I3" s="227">
        <v>0.01</v>
      </c>
      <c r="J3" s="2">
        <v>5.3728371690244599E-4</v>
      </c>
      <c r="K3" s="2">
        <f>3*60+57.5</f>
        <v>237.5</v>
      </c>
      <c r="L3" s="51">
        <f>K3/60</f>
        <v>3.9583333333333335</v>
      </c>
      <c r="M3" s="2">
        <v>187</v>
      </c>
      <c r="N3" s="2">
        <v>0.17572710819101101</v>
      </c>
      <c r="O3" s="2">
        <v>0.92101837173550205</v>
      </c>
      <c r="P3" s="28">
        <v>7.00299601712093</v>
      </c>
      <c r="Q3" s="64">
        <v>9.6469999999999993E-3</v>
      </c>
      <c r="R3" s="64">
        <v>8.5518540000000005</v>
      </c>
      <c r="S3" s="64">
        <v>7.1656500000000003</v>
      </c>
      <c r="T3" s="64">
        <v>44.150669999999998</v>
      </c>
      <c r="U3" s="64">
        <v>42.528283999999999</v>
      </c>
      <c r="V3" s="64">
        <v>1E-4</v>
      </c>
      <c r="W3" s="28">
        <v>1.4245541826203501</v>
      </c>
      <c r="X3" s="28">
        <v>8.4950237560708608</v>
      </c>
      <c r="Y3" s="64">
        <v>1.6426339999999999</v>
      </c>
      <c r="Z3" s="2">
        <v>0.151063418330069</v>
      </c>
      <c r="AA3" s="101">
        <v>0.80636650349953598</v>
      </c>
    </row>
    <row r="4" spans="1:28" x14ac:dyDescent="0.3">
      <c r="A4" s="2" t="s">
        <v>111</v>
      </c>
      <c r="B4" s="2" t="s">
        <v>70</v>
      </c>
      <c r="C4" s="2" t="s">
        <v>110</v>
      </c>
      <c r="D4" s="2">
        <v>1000</v>
      </c>
      <c r="E4" s="2">
        <v>25</v>
      </c>
      <c r="F4" s="2">
        <v>1.5</v>
      </c>
      <c r="G4" s="2">
        <v>1.5</v>
      </c>
      <c r="H4" s="2">
        <v>0.7</v>
      </c>
      <c r="I4" s="227">
        <v>0.01</v>
      </c>
      <c r="J4" s="2">
        <v>2.5958116203005401E-3</v>
      </c>
      <c r="K4" s="2">
        <f>60+20.57</f>
        <v>80.569999999999993</v>
      </c>
      <c r="L4" s="51">
        <f>K4/60</f>
        <v>1.3428333333333333</v>
      </c>
      <c r="M4" s="2">
        <v>160</v>
      </c>
      <c r="N4" s="2">
        <v>7.1635567882672502E-2</v>
      </c>
      <c r="O4" s="2">
        <v>0.336854386443387</v>
      </c>
      <c r="P4" s="28">
        <v>9.9287094723392109</v>
      </c>
      <c r="Q4" s="64">
        <v>9.6469999999999993E-3</v>
      </c>
      <c r="R4" s="64">
        <v>8.5518540000000005</v>
      </c>
      <c r="S4" s="64">
        <v>7.1656500000000003</v>
      </c>
      <c r="T4" s="64">
        <v>44.150669999999998</v>
      </c>
      <c r="U4" s="64">
        <v>42.528283999999999</v>
      </c>
      <c r="V4" s="64">
        <v>1E-4</v>
      </c>
      <c r="W4" s="28">
        <v>2.53053621555713</v>
      </c>
      <c r="X4" s="28">
        <v>5.1700245636405597</v>
      </c>
      <c r="Y4" s="64">
        <v>1.6426339999999999</v>
      </c>
      <c r="Z4" s="2">
        <v>0.10430418240273399</v>
      </c>
      <c r="AA4" s="2">
        <v>0.57638438653270396</v>
      </c>
      <c r="AB4" t="s">
        <v>114</v>
      </c>
    </row>
    <row r="5" spans="1:28" x14ac:dyDescent="0.3">
      <c r="A5" s="2" t="s">
        <v>115</v>
      </c>
      <c r="B5" s="2" t="s">
        <v>70</v>
      </c>
      <c r="C5" s="2" t="s">
        <v>110</v>
      </c>
      <c r="D5" s="2">
        <v>1000</v>
      </c>
      <c r="E5" s="2">
        <v>25</v>
      </c>
      <c r="F5" s="2">
        <v>1.5</v>
      </c>
      <c r="G5" s="2">
        <v>1.5</v>
      </c>
      <c r="H5" s="2">
        <v>0.7</v>
      </c>
      <c r="I5" s="227">
        <v>0.01</v>
      </c>
      <c r="J5" s="2">
        <v>1.28824834718083E-3</v>
      </c>
      <c r="K5" s="2">
        <f>60+59.04</f>
        <v>119.03999999999999</v>
      </c>
      <c r="L5" s="51">
        <f>K5/60</f>
        <v>1.9839999999999998</v>
      </c>
      <c r="M5" s="2">
        <v>212</v>
      </c>
      <c r="N5" s="2">
        <v>7.2350665902395805E-2</v>
      </c>
      <c r="O5" s="2">
        <v>1.661370709394</v>
      </c>
      <c r="P5" s="28">
        <v>5.27666352393301</v>
      </c>
      <c r="Q5" s="64">
        <v>9.6469999999999993E-3</v>
      </c>
      <c r="R5" s="64">
        <v>8.5518540000000005</v>
      </c>
      <c r="S5" s="64">
        <v>7.1656500000000003</v>
      </c>
      <c r="T5" s="64">
        <v>44.150669999999998</v>
      </c>
      <c r="U5" s="64">
        <v>42.528283999999999</v>
      </c>
      <c r="V5" s="64">
        <v>1E-4</v>
      </c>
      <c r="W5" s="28">
        <v>3.56670862546062</v>
      </c>
      <c r="X5" s="28">
        <v>7.4683228372815602</v>
      </c>
      <c r="Y5" s="64">
        <v>1.6426339999999999</v>
      </c>
      <c r="Z5" s="2">
        <v>0.99391512324229703</v>
      </c>
      <c r="AA5" s="2">
        <v>0.25184995954331102</v>
      </c>
    </row>
    <row r="6" spans="1:28" x14ac:dyDescent="0.3">
      <c r="A6" s="2" t="s">
        <v>117</v>
      </c>
      <c r="B6" s="2" t="s">
        <v>70</v>
      </c>
      <c r="C6" s="228" t="s">
        <v>116</v>
      </c>
      <c r="D6" s="2">
        <v>1000</v>
      </c>
      <c r="E6" s="2">
        <v>25</v>
      </c>
      <c r="F6" s="2">
        <v>1.5</v>
      </c>
      <c r="G6" s="2">
        <v>1.5</v>
      </c>
      <c r="H6" s="2">
        <v>0.7</v>
      </c>
      <c r="I6" s="227">
        <v>0.01</v>
      </c>
      <c r="J6" s="2">
        <v>5.45242703721959E-4</v>
      </c>
      <c r="K6" s="2">
        <f>4*60+3.21</f>
        <v>243.21</v>
      </c>
      <c r="L6" s="51">
        <f>K6/60</f>
        <v>4.0535000000000005</v>
      </c>
      <c r="M6" s="2">
        <v>308</v>
      </c>
      <c r="N6" s="2">
        <v>9.2688582178426501E-2</v>
      </c>
      <c r="O6" s="2">
        <v>0.82698514617913099</v>
      </c>
      <c r="P6" s="28">
        <v>3.3130029661054099</v>
      </c>
      <c r="Q6" s="64">
        <v>9.6469999999999993E-3</v>
      </c>
      <c r="R6" s="64">
        <v>8.5518540000000005</v>
      </c>
      <c r="S6" s="64">
        <v>7.1656500000000003</v>
      </c>
      <c r="T6" s="64">
        <v>44.150669999999998</v>
      </c>
      <c r="U6" s="64">
        <v>42.528283999999999</v>
      </c>
      <c r="V6" s="64">
        <v>1E-4</v>
      </c>
      <c r="W6" s="28">
        <v>3.1433656080569699</v>
      </c>
      <c r="X6" s="28">
        <v>9.3510696982053094</v>
      </c>
      <c r="Y6" s="64">
        <v>1.6426339999999999</v>
      </c>
      <c r="Z6" s="2">
        <v>0.215128011883576</v>
      </c>
      <c r="AA6" s="2">
        <v>0.58559062847041299</v>
      </c>
      <c r="AB6" t="s">
        <v>92</v>
      </c>
    </row>
    <row r="7" spans="1:28" x14ac:dyDescent="0.3">
      <c r="A7" s="2" t="s">
        <v>118</v>
      </c>
      <c r="B7" s="2" t="s">
        <v>70</v>
      </c>
      <c r="C7" s="228" t="s">
        <v>116</v>
      </c>
      <c r="D7" s="2">
        <v>1000</v>
      </c>
      <c r="E7" s="2">
        <v>25</v>
      </c>
      <c r="F7" s="2">
        <v>1.5</v>
      </c>
      <c r="G7" s="2">
        <v>1.5</v>
      </c>
      <c r="H7" s="2">
        <v>0.7</v>
      </c>
      <c r="I7" s="227">
        <v>0.01</v>
      </c>
      <c r="J7" s="2">
        <v>5.1794160110028799E-4</v>
      </c>
      <c r="K7" s="2">
        <f>2*60+31.04</f>
        <v>151.04</v>
      </c>
      <c r="L7" s="51">
        <f>K7/60</f>
        <v>2.5173333333333332</v>
      </c>
      <c r="M7" s="2">
        <v>136</v>
      </c>
      <c r="N7" s="2">
        <v>0.184225106052644</v>
      </c>
      <c r="O7" s="28">
        <v>2.9503726109964701</v>
      </c>
      <c r="P7" s="28">
        <v>2.0427886845833201</v>
      </c>
      <c r="Q7" s="64">
        <v>9.6469999999999993E-3</v>
      </c>
      <c r="R7" s="64">
        <v>8.5518540000000005</v>
      </c>
      <c r="S7" s="64">
        <v>7.1656500000000003</v>
      </c>
      <c r="T7" s="64">
        <v>44.150669999999998</v>
      </c>
      <c r="U7" s="64">
        <v>42.528283999999999</v>
      </c>
      <c r="V7" s="64">
        <v>1E-4</v>
      </c>
      <c r="W7" s="28">
        <v>4.4918699630599797</v>
      </c>
      <c r="X7" s="28">
        <v>6.9729048484649603</v>
      </c>
      <c r="Y7" s="64">
        <v>1.6426339999999999</v>
      </c>
      <c r="Z7" s="2">
        <v>0.40447641067149598</v>
      </c>
      <c r="AA7" s="2">
        <v>0.37700283178585597</v>
      </c>
    </row>
    <row r="8" spans="1:28" x14ac:dyDescent="0.3">
      <c r="A8" s="2" t="s">
        <v>119</v>
      </c>
      <c r="B8" s="2" t="s">
        <v>70</v>
      </c>
      <c r="C8" s="228" t="s">
        <v>116</v>
      </c>
      <c r="D8" s="2">
        <v>1000</v>
      </c>
      <c r="E8" s="2">
        <v>25</v>
      </c>
      <c r="F8" s="2">
        <v>1.5</v>
      </c>
      <c r="G8" s="2">
        <v>1.5</v>
      </c>
      <c r="H8" s="2">
        <v>0.7</v>
      </c>
      <c r="I8" s="227">
        <v>0.01</v>
      </c>
      <c r="J8" s="2">
        <v>2.6807562214175599E-3</v>
      </c>
      <c r="K8" s="2">
        <f>14*60+48.75</f>
        <v>888.75</v>
      </c>
      <c r="L8" s="51">
        <f>K8/60</f>
        <v>14.8125</v>
      </c>
      <c r="M8" s="2">
        <v>82</v>
      </c>
      <c r="N8" s="2">
        <v>9.2611654619837794E-2</v>
      </c>
      <c r="O8" s="28">
        <v>2.3968675731176798</v>
      </c>
      <c r="P8" s="28">
        <v>1.02819811558411</v>
      </c>
      <c r="Q8" s="64">
        <v>9.6469999999999993E-3</v>
      </c>
      <c r="R8" s="64">
        <v>8.5518540000000005</v>
      </c>
      <c r="S8" s="64">
        <v>7.1656500000000003</v>
      </c>
      <c r="T8" s="64">
        <v>44.150669999999998</v>
      </c>
      <c r="U8" s="64">
        <v>42.528283999999999</v>
      </c>
      <c r="V8" s="64">
        <v>1E-4</v>
      </c>
      <c r="W8" s="28">
        <v>5.9702543904673604</v>
      </c>
      <c r="X8" s="28">
        <v>4.5947725392950103</v>
      </c>
      <c r="Y8" s="64">
        <v>1.6426339999999999</v>
      </c>
      <c r="Z8" s="101">
        <v>0.356330797947227</v>
      </c>
      <c r="AA8" s="2">
        <v>0.64854762525253196</v>
      </c>
    </row>
    <row r="9" spans="1:28" x14ac:dyDescent="0.3">
      <c r="A9" s="2" t="s">
        <v>120</v>
      </c>
      <c r="B9" s="2" t="s">
        <v>70</v>
      </c>
      <c r="C9" s="228" t="s">
        <v>116</v>
      </c>
      <c r="D9" s="2">
        <v>1000</v>
      </c>
      <c r="E9" s="2">
        <v>25</v>
      </c>
      <c r="F9" s="2">
        <v>1.5</v>
      </c>
      <c r="G9" s="2">
        <v>1.5</v>
      </c>
      <c r="H9" s="2">
        <v>0.7</v>
      </c>
      <c r="I9" s="227">
        <v>0.01</v>
      </c>
      <c r="J9" s="101">
        <v>2.0583968975858001E-3</v>
      </c>
      <c r="K9" s="2">
        <f>2*60+32.66</f>
        <v>152.66</v>
      </c>
      <c r="L9" s="51">
        <f>K9/60</f>
        <v>2.5443333333333333</v>
      </c>
      <c r="M9" s="2">
        <v>279</v>
      </c>
      <c r="N9" s="101">
        <v>8.8806501677895E-2</v>
      </c>
      <c r="O9" s="28">
        <v>3.3523979079684798</v>
      </c>
      <c r="P9" s="28">
        <v>3.38237645491412</v>
      </c>
      <c r="Q9" s="64">
        <v>9.6469999999999993E-3</v>
      </c>
      <c r="R9" s="64">
        <v>8.5518540000000005</v>
      </c>
      <c r="S9" s="64">
        <v>7.1656500000000003</v>
      </c>
      <c r="T9" s="64">
        <v>44.150669999999998</v>
      </c>
      <c r="U9" s="64">
        <v>42.528283999999999</v>
      </c>
      <c r="V9" s="64">
        <v>1E-4</v>
      </c>
      <c r="W9" s="28">
        <v>4.6632521409408598</v>
      </c>
      <c r="X9" s="28">
        <v>3.37161231449543</v>
      </c>
      <c r="Y9" s="64">
        <v>1.6426339999999999</v>
      </c>
      <c r="Z9" s="2">
        <v>0.93668432182181804</v>
      </c>
      <c r="AA9" s="2">
        <v>0.22641692257075399</v>
      </c>
    </row>
    <row r="10" spans="1:28" x14ac:dyDescent="0.3">
      <c r="A10" s="2" t="s">
        <v>121</v>
      </c>
      <c r="B10" s="2" t="s">
        <v>70</v>
      </c>
      <c r="C10" s="228" t="s">
        <v>122</v>
      </c>
      <c r="D10" s="2">
        <v>1000</v>
      </c>
      <c r="E10" s="2">
        <v>25</v>
      </c>
      <c r="F10" s="2">
        <v>1.5</v>
      </c>
      <c r="G10" s="2">
        <v>1.5</v>
      </c>
      <c r="H10" s="2">
        <v>0.7</v>
      </c>
      <c r="I10" s="227">
        <v>0.01</v>
      </c>
      <c r="J10" s="101">
        <v>1.0803960696777501E-3</v>
      </c>
      <c r="K10" s="2">
        <f>2*60+6.49</f>
        <v>126.49</v>
      </c>
      <c r="L10" s="51">
        <f>K10/60</f>
        <v>2.1081666666666665</v>
      </c>
      <c r="M10" s="2">
        <v>305</v>
      </c>
      <c r="N10" s="101">
        <v>2.8278903668067599E-2</v>
      </c>
      <c r="O10" s="28">
        <v>2.38404996610933</v>
      </c>
      <c r="P10" s="28">
        <v>4.4014286023129197</v>
      </c>
      <c r="Q10" s="64">
        <v>9.6469999999999993E-3</v>
      </c>
      <c r="R10" s="64">
        <v>8.5518540000000005</v>
      </c>
      <c r="S10" s="64">
        <v>7.1656500000000003</v>
      </c>
      <c r="T10" s="64">
        <v>44.150669999999998</v>
      </c>
      <c r="U10" s="64">
        <v>42.528283999999999</v>
      </c>
      <c r="V10" s="64">
        <v>1E-4</v>
      </c>
      <c r="W10" s="28">
        <v>1.8014323415062901</v>
      </c>
      <c r="X10" s="28">
        <v>4.5414411133846002</v>
      </c>
      <c r="Y10" s="64">
        <v>1.6426339999999999</v>
      </c>
      <c r="Z10" s="2">
        <v>0.51124238628788099</v>
      </c>
      <c r="AA10" s="2">
        <v>0.29495795253380303</v>
      </c>
    </row>
    <row r="11" spans="1:28" x14ac:dyDescent="0.3">
      <c r="A11" s="2" t="s">
        <v>123</v>
      </c>
      <c r="B11" s="2" t="s">
        <v>70</v>
      </c>
      <c r="C11" s="228" t="s">
        <v>122</v>
      </c>
      <c r="D11" s="2">
        <v>1000</v>
      </c>
      <c r="E11" s="2">
        <v>25</v>
      </c>
      <c r="F11" s="2">
        <v>1.5</v>
      </c>
      <c r="G11" s="2">
        <v>1.5</v>
      </c>
      <c r="H11" s="2">
        <v>0.7</v>
      </c>
      <c r="I11" s="227">
        <v>0.01</v>
      </c>
      <c r="J11" s="2">
        <v>4.3972553486052698E-4</v>
      </c>
      <c r="K11" s="2">
        <f>60+40.41</f>
        <v>100.41</v>
      </c>
      <c r="L11" s="51">
        <f t="shared" ref="L11:L13" si="0">K11/60</f>
        <v>1.6735</v>
      </c>
      <c r="M11" s="2">
        <v>128</v>
      </c>
      <c r="N11" s="2">
        <v>9.22037845501157E-2</v>
      </c>
      <c r="O11" s="28">
        <v>2.6433716459905501</v>
      </c>
      <c r="P11" s="101">
        <v>0.66858669961273698</v>
      </c>
      <c r="Q11" s="64">
        <v>9.6469999999999993E-3</v>
      </c>
      <c r="R11" s="64">
        <v>8.5518540000000005</v>
      </c>
      <c r="S11" s="64">
        <v>7.1656500000000003</v>
      </c>
      <c r="T11" s="64">
        <v>44.150669999999998</v>
      </c>
      <c r="U11" s="64">
        <v>42.528283999999999</v>
      </c>
      <c r="V11" s="64">
        <v>1E-4</v>
      </c>
      <c r="W11" s="28">
        <v>4.1989298495253999</v>
      </c>
      <c r="X11" s="28">
        <v>6.0398716017856096</v>
      </c>
      <c r="Y11" s="64">
        <v>1.6426339999999999</v>
      </c>
      <c r="Z11" s="2">
        <v>0.51999971548750701</v>
      </c>
      <c r="AA11" s="2">
        <v>0.164395651736431</v>
      </c>
    </row>
    <row r="12" spans="1:28" x14ac:dyDescent="0.3">
      <c r="A12" s="2" t="s">
        <v>124</v>
      </c>
      <c r="B12" s="2" t="s">
        <v>70</v>
      </c>
      <c r="C12" s="228" t="s">
        <v>122</v>
      </c>
      <c r="D12" s="2">
        <v>1000</v>
      </c>
      <c r="E12" s="2">
        <v>25</v>
      </c>
      <c r="F12" s="2">
        <v>1.5</v>
      </c>
      <c r="G12" s="2">
        <v>1.5</v>
      </c>
      <c r="H12" s="2">
        <v>0.7</v>
      </c>
      <c r="I12" s="227">
        <v>0.01</v>
      </c>
      <c r="J12" s="2">
        <v>1.24854757679294E-3</v>
      </c>
      <c r="K12" s="2">
        <f>60+2.87</f>
        <v>62.87</v>
      </c>
      <c r="L12" s="51">
        <f t="shared" si="0"/>
        <v>1.0478333333333334</v>
      </c>
      <c r="M12" s="2">
        <v>131</v>
      </c>
      <c r="N12" s="2">
        <v>2.96311889904202E-2</v>
      </c>
      <c r="O12" s="28">
        <v>1.14071996123754</v>
      </c>
      <c r="P12" s="28">
        <v>9.9999999999877502</v>
      </c>
      <c r="Q12" s="64">
        <v>9.6469999999999993E-3</v>
      </c>
      <c r="R12" s="64">
        <v>8.5518540000000005</v>
      </c>
      <c r="S12" s="64">
        <v>7.1656500000000003</v>
      </c>
      <c r="T12" s="64">
        <v>44.150669999999998</v>
      </c>
      <c r="U12" s="64">
        <v>42.528283999999999</v>
      </c>
      <c r="V12" s="64">
        <v>1E-4</v>
      </c>
      <c r="W12" s="2">
        <v>0.96881493251810902</v>
      </c>
      <c r="X12" s="28">
        <v>8.9496248051770806</v>
      </c>
      <c r="Y12" s="64">
        <v>1.6426339999999999</v>
      </c>
      <c r="Z12" s="2">
        <v>0.10000481200891199</v>
      </c>
      <c r="AA12" s="2">
        <v>0.80615988242499903</v>
      </c>
    </row>
    <row r="13" spans="1:28" x14ac:dyDescent="0.3">
      <c r="A13" s="2" t="s">
        <v>125</v>
      </c>
      <c r="B13" s="2" t="s">
        <v>70</v>
      </c>
      <c r="C13" s="228" t="s">
        <v>122</v>
      </c>
      <c r="D13" s="2">
        <v>1000</v>
      </c>
      <c r="E13" s="2">
        <v>25</v>
      </c>
      <c r="F13" s="2">
        <v>1.5</v>
      </c>
      <c r="G13" s="2">
        <v>1.5</v>
      </c>
      <c r="H13" s="2">
        <v>0.7</v>
      </c>
      <c r="I13" s="227">
        <v>0.01</v>
      </c>
      <c r="J13" s="2">
        <v>3.2809640951366801E-3</v>
      </c>
      <c r="K13" s="2">
        <v>42</v>
      </c>
      <c r="L13" s="51">
        <f t="shared" si="0"/>
        <v>0.7</v>
      </c>
      <c r="M13" s="2">
        <v>75</v>
      </c>
      <c r="N13" s="101">
        <v>4.0822695083438602E-2</v>
      </c>
      <c r="O13" s="28">
        <v>3.9857931809526601</v>
      </c>
      <c r="P13" s="28">
        <v>5.4224424779974996</v>
      </c>
      <c r="Q13" s="64">
        <v>9.6469999999999993E-3</v>
      </c>
      <c r="R13" s="64">
        <v>8.5518540000000005</v>
      </c>
      <c r="S13" s="64">
        <v>7.1656500000000003</v>
      </c>
      <c r="T13" s="64">
        <v>44.150669999999998</v>
      </c>
      <c r="U13" s="64">
        <v>42.528283999999999</v>
      </c>
      <c r="V13" s="64">
        <v>1E-4</v>
      </c>
      <c r="W13" s="2">
        <v>0.11828668451781101</v>
      </c>
      <c r="X13" s="28">
        <v>6.1500927633445803</v>
      </c>
      <c r="Y13" s="64">
        <v>1.6426339999999999</v>
      </c>
      <c r="Z13" s="101">
        <v>0.24508389712613601</v>
      </c>
      <c r="AA13" s="2">
        <v>0.71906850575006298</v>
      </c>
    </row>
    <row r="22" spans="22:22" x14ac:dyDescent="0.3">
      <c r="V22" s="229"/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Pruebas PSO</vt:lpstr>
      <vt:lpstr>Pruebas PSO termination</vt:lpstr>
      <vt:lpstr>Pruebas variedades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2026-03-30T20:01:16Z</dcterms:modified>
</cp:coreProperties>
</file>