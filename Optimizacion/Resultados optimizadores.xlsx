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p-maria_folch_conchaytoro_cl/Documents/Escritorio/Archivos/Proyecto_Tintos_CyT_P2/Optimizacion/"/>
    </mc:Choice>
  </mc:AlternateContent>
  <xr:revisionPtr revIDLastSave="5334" documentId="11_AD4D2F04E46CFB4ACB3E20395551EF76693EDF1D" xr6:coauthVersionLast="47" xr6:coauthVersionMax="47" xr10:uidLastSave="{263C1EE3-9A70-4B48-987F-B05DF6177C16}"/>
  <bookViews>
    <workbookView xWindow="-108" yWindow="-108" windowWidth="23256" windowHeight="12576" activeTab="3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</sheets>
  <definedNames>
    <definedName name="_xlnm._FilterDatabase" localSheetId="2" hidden="1">'Pruebas PSO'!$A$2:$X$40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4" l="1"/>
  <c r="K18" i="4"/>
  <c r="J18" i="4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<sst xmlns="http://schemas.openxmlformats.org/spreadsheetml/2006/main" count="579" uniqueCount="108">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</sst>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Fill="1" applyBorder="1"/>
    <xf numFmtId="0" fontId="0" fillId="0" borderId="1" xfId="0" applyFill="1" applyBorder="1"/>
    <xf numFmtId="0" fontId="0" fillId="0" borderId="6" xfId="0" applyFill="1" applyBorder="1"/>
    <xf numFmtId="0" fontId="0" fillId="0" borderId="3" xfId="0" applyFill="1" applyBorder="1"/>
    <xf numFmtId="0" fontId="0" fillId="0" borderId="8" xfId="0" applyFill="1" applyBorder="1"/>
    <xf numFmtId="9" fontId="0" fillId="3" borderId="1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06" t="s">
        <v>1</v>
      </c>
      <c r="C2" s="205" t="s">
        <v>2</v>
      </c>
      <c r="D2" s="205"/>
      <c r="E2" s="205"/>
      <c r="F2" s="205"/>
      <c r="G2" s="208" t="s">
        <v>12</v>
      </c>
      <c r="H2" s="208" t="s">
        <v>9</v>
      </c>
      <c r="I2" s="208" t="s">
        <v>10</v>
      </c>
      <c r="J2" s="203" t="s">
        <v>6</v>
      </c>
      <c r="L2" t="s">
        <v>14</v>
      </c>
    </row>
    <row r="3" spans="1:12" ht="15" thickBot="1" x14ac:dyDescent="0.35">
      <c r="B3" s="207"/>
      <c r="C3" s="16" t="s">
        <v>3</v>
      </c>
      <c r="D3" s="16" t="s">
        <v>4</v>
      </c>
      <c r="E3" s="7" t="s">
        <v>30</v>
      </c>
      <c r="F3" s="7" t="s">
        <v>29</v>
      </c>
      <c r="G3" s="209"/>
      <c r="H3" s="209"/>
      <c r="I3" s="209"/>
      <c r="J3" s="210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06" t="s">
        <v>1</v>
      </c>
      <c r="C71" s="205" t="s">
        <v>2</v>
      </c>
      <c r="D71" s="205"/>
      <c r="E71" s="205"/>
      <c r="F71" s="205"/>
      <c r="G71" s="208" t="s">
        <v>12</v>
      </c>
      <c r="H71" s="208" t="s">
        <v>9</v>
      </c>
      <c r="I71" s="208" t="s">
        <v>10</v>
      </c>
      <c r="J71" s="203" t="s">
        <v>6</v>
      </c>
    </row>
    <row r="72" spans="1:12" ht="15" thickBot="1" x14ac:dyDescent="0.35">
      <c r="B72" s="211"/>
      <c r="C72" s="7" t="s">
        <v>3</v>
      </c>
      <c r="D72" s="7" t="s">
        <v>4</v>
      </c>
      <c r="E72" s="7" t="s">
        <v>30</v>
      </c>
      <c r="F72" s="7" t="s">
        <v>29</v>
      </c>
      <c r="G72" s="212"/>
      <c r="H72" s="212"/>
      <c r="I72" s="212"/>
      <c r="J72" s="204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opLeftCell="A14" zoomScale="77" workbookViewId="0">
      <selection activeCell="Q20" sqref="Q2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17" t="s">
        <v>1</v>
      </c>
      <c r="C2" s="220" t="s">
        <v>2</v>
      </c>
      <c r="D2" s="220"/>
      <c r="E2" s="220"/>
      <c r="F2" s="220"/>
      <c r="G2" s="217" t="s">
        <v>9</v>
      </c>
      <c r="H2" s="217" t="s">
        <v>6</v>
      </c>
      <c r="I2" s="217" t="s">
        <v>34</v>
      </c>
      <c r="N2" s="217" t="s">
        <v>40</v>
      </c>
      <c r="O2" s="218" t="s">
        <v>1</v>
      </c>
      <c r="P2" s="214" t="s">
        <v>2</v>
      </c>
      <c r="Q2" s="215"/>
      <c r="R2" s="215"/>
      <c r="S2" s="216"/>
      <c r="T2" s="212" t="s">
        <v>9</v>
      </c>
      <c r="U2" s="212" t="s">
        <v>6</v>
      </c>
      <c r="V2" s="212" t="s">
        <v>34</v>
      </c>
    </row>
    <row r="3" spans="1:23" x14ac:dyDescent="0.3">
      <c r="B3" s="217"/>
      <c r="C3" s="50" t="s">
        <v>3</v>
      </c>
      <c r="D3" s="50" t="s">
        <v>4</v>
      </c>
      <c r="E3" s="50" t="s">
        <v>30</v>
      </c>
      <c r="F3" s="50" t="s">
        <v>29</v>
      </c>
      <c r="G3" s="217"/>
      <c r="H3" s="217"/>
      <c r="I3" s="217"/>
      <c r="N3" s="217"/>
      <c r="O3" s="218"/>
      <c r="P3" s="50" t="s">
        <v>3</v>
      </c>
      <c r="Q3" s="50" t="s">
        <v>4</v>
      </c>
      <c r="R3" s="50" t="s">
        <v>30</v>
      </c>
      <c r="S3" s="50" t="s">
        <v>29</v>
      </c>
      <c r="T3" s="213"/>
      <c r="U3" s="213"/>
      <c r="V3" s="213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17" t="s">
        <v>1</v>
      </c>
      <c r="C21" s="220" t="s">
        <v>2</v>
      </c>
      <c r="D21" s="220"/>
      <c r="E21" s="220"/>
      <c r="F21" s="220"/>
      <c r="G21" s="217" t="s">
        <v>9</v>
      </c>
      <c r="H21" s="217" t="s">
        <v>6</v>
      </c>
      <c r="I21" s="217" t="s">
        <v>34</v>
      </c>
    </row>
    <row r="22" spans="1:11" x14ac:dyDescent="0.3">
      <c r="B22" s="217"/>
      <c r="C22" s="50" t="s">
        <v>3</v>
      </c>
      <c r="D22" s="50" t="s">
        <v>4</v>
      </c>
      <c r="E22" s="50" t="s">
        <v>30</v>
      </c>
      <c r="F22" s="50" t="s">
        <v>29</v>
      </c>
      <c r="G22" s="217"/>
      <c r="H22" s="217"/>
      <c r="I22" s="217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17" t="s">
        <v>1</v>
      </c>
      <c r="C40" s="220" t="s">
        <v>2</v>
      </c>
      <c r="D40" s="220"/>
      <c r="E40" s="220"/>
      <c r="F40" s="220"/>
      <c r="G40" s="217" t="s">
        <v>9</v>
      </c>
      <c r="H40" s="217" t="s">
        <v>6</v>
      </c>
      <c r="I40" s="217" t="s">
        <v>34</v>
      </c>
      <c r="J40" s="219"/>
    </row>
    <row r="41" spans="1:11" x14ac:dyDescent="0.3">
      <c r="B41" s="217"/>
      <c r="C41" s="50" t="s">
        <v>3</v>
      </c>
      <c r="D41" s="50" t="s">
        <v>4</v>
      </c>
      <c r="E41" s="50" t="s">
        <v>30</v>
      </c>
      <c r="F41" s="50" t="s">
        <v>29</v>
      </c>
      <c r="G41" s="217"/>
      <c r="H41" s="217"/>
      <c r="I41" s="217"/>
      <c r="J41" s="219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topLeftCell="L1" zoomScale="115" zoomScaleNormal="100" workbookViewId="0">
      <selection sqref="A1:Z2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18"/>
  <sheetViews>
    <sheetView tabSelected="1" topLeftCell="M1" workbookViewId="0">
      <selection activeCell="Z18" sqref="Z18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2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2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2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223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224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25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224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223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8.8" x14ac:dyDescent="0.3">
      <c r="A14" s="103" t="s">
        <v>40</v>
      </c>
      <c r="B14" s="103" t="s">
        <v>45</v>
      </c>
      <c r="C14" s="63" t="s">
        <v>47</v>
      </c>
      <c r="D14" s="63" t="s">
        <v>46</v>
      </c>
      <c r="E14" s="63" t="s">
        <v>48</v>
      </c>
      <c r="F14" s="63" t="s">
        <v>49</v>
      </c>
      <c r="G14" s="63" t="s">
        <v>50</v>
      </c>
      <c r="H14" s="103" t="s">
        <v>104</v>
      </c>
      <c r="I14" s="103" t="s">
        <v>9</v>
      </c>
      <c r="J14" s="103" t="s">
        <v>6</v>
      </c>
      <c r="K14" s="103" t="s">
        <v>34</v>
      </c>
      <c r="L14" s="103" t="s">
        <v>103</v>
      </c>
      <c r="M14" s="104" t="s">
        <v>52</v>
      </c>
      <c r="N14" s="104" t="s">
        <v>53</v>
      </c>
      <c r="O14" s="104" t="s">
        <v>54</v>
      </c>
      <c r="P14" s="105" t="s">
        <v>55</v>
      </c>
      <c r="Q14" s="105" t="s">
        <v>56</v>
      </c>
      <c r="R14" s="105" t="s">
        <v>57</v>
      </c>
      <c r="S14" s="105" t="s">
        <v>58</v>
      </c>
      <c r="T14" s="105" t="s">
        <v>59</v>
      </c>
      <c r="U14" s="105" t="s">
        <v>60</v>
      </c>
      <c r="V14" s="104" t="s">
        <v>61</v>
      </c>
      <c r="W14" s="104" t="s">
        <v>65</v>
      </c>
      <c r="X14" s="106" t="s">
        <v>62</v>
      </c>
      <c r="Y14" s="104" t="s">
        <v>63</v>
      </c>
      <c r="Z14" s="104" t="s">
        <v>64</v>
      </c>
    </row>
    <row r="15" spans="1:31" x14ac:dyDescent="0.3">
      <c r="A15" s="2" t="s">
        <v>81</v>
      </c>
      <c r="B15" s="222" t="s">
        <v>70</v>
      </c>
      <c r="C15" s="2">
        <v>1000</v>
      </c>
      <c r="D15" s="2">
        <v>25</v>
      </c>
      <c r="E15" s="2">
        <v>1.5</v>
      </c>
      <c r="F15" s="2">
        <v>1.5</v>
      </c>
      <c r="G15" s="2">
        <v>0.7</v>
      </c>
      <c r="H15" s="226">
        <v>0.05</v>
      </c>
      <c r="I15" s="101">
        <v>5.55195432457993E-4</v>
      </c>
      <c r="J15" s="2">
        <f>60*2+39.03</f>
        <v>159.03</v>
      </c>
      <c r="K15" s="51">
        <f>J15/60</f>
        <v>2.6505000000000001</v>
      </c>
      <c r="L15" s="2">
        <v>120</v>
      </c>
      <c r="M15" s="2">
        <v>0.17148699370661699</v>
      </c>
      <c r="N15" s="101">
        <v>0.93707999896975003</v>
      </c>
      <c r="O15" s="28">
        <v>6.80158187028744</v>
      </c>
      <c r="P15" s="221">
        <v>9.6469999999999993E-3</v>
      </c>
      <c r="Q15" s="221">
        <v>8.5518540000000005</v>
      </c>
      <c r="R15" s="221">
        <v>7.1656500000000003</v>
      </c>
      <c r="S15" s="221">
        <v>44.150669999999998</v>
      </c>
      <c r="T15" s="221">
        <v>42.528283999999999</v>
      </c>
      <c r="U15" s="221">
        <v>1E-4</v>
      </c>
      <c r="V15" s="28">
        <v>1.4270934796395001</v>
      </c>
      <c r="W15" s="28">
        <v>9.4254001304004191</v>
      </c>
      <c r="X15" s="221">
        <v>1.6426339999999999</v>
      </c>
      <c r="Y15" s="2">
        <v>0.14841027220081099</v>
      </c>
      <c r="Z15" s="2">
        <v>0.83068676382901196</v>
      </c>
      <c r="AA15" t="s">
        <v>105</v>
      </c>
      <c r="AE15" t="s">
        <v>107</v>
      </c>
    </row>
    <row r="16" spans="1:31" x14ac:dyDescent="0.3">
      <c r="A16" s="23" t="s">
        <v>81</v>
      </c>
      <c r="B16" s="222" t="s">
        <v>70</v>
      </c>
      <c r="C16" s="2">
        <v>1000</v>
      </c>
      <c r="D16" s="2">
        <v>25</v>
      </c>
      <c r="E16" s="2">
        <v>1.5</v>
      </c>
      <c r="F16" s="2">
        <v>1.5</v>
      </c>
      <c r="G16" s="2">
        <v>0.7</v>
      </c>
      <c r="H16" s="226">
        <v>0.01</v>
      </c>
      <c r="I16" s="2">
        <v>5.3728371690244599E-4</v>
      </c>
      <c r="J16" s="2">
        <f>3*60+57.5</f>
        <v>237.5</v>
      </c>
      <c r="K16" s="51">
        <f>J16/60</f>
        <v>3.9583333333333335</v>
      </c>
      <c r="L16" s="2">
        <v>187</v>
      </c>
      <c r="M16" s="2">
        <v>0.17572710819101101</v>
      </c>
      <c r="N16" s="2">
        <v>0.92101837173550205</v>
      </c>
      <c r="O16" s="28">
        <v>7.00299601712093</v>
      </c>
      <c r="P16" s="221">
        <v>9.6469999999999993E-3</v>
      </c>
      <c r="Q16" s="221">
        <v>8.5518540000000005</v>
      </c>
      <c r="R16" s="221">
        <v>7.1656500000000003</v>
      </c>
      <c r="S16" s="221">
        <v>44.150669999999998</v>
      </c>
      <c r="T16" s="221">
        <v>42.528283999999999</v>
      </c>
      <c r="U16" s="221">
        <v>1E-4</v>
      </c>
      <c r="V16" s="28">
        <v>1.4245541826203501</v>
      </c>
      <c r="W16" s="28">
        <v>8.4950237560708608</v>
      </c>
      <c r="X16" s="221">
        <v>1.6426339999999999</v>
      </c>
      <c r="Y16" s="2">
        <v>0.151063418330069</v>
      </c>
      <c r="Z16" s="101">
        <v>0.80636650349953598</v>
      </c>
      <c r="AA16" t="s">
        <v>106</v>
      </c>
    </row>
    <row r="17" spans="1:27" x14ac:dyDescent="0.3">
      <c r="A17" s="2" t="s">
        <v>82</v>
      </c>
      <c r="B17" s="222" t="s">
        <v>70</v>
      </c>
      <c r="C17" s="2">
        <v>1000</v>
      </c>
      <c r="D17" s="2">
        <v>25</v>
      </c>
      <c r="E17" s="2">
        <v>1.5</v>
      </c>
      <c r="F17" s="2">
        <v>1.5</v>
      </c>
      <c r="G17" s="2">
        <v>0.7</v>
      </c>
      <c r="H17" s="226">
        <v>0.05</v>
      </c>
      <c r="I17" s="2">
        <v>1.2027692073878901E-2</v>
      </c>
      <c r="J17" s="2">
        <v>25.73</v>
      </c>
      <c r="K17" s="51">
        <f t="shared" ref="K17:K18" si="0">J17/60</f>
        <v>0.42883333333333334</v>
      </c>
      <c r="L17" s="2">
        <v>54</v>
      </c>
      <c r="M17" s="2">
        <v>3.0258688925107802E-2</v>
      </c>
      <c r="N17" s="28">
        <v>2.8780009556191799</v>
      </c>
      <c r="O17" s="28">
        <v>2.3917163972983602</v>
      </c>
      <c r="P17" s="221">
        <v>9.6469999999999993E-3</v>
      </c>
      <c r="Q17" s="221">
        <v>8.5518540000000005</v>
      </c>
      <c r="R17" s="221">
        <v>7.1656500000000003</v>
      </c>
      <c r="S17" s="221">
        <v>44.150669999999998</v>
      </c>
      <c r="T17" s="221">
        <v>42.528283999999999</v>
      </c>
      <c r="U17" s="221">
        <v>1E-4</v>
      </c>
      <c r="V17" s="28">
        <v>1.9838817605854999</v>
      </c>
      <c r="W17" s="28">
        <v>8.1319685899103398</v>
      </c>
      <c r="X17" s="221">
        <v>1.6426339999999999</v>
      </c>
      <c r="Y17" s="2">
        <v>0.44018479275910699</v>
      </c>
      <c r="Z17" s="101">
        <v>2.0233553465868201</v>
      </c>
      <c r="AA17" t="s">
        <v>106</v>
      </c>
    </row>
    <row r="18" spans="1:27" x14ac:dyDescent="0.3">
      <c r="A18" s="2" t="s">
        <v>82</v>
      </c>
      <c r="B18" s="222" t="s">
        <v>70</v>
      </c>
      <c r="C18" s="2">
        <v>1000</v>
      </c>
      <c r="D18" s="2">
        <v>25</v>
      </c>
      <c r="E18" s="2">
        <v>1.5</v>
      </c>
      <c r="F18" s="2">
        <v>1.5</v>
      </c>
      <c r="G18" s="2">
        <v>0.7</v>
      </c>
      <c r="H18" s="226">
        <v>0.01</v>
      </c>
      <c r="I18" s="2">
        <v>1.1976391588584099E-2</v>
      </c>
      <c r="J18" s="2">
        <f>45.17</f>
        <v>45.17</v>
      </c>
      <c r="K18" s="51">
        <f t="shared" si="0"/>
        <v>0.75283333333333335</v>
      </c>
      <c r="L18" s="2">
        <v>97</v>
      </c>
      <c r="M18" s="2">
        <v>2.93395878836912E-2</v>
      </c>
      <c r="N18" s="28">
        <v>2.77993378358271</v>
      </c>
      <c r="O18" s="28">
        <v>2.3513550514641102</v>
      </c>
      <c r="P18" s="221">
        <v>9.6469999999999993E-3</v>
      </c>
      <c r="Q18" s="221">
        <v>8.5518540000000005</v>
      </c>
      <c r="R18" s="221">
        <v>7.1656500000000003</v>
      </c>
      <c r="S18" s="221">
        <v>44.150669999999998</v>
      </c>
      <c r="T18" s="221">
        <v>42.528283999999999</v>
      </c>
      <c r="U18" s="221">
        <v>1E-4</v>
      </c>
      <c r="V18" s="28">
        <v>2.1385471670560201</v>
      </c>
      <c r="W18" s="28">
        <v>8.4758062049886203</v>
      </c>
      <c r="X18" s="221">
        <v>1.6426339999999999</v>
      </c>
      <c r="Y18" s="2">
        <v>0.234028577704191</v>
      </c>
      <c r="Z18" s="101">
        <v>2.0751152127812298</v>
      </c>
      <c r="AA18" t="s">
        <v>106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Pruebas PSO</vt:lpstr>
      <vt:lpstr>Pruebas PSO termination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2026-03-27T16:08:43Z</dcterms:modified>
</cp:coreProperties>
</file>