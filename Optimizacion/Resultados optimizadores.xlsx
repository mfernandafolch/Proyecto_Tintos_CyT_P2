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uccl0-my.sharepoint.com/personal/mfernandafolch_uc_cl/Documents/Escritorio/Concha y Toro/Proyecto_Tintos_CyT_P2/Optimizacion/"/>
    </mc:Choice>
  </mc:AlternateContent>
  <xr:revisionPtr revIDLastSave="3259" documentId="11_AD4D2F04E46CFB4ACB3E20395551EF76693EDF1D" xr6:coauthVersionLast="47" xr6:coauthVersionMax="47" xr10:uidLastSave="{3DB6260E-9F20-4E87-BA24-4468EF55AE14}"/>
  <bookViews>
    <workbookView xWindow="-110" yWindow="-110" windowWidth="19420" windowHeight="10300" activeTab="2" xr2:uid="{00000000-000D-0000-FFFF-FFFF00000000}"/>
  </bookViews>
  <sheets>
    <sheet name="Hoja1" sheetId="1" r:id="rId1"/>
    <sheet name="Hoja2" sheetId="2" r:id="rId2"/>
    <sheet name="Pruebas PSO" sheetId="3" r:id="rId3"/>
  </sheets>
  <definedNames>
    <definedName name="_xlnm._FilterDatabase" localSheetId="2" hidden="1">'Pruebas PSO'!$A$2:$X$36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3" l="1"/>
  <c r="J33" i="3" s="1"/>
  <c r="I34" i="3"/>
  <c r="J34" i="3" s="1"/>
  <c r="I31" i="3"/>
  <c r="J31" i="3" s="1"/>
  <c r="I30" i="3"/>
  <c r="I36" i="3"/>
  <c r="J36" i="3" s="1"/>
  <c r="I35" i="3"/>
  <c r="J35" i="3" s="1"/>
  <c r="I32" i="3"/>
  <c r="I29" i="3"/>
  <c r="J29" i="3" s="1"/>
  <c r="I28" i="3"/>
  <c r="J28" i="3" s="1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0" i="3"/>
  <c r="J20" i="3" s="1"/>
  <c r="I21" i="3"/>
  <c r="J21" i="3" s="1"/>
  <c r="I18" i="3"/>
  <c r="J30" i="3"/>
  <c r="J32" i="3"/>
  <c r="I17" i="3"/>
  <c r="J17" i="3" s="1"/>
  <c r="J18" i="3"/>
  <c r="I19" i="3"/>
  <c r="J19" i="3" s="1"/>
  <c r="I16" i="3"/>
  <c r="J16" i="3" s="1"/>
  <c r="I12" i="3"/>
  <c r="J12" i="3" s="1"/>
  <c r="I8" i="3"/>
  <c r="J8" i="3" s="1"/>
  <c r="I4" i="3"/>
  <c r="J4" i="3" s="1"/>
  <c r="I15" i="3"/>
  <c r="J15" i="3" s="1"/>
  <c r="I13" i="3"/>
  <c r="J13" i="3" s="1"/>
  <c r="I11" i="3"/>
  <c r="J11" i="3" s="1"/>
  <c r="I14" i="3"/>
  <c r="J14" i="3" s="1"/>
  <c r="I9" i="3"/>
  <c r="J9" i="3" s="1"/>
  <c r="I7" i="3"/>
  <c r="J7" i="3" s="1"/>
  <c r="I10" i="3"/>
  <c r="J10" i="3" s="1"/>
  <c r="I6" i="3"/>
  <c r="J6" i="3" s="1"/>
  <c r="I5" i="3"/>
  <c r="J5" i="3" s="1"/>
  <c r="I3" i="3"/>
  <c r="J3" i="3" s="1"/>
  <c r="V5" i="2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tc={D3BE4DB7-6357-44ED-AFF7-727C0C991779}</author>
    <author>tc={C19F6259-C0C9-43B5-BDBC-3757C13DADEC}</author>
  </authors>
  <commentList>
    <comment ref="J18" authorId="0" shapeId="0" xr:uid="{D3BE4DB7-6357-44ED-AFF7-727C0C99177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  <comment ref="J28" authorId="1" shapeId="0" xr:uid="{C19F6259-C0C9-43B5-BDBC-3757C13DAD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MUY LENTO</t>
      </text>
    </comment>
  </commentList>
</comments>
</file>

<file path=xl/sharedStrings.xml><?xml version="1.0" encoding="utf-8"?>
<sst xmlns="http://schemas.openxmlformats.org/spreadsheetml/2006/main" count="355" uniqueCount="71">
  <si>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</si>
  <si>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</si>
  <si>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</si>
  <si>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</si>
  <si>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</si>
  <si>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</si>
  <si>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</si>
  <si>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</si>
  <si>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</si>
  <si>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</si>
  <si>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</si>
  <si>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</si>
  <si>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</si>
  <si>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</si>
  <si>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</si>
  <si>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</si>
  <si>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</si>
  <si>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</si>
  <si>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</si>
  <si>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</si>
  <si>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</si>
  <si>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</si>
  <si>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</si>
  <si>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</si>
  <si>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</si>
  <si>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</si>
  <si>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</si>
  <si>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</si>
  <si>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</si>
  <si>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</si>
  <si>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</si>
  <si>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</si>
  <si>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</si>
  <si>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</si>
  <si>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</si>
  <si>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</si>
  <si>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</si>
  <si>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</si>
  <si>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</si>
  <si>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</si>
  <si>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</si>
  <si>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</si>
  <si>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</si>
  <si>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</si>
  <si>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</si>
  <si>
    <t>Método PSO</t>
  </si>
  <si>
    <t>pop_size</t>
  </si>
  <si>
    <t>epoch</t>
  </si>
  <si>
    <t>c1</t>
  </si>
  <si>
    <t>c2</t>
  </si>
  <si>
    <t>w</t>
  </si>
  <si>
    <t>Parámetros</t>
  </si>
  <si>
    <t>mu0</t>
  </si>
  <si>
    <t>betaG0</t>
  </si>
  <si>
    <t>betaF0</t>
  </si>
  <si>
    <t>Kn0</t>
  </si>
  <si>
    <t>Kg0</t>
  </si>
  <si>
    <t>Kf0</t>
  </si>
  <si>
    <t>Kig0</t>
  </si>
  <si>
    <t>Kie0</t>
  </si>
  <si>
    <t>Kd0</t>
  </si>
  <si>
    <t>Yxn</t>
  </si>
  <si>
    <t>Yxf</t>
  </si>
  <si>
    <t>Yeg</t>
  </si>
  <si>
    <t>Yef</t>
  </si>
  <si>
    <t>Yxg</t>
  </si>
  <si>
    <t>PSO_gpt</t>
  </si>
  <si>
    <t>Parámetros fijados</t>
  </si>
  <si>
    <t>PSO_pyswarms</t>
  </si>
  <si>
    <t>PSO_mealpy</t>
  </si>
  <si>
    <t>PSO_pymoo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</si>
</sst>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00000"/>
    <numFmt numFmtId="165" formatCode="#,##0.00000000"/>
    <numFmt numFmtId="166" formatCode="#,##0.000000"/>
    <numFmt numFmtId="167" formatCode="0.000"/>
    <numFmt numFmtId="168" formatCode="0.000000000"/>
    <numFmt numFmtId="169" formatCode="0.0000000"/>
    <numFmt numFmtId="170" formatCode="0.00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9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168" fontId="0" fillId="2" borderId="1" xfId="0" applyNumberFormat="1" applyFill="1" applyBorder="1"/>
    <xf numFmtId="2" fontId="0" fillId="0" borderId="1" xfId="0" applyNumberFormat="1" applyBorder="1"/>
    <xf numFmtId="169" fontId="5" fillId="0" borderId="1" xfId="0" applyNumberFormat="1" applyFont="1" applyBorder="1"/>
    <xf numFmtId="164" fontId="5" fillId="0" borderId="1" xfId="0" applyNumberFormat="1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1" fillId="4" borderId="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1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0" fillId="0" borderId="1" xfId="0" applyFill="1" applyBorder="1"/>
    <xf numFmtId="167" fontId="0" fillId="0" borderId="1" xfId="0" applyNumberFormat="1" applyFill="1" applyBorder="1"/>
    <xf numFmtId="164" fontId="5" fillId="0" borderId="1" xfId="0" applyNumberFormat="1" applyFont="1" applyFill="1" applyBorder="1"/>
    <xf numFmtId="169" fontId="2" fillId="0" borderId="1" xfId="0" applyNumberFormat="1" applyFont="1" applyFill="1" applyBorder="1"/>
    <xf numFmtId="169" fontId="5" fillId="0" borderId="1" xfId="0" applyNumberFormat="1" applyFont="1" applyFill="1" applyBorder="1"/>
    <xf numFmtId="0" fontId="0" fillId="0" borderId="0" xfId="0" applyFill="1"/>
    <xf numFmtId="168" fontId="0" fillId="0" borderId="1" xfId="0" applyNumberFormat="1" applyFill="1" applyBorder="1"/>
    <xf numFmtId="0" fontId="5" fillId="0" borderId="1" xfId="0" applyFont="1" applyFill="1" applyBorder="1"/>
    <xf numFmtId="167" fontId="0" fillId="0" borderId="3" xfId="0" applyNumberFormat="1" applyBorder="1"/>
    <xf numFmtId="169" fontId="5" fillId="0" borderId="3" xfId="0" applyNumberFormat="1" applyFont="1" applyBorder="1"/>
    <xf numFmtId="169" fontId="2" fillId="0" borderId="3" xfId="0" applyNumberFormat="1" applyFont="1" applyBorder="1"/>
    <xf numFmtId="169" fontId="5" fillId="0" borderId="4" xfId="0" applyNumberFormat="1" applyFont="1" applyBorder="1"/>
    <xf numFmtId="0" fontId="0" fillId="0" borderId="9" xfId="0" applyFill="1" applyBorder="1"/>
    <xf numFmtId="169" fontId="5" fillId="0" borderId="10" xfId="0" applyNumberFormat="1" applyFont="1" applyFill="1" applyBorder="1"/>
    <xf numFmtId="0" fontId="5" fillId="0" borderId="10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1" fillId="4" borderId="6" xfId="0" applyFont="1" applyFill="1" applyBorder="1" applyAlignment="1">
      <alignment horizontal="center"/>
    </xf>
    <xf numFmtId="0" fontId="1" fillId="6" borderId="6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1" fillId="6" borderId="7" xfId="0" applyFont="1" applyFill="1" applyBorder="1" applyAlignment="1">
      <alignment horizontal="center"/>
    </xf>
    <xf numFmtId="167" fontId="0" fillId="0" borderId="21" xfId="0" applyNumberFormat="1" applyBorder="1"/>
    <xf numFmtId="0" fontId="0" fillId="2" borderId="6" xfId="0" applyFill="1" applyBorder="1"/>
    <xf numFmtId="164" fontId="5" fillId="0" borderId="3" xfId="0" applyNumberFormat="1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10" xfId="0" applyFont="1" applyBorder="1"/>
    <xf numFmtId="0" fontId="0" fillId="0" borderId="1" xfId="0" applyFont="1" applyBorder="1"/>
    <xf numFmtId="167" fontId="0" fillId="7" borderId="21" xfId="0" applyNumberFormat="1" applyFill="1" applyBorder="1"/>
    <xf numFmtId="167" fontId="0" fillId="2" borderId="1" xfId="0" applyNumberFormat="1" applyFill="1" applyBorder="1"/>
    <xf numFmtId="169" fontId="5" fillId="2" borderId="1" xfId="0" applyNumberFormat="1" applyFont="1" applyFill="1" applyBorder="1"/>
    <xf numFmtId="164" fontId="5" fillId="2" borderId="1" xfId="0" applyNumberFormat="1" applyFont="1" applyFill="1" applyBorder="1"/>
    <xf numFmtId="169" fontId="5" fillId="2" borderId="10" xfId="0" applyNumberFormat="1" applyFont="1" applyFill="1" applyBorder="1"/>
    <xf numFmtId="169" fontId="2" fillId="2" borderId="1" xfId="0" applyNumberFormat="1" applyFont="1" applyFill="1" applyBorder="1"/>
    <xf numFmtId="167" fontId="0" fillId="2" borderId="6" xfId="0" applyNumberFormat="1" applyFill="1" applyBorder="1"/>
    <xf numFmtId="169" fontId="5" fillId="2" borderId="6" xfId="0" applyNumberFormat="1" applyFont="1" applyFill="1" applyBorder="1"/>
    <xf numFmtId="164" fontId="5" fillId="2" borderId="6" xfId="0" applyNumberFormat="1" applyFont="1" applyFill="1" applyBorder="1"/>
    <xf numFmtId="169" fontId="2" fillId="2" borderId="6" xfId="0" applyNumberFormat="1" applyFont="1" applyFill="1" applyBorder="1"/>
    <xf numFmtId="169" fontId="5" fillId="2" borderId="7" xfId="0" applyNumberFormat="1" applyFont="1" applyFill="1" applyBorder="1"/>
    <xf numFmtId="167" fontId="0" fillId="2" borderId="21" xfId="0" applyNumberFormat="1" applyFill="1" applyBorder="1"/>
    <xf numFmtId="0" fontId="5" fillId="2" borderId="1" xfId="0" applyFont="1" applyFill="1" applyBorder="1"/>
    <xf numFmtId="0" fontId="5" fillId="2" borderId="10" xfId="0" applyFont="1" applyFill="1" applyBorder="1"/>
    <xf numFmtId="167" fontId="0" fillId="2" borderId="27" xfId="0" applyNumberFormat="1" applyFill="1" applyBorder="1"/>
    <xf numFmtId="0" fontId="5" fillId="2" borderId="6" xfId="0" applyFont="1" applyFill="1" applyBorder="1"/>
    <xf numFmtId="167" fontId="0" fillId="8" borderId="1" xfId="0" applyNumberFormat="1" applyFill="1" applyBorder="1"/>
    <xf numFmtId="170" fontId="5" fillId="2" borderId="7" xfId="0" applyNumberFormat="1" applyFont="1" applyFill="1" applyBorder="1"/>
    <xf numFmtId="0" fontId="1" fillId="4" borderId="11" xfId="0" applyFont="1" applyFill="1" applyBorder="1" applyAlignment="1"/>
    <xf numFmtId="0" fontId="1" fillId="4" borderId="25" xfId="0" applyFont="1" applyFill="1" applyBorder="1" applyAlignment="1"/>
    <xf numFmtId="0" fontId="1" fillId="4" borderId="13" xfId="0" applyFont="1" applyFill="1" applyBorder="1" applyAlignment="1"/>
    <xf numFmtId="0" fontId="1" fillId="4" borderId="26" xfId="0" applyFont="1" applyFill="1" applyBorder="1" applyAlignment="1"/>
    <xf numFmtId="0" fontId="1" fillId="4" borderId="24" xfId="0" applyFont="1" applyFill="1" applyBorder="1" applyAlignment="1">
      <alignment vertical="center" wrapText="1"/>
    </xf>
    <xf numFmtId="0" fontId="1" fillId="4" borderId="23" xfId="0" applyFont="1" applyFill="1" applyBorder="1" applyAlignment="1">
      <alignment vertical="center" wrapText="1"/>
    </xf>
    <xf numFmtId="170" fontId="5" fillId="0" borderId="3" xfId="0" applyNumberFormat="1" applyFont="1" applyBorder="1"/>
    <xf numFmtId="170" fontId="5" fillId="0" borderId="1" xfId="0" applyNumberFormat="1" applyFont="1" applyBorder="1"/>
    <xf numFmtId="170" fontId="5" fillId="0" borderId="1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María Fernanda Folch Díaz" id="{5D4D3F9D-C31C-4FEE-ADBF-F3914B8EBD59}" userId="S::mfernandafolch@uc.cl::0edf900c-c7cc-461f-97c7-8fa0d92641eb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8" dT="2026-03-19T14:12:16.14" personId="{5D4D3F9D-C31C-4FEE-ADBF-F3914B8EBD59}" id="{D3BE4DB7-6357-44ED-AFF7-727C0C991779}">
    <text>MUY LENTO</text>
  </threadedComment>
  <threadedComment ref="J28" dT="2026-03-19T15:49:42.54" personId="{5D4D3F9D-C31C-4FEE-ADBF-F3914B8EBD59}" id="{C19F6259-C0C9-43B5-BDBC-3757C13DADEC}">
    <text>MUY LENTO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265625" defaultRowHeight="14.5" x14ac:dyDescent="0.35"/>
  <cols>
    <col min="1" max="1" width="11.54296875" bestFit="1" customWidth="1"/>
    <col min="2" max="2" width="26.453125" customWidth="1"/>
    <col min="3" max="3" width="9.36328125" customWidth="1"/>
    <col min="5" max="5" width="19.81640625" bestFit="1" customWidth="1"/>
    <col min="6" max="6" width="13" bestFit="1" customWidth="1"/>
    <col min="7" max="7" width="13.7265625" bestFit="1" customWidth="1"/>
    <col min="8" max="8" width="13.90625" bestFit="1" customWidth="1"/>
    <col min="9" max="9" width="13.08984375" customWidth="1"/>
    <col min="10" max="10" width="9.90625" bestFit="1" customWidth="1"/>
    <col min="12" max="12" width="52.7265625" customWidth="1"/>
  </cols>
  <sheetData>
    <row r="1" spans="1:12" ht="15" thickBot="1" x14ac:dyDescent="0.4">
      <c r="A1" t="s">
        <v>0</v>
      </c>
      <c r="B1" t="s">
        <v>11</v>
      </c>
    </row>
    <row r="2" spans="1:12" x14ac:dyDescent="0.35">
      <c r="B2" s="71" t="s">
        <v>1</v>
      </c>
      <c r="C2" s="70" t="s">
        <v>2</v>
      </c>
      <c r="D2" s="70"/>
      <c r="E2" s="70"/>
      <c r="F2" s="70"/>
      <c r="G2" s="73" t="s">
        <v>12</v>
      </c>
      <c r="H2" s="73" t="s">
        <v>9</v>
      </c>
      <c r="I2" s="73" t="s">
        <v>10</v>
      </c>
      <c r="J2" s="68" t="s">
        <v>6</v>
      </c>
      <c r="L2" t="s">
        <v>14</v>
      </c>
    </row>
    <row r="3" spans="1:12" ht="15" thickBot="1" x14ac:dyDescent="0.4">
      <c r="B3" s="72"/>
      <c r="C3" s="16" t="s">
        <v>3</v>
      </c>
      <c r="D3" s="16" t="s">
        <v>4</v>
      </c>
      <c r="E3" s="7" t="s">
        <v>30</v>
      </c>
      <c r="F3" s="7" t="s">
        <v>29</v>
      </c>
      <c r="G3" s="74"/>
      <c r="H3" s="74"/>
      <c r="I3" s="74"/>
      <c r="J3" s="75"/>
      <c r="L3" t="s">
        <v>15</v>
      </c>
    </row>
    <row r="4" spans="1:12" x14ac:dyDescent="0.35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5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5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5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5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5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5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5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5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5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5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5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5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5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5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5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5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4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5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5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5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5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5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5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5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4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5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5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5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5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5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5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5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5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5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5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5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5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5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4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4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4">
      <c r="A48" t="s">
        <v>0</v>
      </c>
      <c r="B48" t="s">
        <v>21</v>
      </c>
    </row>
    <row r="49" spans="2:20" ht="29" x14ac:dyDescent="0.35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4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5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5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5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5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5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5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5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5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5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4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" customHeight="1" x14ac:dyDescent="0.35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5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5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4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5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5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4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4">
      <c r="A70" t="s">
        <v>0</v>
      </c>
      <c r="B70" t="s">
        <v>18</v>
      </c>
    </row>
    <row r="71" spans="1:12" x14ac:dyDescent="0.35">
      <c r="B71" s="71" t="s">
        <v>1</v>
      </c>
      <c r="C71" s="70" t="s">
        <v>2</v>
      </c>
      <c r="D71" s="70"/>
      <c r="E71" s="70"/>
      <c r="F71" s="70"/>
      <c r="G71" s="73" t="s">
        <v>12</v>
      </c>
      <c r="H71" s="73" t="s">
        <v>9</v>
      </c>
      <c r="I71" s="73" t="s">
        <v>10</v>
      </c>
      <c r="J71" s="68" t="s">
        <v>6</v>
      </c>
    </row>
    <row r="72" spans="1:12" ht="15" thickBot="1" x14ac:dyDescent="0.4">
      <c r="B72" s="76"/>
      <c r="C72" s="7" t="s">
        <v>3</v>
      </c>
      <c r="D72" s="7" t="s">
        <v>4</v>
      </c>
      <c r="E72" s="7" t="s">
        <v>30</v>
      </c>
      <c r="F72" s="7" t="s">
        <v>29</v>
      </c>
      <c r="G72" s="63"/>
      <c r="H72" s="63"/>
      <c r="I72" s="63"/>
      <c r="J72" s="69"/>
    </row>
    <row r="73" spans="1:12" x14ac:dyDescent="0.35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5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5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5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5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5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4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5">
      <c r="B82" t="s">
        <v>20</v>
      </c>
      <c r="K82" s="1"/>
    </row>
    <row r="83" spans="2:11" x14ac:dyDescent="0.35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opLeftCell="A14" zoomScale="77" workbookViewId="0">
      <selection activeCell="Q20" sqref="Q20"/>
    </sheetView>
  </sheetViews>
  <sheetFormatPr baseColWidth="10" defaultRowHeight="14.5" x14ac:dyDescent="0.35"/>
  <cols>
    <col min="1" max="1" width="11.54296875" bestFit="1" customWidth="1"/>
    <col min="2" max="2" width="24.7265625" customWidth="1"/>
    <col min="5" max="5" width="19.1796875" bestFit="1" customWidth="1"/>
    <col min="6" max="6" width="16.36328125" customWidth="1"/>
    <col min="7" max="7" width="16.90625" bestFit="1" customWidth="1"/>
    <col min="8" max="8" width="13.6328125" bestFit="1" customWidth="1"/>
    <col min="9" max="9" width="12" bestFit="1" customWidth="1"/>
    <col min="11" max="11" width="14" customWidth="1"/>
    <col min="14" max="14" width="38.08984375" bestFit="1" customWidth="1"/>
    <col min="15" max="15" width="24.08984375" bestFit="1" customWidth="1"/>
    <col min="18" max="18" width="19.7265625" bestFit="1" customWidth="1"/>
    <col min="19" max="19" width="15.54296875" bestFit="1" customWidth="1"/>
    <col min="20" max="20" width="14.08984375" bestFit="1" customWidth="1"/>
    <col min="22" max="22" width="12.6328125" bestFit="1" customWidth="1"/>
  </cols>
  <sheetData>
    <row r="1" spans="1:23" x14ac:dyDescent="0.35">
      <c r="A1" t="s">
        <v>0</v>
      </c>
      <c r="B1" t="s">
        <v>11</v>
      </c>
      <c r="N1" t="s">
        <v>41</v>
      </c>
    </row>
    <row r="2" spans="1:23" x14ac:dyDescent="0.35">
      <c r="B2" s="77" t="s">
        <v>1</v>
      </c>
      <c r="C2" s="80" t="s">
        <v>2</v>
      </c>
      <c r="D2" s="80"/>
      <c r="E2" s="80"/>
      <c r="F2" s="80"/>
      <c r="G2" s="77" t="s">
        <v>9</v>
      </c>
      <c r="H2" s="77" t="s">
        <v>6</v>
      </c>
      <c r="I2" s="77" t="s">
        <v>34</v>
      </c>
      <c r="N2" s="77" t="s">
        <v>40</v>
      </c>
      <c r="O2" s="78" t="s">
        <v>1</v>
      </c>
      <c r="P2" s="65" t="s">
        <v>2</v>
      </c>
      <c r="Q2" s="66"/>
      <c r="R2" s="66"/>
      <c r="S2" s="67"/>
      <c r="T2" s="63" t="s">
        <v>9</v>
      </c>
      <c r="U2" s="63" t="s">
        <v>6</v>
      </c>
      <c r="V2" s="63" t="s">
        <v>34</v>
      </c>
    </row>
    <row r="3" spans="1:23" x14ac:dyDescent="0.35">
      <c r="B3" s="77"/>
      <c r="C3" s="50" t="s">
        <v>3</v>
      </c>
      <c r="D3" s="50" t="s">
        <v>4</v>
      </c>
      <c r="E3" s="50" t="s">
        <v>30</v>
      </c>
      <c r="F3" s="50" t="s">
        <v>29</v>
      </c>
      <c r="G3" s="77"/>
      <c r="H3" s="77"/>
      <c r="I3" s="77"/>
      <c r="N3" s="77"/>
      <c r="O3" s="78"/>
      <c r="P3" s="50" t="s">
        <v>3</v>
      </c>
      <c r="Q3" s="50" t="s">
        <v>4</v>
      </c>
      <c r="R3" s="50" t="s">
        <v>30</v>
      </c>
      <c r="S3" s="50" t="s">
        <v>29</v>
      </c>
      <c r="T3" s="64"/>
      <c r="U3" s="64"/>
      <c r="V3" s="64"/>
    </row>
    <row r="4" spans="1:23" x14ac:dyDescent="0.35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4" si="0">H5</f>
        <v>84.3</v>
      </c>
      <c r="V4" s="2">
        <f t="shared" si="0"/>
        <v>1.405</v>
      </c>
    </row>
    <row r="5" spans="1:23" x14ac:dyDescent="0.35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5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5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58">
        <f t="shared" si="2"/>
        <v>16.389666666666667</v>
      </c>
    </row>
    <row r="8" spans="1:23" x14ac:dyDescent="0.35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5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5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5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5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5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5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5">
      <c r="G16">
        <f>MIN(G4:G14)</f>
        <v>3.5386864122503397E-4</v>
      </c>
    </row>
    <row r="20" spans="1:11" x14ac:dyDescent="0.35">
      <c r="A20" t="s">
        <v>0</v>
      </c>
      <c r="B20" t="s">
        <v>21</v>
      </c>
    </row>
    <row r="21" spans="1:11" x14ac:dyDescent="0.35">
      <c r="B21" s="77" t="s">
        <v>1</v>
      </c>
      <c r="C21" s="80" t="s">
        <v>2</v>
      </c>
      <c r="D21" s="80"/>
      <c r="E21" s="80"/>
      <c r="F21" s="80"/>
      <c r="G21" s="77" t="s">
        <v>9</v>
      </c>
      <c r="H21" s="77" t="s">
        <v>6</v>
      </c>
      <c r="I21" s="77" t="s">
        <v>34</v>
      </c>
    </row>
    <row r="22" spans="1:11" x14ac:dyDescent="0.35">
      <c r="B22" s="77"/>
      <c r="C22" s="50" t="s">
        <v>3</v>
      </c>
      <c r="D22" s="50" t="s">
        <v>4</v>
      </c>
      <c r="E22" s="50" t="s">
        <v>30</v>
      </c>
      <c r="F22" s="50" t="s">
        <v>29</v>
      </c>
      <c r="G22" s="77"/>
      <c r="H22" s="77"/>
      <c r="I22" s="77"/>
    </row>
    <row r="23" spans="1:11" x14ac:dyDescent="0.35">
      <c r="B23" s="2" t="s">
        <v>16</v>
      </c>
      <c r="C23" s="2"/>
      <c r="D23" s="2"/>
      <c r="E23" s="2">
        <v>25</v>
      </c>
      <c r="F23" s="2">
        <v>150</v>
      </c>
      <c r="G23" s="57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5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5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5">
      <c r="B26" s="2"/>
      <c r="C26" s="2"/>
      <c r="D26" s="2"/>
      <c r="E26" s="2"/>
      <c r="F26" s="2"/>
      <c r="G26" s="2"/>
      <c r="H26" s="2"/>
      <c r="I26" s="2"/>
    </row>
    <row r="27" spans="1:11" x14ac:dyDescent="0.35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 t="shared" ref="I27:I34" si="5">H27/60</f>
        <v>2.9515000000000002</v>
      </c>
    </row>
    <row r="28" spans="1:11" x14ac:dyDescent="0.35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 t="shared" si="5"/>
        <v>4.2770000000000001</v>
      </c>
    </row>
    <row r="29" spans="1:11" x14ac:dyDescent="0.35">
      <c r="B29" s="52" t="s">
        <v>33</v>
      </c>
      <c r="C29" s="52"/>
      <c r="D29" s="52"/>
      <c r="E29" s="52">
        <v>20</v>
      </c>
      <c r="F29" s="2" t="s">
        <v>38</v>
      </c>
      <c r="G29" s="31">
        <v>1.34035214624097E-3</v>
      </c>
      <c r="H29" s="52">
        <f>5*60+36.08</f>
        <v>336.08</v>
      </c>
      <c r="I29" s="53">
        <f t="shared" si="5"/>
        <v>5.6013333333333328</v>
      </c>
      <c r="J29" s="55" t="s">
        <v>36</v>
      </c>
      <c r="K29" s="55"/>
    </row>
    <row r="30" spans="1:11" x14ac:dyDescent="0.35">
      <c r="B30" s="52"/>
      <c r="C30" s="52"/>
      <c r="D30" s="52"/>
      <c r="E30" s="52"/>
      <c r="F30" s="52"/>
      <c r="G30" s="52"/>
      <c r="H30" s="52"/>
      <c r="I30" s="53">
        <f t="shared" si="5"/>
        <v>0</v>
      </c>
    </row>
    <row r="31" spans="1:11" x14ac:dyDescent="0.35">
      <c r="B31" s="52"/>
      <c r="C31" s="52"/>
      <c r="D31" s="52"/>
      <c r="E31" s="52"/>
      <c r="F31" s="52"/>
      <c r="G31" s="52"/>
      <c r="H31" s="52"/>
      <c r="I31" s="53">
        <f t="shared" si="5"/>
        <v>0</v>
      </c>
    </row>
    <row r="32" spans="1:11" x14ac:dyDescent="0.35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 t="shared" si="5"/>
        <v>1.8005</v>
      </c>
      <c r="K32" t="s">
        <v>35</v>
      </c>
    </row>
    <row r="33" spans="1:11" x14ac:dyDescent="0.35">
      <c r="B33" s="52"/>
      <c r="C33" s="52"/>
      <c r="D33" s="52"/>
      <c r="E33" s="52"/>
      <c r="F33" s="52"/>
      <c r="G33" s="52"/>
      <c r="H33" s="52"/>
      <c r="I33" s="53">
        <f t="shared" si="5"/>
        <v>0</v>
      </c>
    </row>
    <row r="34" spans="1:11" x14ac:dyDescent="0.35">
      <c r="B34" s="52"/>
      <c r="C34" s="52"/>
      <c r="D34" s="52"/>
      <c r="E34" s="52"/>
      <c r="F34" s="52"/>
      <c r="G34" s="52"/>
      <c r="H34" s="52"/>
      <c r="I34" s="53">
        <f t="shared" si="5"/>
        <v>0</v>
      </c>
    </row>
    <row r="35" spans="1:11" x14ac:dyDescent="0.35">
      <c r="G35">
        <f>MIN(G23:G34)</f>
        <v>1.34035214624097E-3</v>
      </c>
    </row>
    <row r="39" spans="1:11" x14ac:dyDescent="0.35">
      <c r="A39" t="s">
        <v>0</v>
      </c>
      <c r="B39" t="s">
        <v>18</v>
      </c>
    </row>
    <row r="40" spans="1:11" x14ac:dyDescent="0.35">
      <c r="B40" s="77" t="s">
        <v>1</v>
      </c>
      <c r="C40" s="80" t="s">
        <v>2</v>
      </c>
      <c r="D40" s="80"/>
      <c r="E40" s="80"/>
      <c r="F40" s="80"/>
      <c r="G40" s="77" t="s">
        <v>9</v>
      </c>
      <c r="H40" s="77" t="s">
        <v>6</v>
      </c>
      <c r="I40" s="77" t="s">
        <v>34</v>
      </c>
      <c r="J40" s="79"/>
    </row>
    <row r="41" spans="1:11" x14ac:dyDescent="0.35">
      <c r="B41" s="77"/>
      <c r="C41" s="50" t="s">
        <v>3</v>
      </c>
      <c r="D41" s="50" t="s">
        <v>4</v>
      </c>
      <c r="E41" s="50" t="s">
        <v>30</v>
      </c>
      <c r="F41" s="50" t="s">
        <v>29</v>
      </c>
      <c r="G41" s="77"/>
      <c r="H41" s="77"/>
      <c r="I41" s="77"/>
      <c r="J41" s="79"/>
    </row>
    <row r="42" spans="1:11" x14ac:dyDescent="0.35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6">H42/60</f>
        <v>3.5093333333333332</v>
      </c>
    </row>
    <row r="43" spans="1:11" x14ac:dyDescent="0.35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6"/>
        <v>4.9656666666666665</v>
      </c>
    </row>
    <row r="44" spans="1:11" x14ac:dyDescent="0.35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6"/>
        <v>11.607333333333335</v>
      </c>
      <c r="J44" s="55" t="s">
        <v>37</v>
      </c>
      <c r="K44" s="55"/>
    </row>
    <row r="46" spans="1:11" x14ac:dyDescent="0.35">
      <c r="G46">
        <f>MIN(G42:G44)</f>
        <v>4.96373772906626E-4</v>
      </c>
    </row>
  </sheetData>
  <mergeCells count="22"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  <mergeCell ref="V2:V3"/>
    <mergeCell ref="U2:U3"/>
    <mergeCell ref="T2:T3"/>
    <mergeCell ref="P2:S2"/>
    <mergeCell ref="N2:N3"/>
    <mergeCell ref="O2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4A9F-720A-4384-9592-EDD81D7A1CFE}">
  <dimension ref="A1:Z36"/>
  <sheetViews>
    <sheetView tabSelected="1" zoomScale="89" zoomScaleNormal="70" workbookViewId="0">
      <selection activeCell="I51" sqref="I51"/>
    </sheetView>
  </sheetViews>
  <sheetFormatPr baseColWidth="10" defaultRowHeight="14.5" x14ac:dyDescent="0.35"/>
  <cols>
    <col min="1" max="1" width="40.6328125" bestFit="1" customWidth="1"/>
    <col min="2" max="2" width="22.1796875" bestFit="1" customWidth="1"/>
    <col min="3" max="3" width="16.453125" bestFit="1" customWidth="1"/>
    <col min="4" max="5" width="10.6328125" bestFit="1" customWidth="1"/>
    <col min="6" max="7" width="6.90625" customWidth="1"/>
    <col min="8" max="8" width="15.08984375" customWidth="1"/>
    <col min="9" max="9" width="10.54296875" customWidth="1"/>
    <col min="10" max="10" width="12.7265625" customWidth="1"/>
    <col min="11" max="11" width="12" bestFit="1" customWidth="1"/>
    <col min="12" max="12" width="11.26953125" bestFit="1" customWidth="1"/>
    <col min="13" max="13" width="12.26953125" bestFit="1" customWidth="1"/>
    <col min="14" max="14" width="12.36328125" bestFit="1" customWidth="1"/>
    <col min="15" max="17" width="11.26953125" bestFit="1" customWidth="1"/>
    <col min="18" max="19" width="12.26953125" bestFit="1" customWidth="1"/>
    <col min="20" max="25" width="11.26953125" bestFit="1" customWidth="1"/>
    <col min="26" max="27" width="16.54296875" bestFit="1" customWidth="1"/>
  </cols>
  <sheetData>
    <row r="1" spans="1:26" ht="14" customHeight="1" thickBot="1" x14ac:dyDescent="0.4">
      <c r="C1" s="128" t="s">
        <v>2</v>
      </c>
      <c r="D1" s="129"/>
      <c r="E1" s="129"/>
      <c r="F1" s="129"/>
      <c r="G1" s="130"/>
      <c r="K1" s="128" t="s">
        <v>51</v>
      </c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31"/>
      <c r="Z1" s="55" t="s">
        <v>67</v>
      </c>
    </row>
    <row r="2" spans="1:26" ht="14.5" customHeight="1" thickBot="1" x14ac:dyDescent="0.4">
      <c r="A2" s="133" t="s">
        <v>40</v>
      </c>
      <c r="B2" s="132" t="s">
        <v>45</v>
      </c>
      <c r="C2" s="98" t="s">
        <v>47</v>
      </c>
      <c r="D2" s="98" t="s">
        <v>46</v>
      </c>
      <c r="E2" s="98" t="s">
        <v>48</v>
      </c>
      <c r="F2" s="98" t="s">
        <v>49</v>
      </c>
      <c r="G2" s="98" t="s">
        <v>50</v>
      </c>
      <c r="H2" s="132" t="s">
        <v>9</v>
      </c>
      <c r="I2" s="132" t="s">
        <v>6</v>
      </c>
      <c r="J2" s="132" t="s">
        <v>34</v>
      </c>
      <c r="K2" s="99" t="s">
        <v>52</v>
      </c>
      <c r="L2" s="99" t="s">
        <v>53</v>
      </c>
      <c r="M2" s="99" t="s">
        <v>54</v>
      </c>
      <c r="N2" s="100" t="s">
        <v>55</v>
      </c>
      <c r="O2" s="100" t="s">
        <v>56</v>
      </c>
      <c r="P2" s="100" t="s">
        <v>57</v>
      </c>
      <c r="Q2" s="100" t="s">
        <v>58</v>
      </c>
      <c r="R2" s="100" t="s">
        <v>59</v>
      </c>
      <c r="S2" s="100" t="s">
        <v>60</v>
      </c>
      <c r="T2" s="99" t="s">
        <v>61</v>
      </c>
      <c r="U2" s="99" t="s">
        <v>65</v>
      </c>
      <c r="V2" s="101" t="s">
        <v>62</v>
      </c>
      <c r="W2" s="99" t="s">
        <v>63</v>
      </c>
      <c r="X2" s="102" t="s">
        <v>64</v>
      </c>
    </row>
    <row r="3" spans="1:26" x14ac:dyDescent="0.35">
      <c r="A3" s="8" t="s">
        <v>11</v>
      </c>
      <c r="B3" s="9" t="s">
        <v>66</v>
      </c>
      <c r="C3" s="9">
        <v>150</v>
      </c>
      <c r="D3" s="9">
        <v>20</v>
      </c>
      <c r="E3" s="9">
        <v>1.5</v>
      </c>
      <c r="F3" s="9">
        <v>1.5</v>
      </c>
      <c r="G3" s="9">
        <v>0.7</v>
      </c>
      <c r="H3" s="9">
        <v>2.9472175802249201E-4</v>
      </c>
      <c r="I3" s="9">
        <f>60+13.49</f>
        <v>73.489999999999995</v>
      </c>
      <c r="J3" s="89">
        <f>I3/60</f>
        <v>1.2248333333333332</v>
      </c>
      <c r="K3" s="90">
        <v>2.1924339239705899E-2</v>
      </c>
      <c r="L3" s="90">
        <v>5.3243124688619803</v>
      </c>
      <c r="M3" s="90">
        <v>10</v>
      </c>
      <c r="N3" s="91">
        <v>9.6469999999999993E-3</v>
      </c>
      <c r="O3" s="91">
        <v>8.5518540000000005</v>
      </c>
      <c r="P3" s="91">
        <v>7.1656500000000003</v>
      </c>
      <c r="Q3" s="91">
        <v>44.150669999999998</v>
      </c>
      <c r="R3" s="91">
        <v>42.528283999999999</v>
      </c>
      <c r="S3" s="91">
        <v>1E-4</v>
      </c>
      <c r="T3" s="90">
        <v>2.1598443591871601</v>
      </c>
      <c r="U3" s="90">
        <v>9.4242283395423598</v>
      </c>
      <c r="V3" s="91">
        <v>1.6426339999999999</v>
      </c>
      <c r="W3" s="90">
        <v>0.1</v>
      </c>
      <c r="X3" s="92">
        <v>0.66937281186906705</v>
      </c>
    </row>
    <row r="4" spans="1:26" s="86" customFormat="1" x14ac:dyDescent="0.35">
      <c r="A4" s="93" t="s">
        <v>11</v>
      </c>
      <c r="B4" s="81" t="s">
        <v>68</v>
      </c>
      <c r="C4" s="81">
        <v>150</v>
      </c>
      <c r="D4" s="81">
        <v>20</v>
      </c>
      <c r="E4" s="81">
        <v>1.5</v>
      </c>
      <c r="F4" s="81">
        <v>1.5</v>
      </c>
      <c r="G4" s="81">
        <v>0.7</v>
      </c>
      <c r="H4" s="81">
        <v>2.3513880843272501E-2</v>
      </c>
      <c r="I4" s="81">
        <f>60+7.64</f>
        <v>67.64</v>
      </c>
      <c r="J4" s="82">
        <f t="shared" ref="J4" si="0">I4/60</f>
        <v>1.1273333333333333</v>
      </c>
      <c r="K4" s="83">
        <v>6.9239735242755502</v>
      </c>
      <c r="L4" s="83">
        <v>1.82078102654331</v>
      </c>
      <c r="M4" s="83">
        <v>9.9329324700275592</v>
      </c>
      <c r="N4" s="84">
        <v>9.6469999999999993E-3</v>
      </c>
      <c r="O4" s="84">
        <v>8.5518540000000005</v>
      </c>
      <c r="P4" s="84">
        <v>7.1656500000000003</v>
      </c>
      <c r="Q4" s="84">
        <v>44.150669999999998</v>
      </c>
      <c r="R4" s="84">
        <v>42.528283999999999</v>
      </c>
      <c r="S4" s="84">
        <v>1E-4</v>
      </c>
      <c r="T4" s="83">
        <v>2.2496431130169099</v>
      </c>
      <c r="U4" s="83">
        <v>3.90148636909132</v>
      </c>
      <c r="V4" s="84">
        <v>1.6426339999999999</v>
      </c>
      <c r="W4" s="85">
        <v>1.4863468597450999</v>
      </c>
      <c r="X4" s="94">
        <v>0.26736379732660398</v>
      </c>
    </row>
    <row r="5" spans="1:26" s="86" customFormat="1" x14ac:dyDescent="0.35">
      <c r="A5" s="93" t="s">
        <v>11</v>
      </c>
      <c r="B5" s="81" t="s">
        <v>69</v>
      </c>
      <c r="C5" s="81">
        <v>150</v>
      </c>
      <c r="D5" s="81">
        <v>20</v>
      </c>
      <c r="E5" s="81">
        <v>1.5</v>
      </c>
      <c r="F5" s="81">
        <v>1.5</v>
      </c>
      <c r="G5" s="81">
        <v>0.7</v>
      </c>
      <c r="H5" s="81">
        <v>1.32701286472156E-3</v>
      </c>
      <c r="I5" s="81">
        <f>5*60+48.41</f>
        <v>348.40999999999997</v>
      </c>
      <c r="J5" s="126">
        <f>I5/60</f>
        <v>5.8068333333333326</v>
      </c>
      <c r="K5" s="83">
        <v>3.0051333747301801</v>
      </c>
      <c r="L5" s="83">
        <v>5.0528684093825298</v>
      </c>
      <c r="M5" s="83">
        <v>4.8710938159898802</v>
      </c>
      <c r="N5" s="84">
        <v>9.6469999999999993E-3</v>
      </c>
      <c r="O5" s="84">
        <v>8.5518540000000005</v>
      </c>
      <c r="P5" s="84">
        <v>7.1656500000000003</v>
      </c>
      <c r="Q5" s="84">
        <v>44.150669999999998</v>
      </c>
      <c r="R5" s="84">
        <v>42.528283999999999</v>
      </c>
      <c r="S5" s="84">
        <v>1E-4</v>
      </c>
      <c r="T5" s="83">
        <v>1.06812478247408</v>
      </c>
      <c r="U5" s="83">
        <v>3.3029168292772599</v>
      </c>
      <c r="V5" s="84">
        <v>1.6426339999999999</v>
      </c>
      <c r="W5" s="85">
        <v>0.29242188148853998</v>
      </c>
      <c r="X5" s="94">
        <v>0.47648836606682399</v>
      </c>
    </row>
    <row r="6" spans="1:26" s="86" customFormat="1" x14ac:dyDescent="0.35">
      <c r="A6" s="93" t="s">
        <v>11</v>
      </c>
      <c r="B6" s="81" t="s">
        <v>70</v>
      </c>
      <c r="C6" s="81">
        <v>150</v>
      </c>
      <c r="D6" s="81">
        <v>20</v>
      </c>
      <c r="E6" s="81">
        <v>1.5</v>
      </c>
      <c r="F6" s="81">
        <v>1.5</v>
      </c>
      <c r="G6" s="81">
        <v>0.7</v>
      </c>
      <c r="H6" s="54">
        <v>7.04873626723777E-4</v>
      </c>
      <c r="I6" s="54">
        <f>60+14.51</f>
        <v>74.510000000000005</v>
      </c>
      <c r="J6" s="111">
        <f>I6/60</f>
        <v>1.2418333333333333</v>
      </c>
      <c r="K6" s="112">
        <v>0.232102232392803</v>
      </c>
      <c r="L6" s="113">
        <v>4.1297069928879102</v>
      </c>
      <c r="M6" s="113">
        <v>6.0078738386920403</v>
      </c>
      <c r="N6" s="115">
        <v>9.6469999999999993E-3</v>
      </c>
      <c r="O6" s="115">
        <v>8.5518540000000005</v>
      </c>
      <c r="P6" s="115">
        <v>7.1656500000000003</v>
      </c>
      <c r="Q6" s="115">
        <v>44.150669999999998</v>
      </c>
      <c r="R6" s="115">
        <v>42.528283999999999</v>
      </c>
      <c r="S6" s="115">
        <v>1E-4</v>
      </c>
      <c r="T6" s="113">
        <v>1.1019035329447</v>
      </c>
      <c r="U6" s="113">
        <v>2.97276558235572</v>
      </c>
      <c r="V6" s="115">
        <v>1.6426339999999999</v>
      </c>
      <c r="W6" s="112">
        <v>0.20748440650441199</v>
      </c>
      <c r="X6" s="114">
        <v>0.59401552721599604</v>
      </c>
    </row>
    <row r="7" spans="1:26" s="86" customFormat="1" x14ac:dyDescent="0.35">
      <c r="A7" s="93" t="s">
        <v>11</v>
      </c>
      <c r="B7" s="81" t="s">
        <v>66</v>
      </c>
      <c r="C7" s="81">
        <v>200</v>
      </c>
      <c r="D7" s="81">
        <v>20</v>
      </c>
      <c r="E7" s="81">
        <v>1.5</v>
      </c>
      <c r="F7" s="81">
        <v>1.5</v>
      </c>
      <c r="G7" s="81">
        <v>0.7</v>
      </c>
      <c r="H7" s="81">
        <v>2.9328842498517401E-4</v>
      </c>
      <c r="I7" s="81">
        <f>60+15.12</f>
        <v>75.12</v>
      </c>
      <c r="J7" s="82">
        <f>I7/60</f>
        <v>1.252</v>
      </c>
      <c r="K7" s="85">
        <v>2.1763903293888599E-2</v>
      </c>
      <c r="L7" s="85">
        <v>5.3320005646842601</v>
      </c>
      <c r="M7" s="85">
        <v>10</v>
      </c>
      <c r="N7" s="84">
        <v>9.6469999999999993E-3</v>
      </c>
      <c r="O7" s="84">
        <v>8.5518540000000005</v>
      </c>
      <c r="P7" s="84">
        <v>7.1656500000000003</v>
      </c>
      <c r="Q7" s="84">
        <v>44.150669999999998</v>
      </c>
      <c r="R7" s="84">
        <v>42.528283999999999</v>
      </c>
      <c r="S7" s="84">
        <v>1E-4</v>
      </c>
      <c r="T7" s="83">
        <v>2.7464836815839999</v>
      </c>
      <c r="U7" s="83">
        <v>9.4217689488491896</v>
      </c>
      <c r="V7" s="84">
        <v>1.6426339999999999</v>
      </c>
      <c r="W7" s="85">
        <v>0.1</v>
      </c>
      <c r="X7" s="94">
        <v>0.66954694007881499</v>
      </c>
    </row>
    <row r="8" spans="1:26" s="86" customFormat="1" x14ac:dyDescent="0.35">
      <c r="A8" s="93" t="s">
        <v>11</v>
      </c>
      <c r="B8" s="81" t="s">
        <v>68</v>
      </c>
      <c r="C8" s="81">
        <v>200</v>
      </c>
      <c r="D8" s="81">
        <v>20</v>
      </c>
      <c r="E8" s="81">
        <v>1.5</v>
      </c>
      <c r="F8" s="81">
        <v>1.5</v>
      </c>
      <c r="G8" s="81">
        <v>0.7</v>
      </c>
      <c r="H8" s="87">
        <v>2.3513880843272501E-2</v>
      </c>
      <c r="I8" s="81">
        <f>60+31.97</f>
        <v>91.97</v>
      </c>
      <c r="J8" s="82">
        <f>I8/60</f>
        <v>1.5328333333333333</v>
      </c>
      <c r="K8" s="83">
        <v>6.9239735242755502</v>
      </c>
      <c r="L8" s="83">
        <v>1.82078102654331</v>
      </c>
      <c r="M8" s="83">
        <v>9.9329324700275592</v>
      </c>
      <c r="N8" s="84">
        <v>9.6469999999999993E-3</v>
      </c>
      <c r="O8" s="84">
        <v>8.5518540000000005</v>
      </c>
      <c r="P8" s="84">
        <v>7.1656500000000003</v>
      </c>
      <c r="Q8" s="84">
        <v>44.150669999999998</v>
      </c>
      <c r="R8" s="84">
        <v>42.528283999999999</v>
      </c>
      <c r="S8" s="84">
        <v>1E-4</v>
      </c>
      <c r="T8" s="83">
        <v>2.2496431130169099</v>
      </c>
      <c r="U8" s="83">
        <v>3.90148636909132</v>
      </c>
      <c r="V8" s="84">
        <v>1.6426339999999999</v>
      </c>
      <c r="W8" s="85">
        <v>1.4863468597450999</v>
      </c>
      <c r="X8" s="94">
        <v>0.26736379732660398</v>
      </c>
    </row>
    <row r="9" spans="1:26" s="86" customFormat="1" x14ac:dyDescent="0.35">
      <c r="A9" s="93" t="s">
        <v>11</v>
      </c>
      <c r="B9" s="81" t="s">
        <v>69</v>
      </c>
      <c r="C9" s="81">
        <v>200</v>
      </c>
      <c r="D9" s="81">
        <v>20</v>
      </c>
      <c r="E9" s="81">
        <v>1.5</v>
      </c>
      <c r="F9" s="81">
        <v>1.5</v>
      </c>
      <c r="G9" s="81">
        <v>0.7</v>
      </c>
      <c r="H9" s="81">
        <v>1.3251362658287199E-3</v>
      </c>
      <c r="I9" s="81">
        <f>60*7+25.26</f>
        <v>445.26</v>
      </c>
      <c r="J9" s="126">
        <f>I9/60</f>
        <v>7.4210000000000003</v>
      </c>
      <c r="K9" s="83">
        <v>3.01506522825153</v>
      </c>
      <c r="L9" s="83">
        <v>5.05925344685207</v>
      </c>
      <c r="M9" s="85">
        <v>4.86872801688311</v>
      </c>
      <c r="N9" s="84">
        <v>9.6469999999999993E-3</v>
      </c>
      <c r="O9" s="84">
        <v>8.5518540000000005</v>
      </c>
      <c r="P9" s="84">
        <v>7.1656500000000003</v>
      </c>
      <c r="Q9" s="84">
        <v>44.150669999999998</v>
      </c>
      <c r="R9" s="84">
        <v>42.528283999999999</v>
      </c>
      <c r="S9" s="84">
        <v>1E-4</v>
      </c>
      <c r="T9" s="83">
        <v>1.06792904742284</v>
      </c>
      <c r="U9" s="83">
        <v>3.30384536377028</v>
      </c>
      <c r="V9" s="84">
        <v>1.6426339999999999</v>
      </c>
      <c r="W9" s="85">
        <v>0.29253732272668498</v>
      </c>
      <c r="X9" s="94">
        <v>0.47645758028965701</v>
      </c>
    </row>
    <row r="10" spans="1:26" s="86" customFormat="1" x14ac:dyDescent="0.35">
      <c r="A10" s="93" t="s">
        <v>11</v>
      </c>
      <c r="B10" s="81" t="s">
        <v>70</v>
      </c>
      <c r="C10" s="81">
        <v>200</v>
      </c>
      <c r="D10" s="81">
        <v>20</v>
      </c>
      <c r="E10" s="81">
        <v>1.5</v>
      </c>
      <c r="F10" s="81">
        <v>1.5</v>
      </c>
      <c r="G10" s="81">
        <v>0.7</v>
      </c>
      <c r="H10" s="54">
        <v>7.04243140314323E-4</v>
      </c>
      <c r="I10" s="54">
        <f>60+30.12</f>
        <v>90.12</v>
      </c>
      <c r="J10" s="111">
        <f>I10/60</f>
        <v>1.502</v>
      </c>
      <c r="K10" s="112">
        <v>0.23198883475251</v>
      </c>
      <c r="L10" s="112">
        <v>4.13163737355673</v>
      </c>
      <c r="M10" s="112">
        <v>6.0033822043910199</v>
      </c>
      <c r="N10" s="115">
        <v>9.6469999999999993E-3</v>
      </c>
      <c r="O10" s="115">
        <v>8.5518540000000005</v>
      </c>
      <c r="P10" s="115">
        <v>7.1656500000000003</v>
      </c>
      <c r="Q10" s="115">
        <v>44.150669999999998</v>
      </c>
      <c r="R10" s="115">
        <v>42.528283999999999</v>
      </c>
      <c r="S10" s="115">
        <v>1E-4</v>
      </c>
      <c r="T10" s="113">
        <v>1.10164214051543</v>
      </c>
      <c r="U10" s="113">
        <v>3.12238469928359</v>
      </c>
      <c r="V10" s="115">
        <v>1.6426339999999999</v>
      </c>
      <c r="W10" s="112">
        <v>0.207546998368103</v>
      </c>
      <c r="X10" s="114">
        <v>0.59565351370611197</v>
      </c>
    </row>
    <row r="11" spans="1:26" s="86" customFormat="1" x14ac:dyDescent="0.35">
      <c r="A11" s="93" t="s">
        <v>11</v>
      </c>
      <c r="B11" s="81" t="s">
        <v>66</v>
      </c>
      <c r="C11" s="81">
        <v>500</v>
      </c>
      <c r="D11" s="81">
        <v>20</v>
      </c>
      <c r="E11" s="81">
        <v>1.5</v>
      </c>
      <c r="F11" s="81">
        <v>1.5</v>
      </c>
      <c r="G11" s="81">
        <v>0.7</v>
      </c>
      <c r="H11" s="81">
        <v>2.9106327802450499E-4</v>
      </c>
      <c r="I11" s="81">
        <f>3*60+9.3</f>
        <v>189.3</v>
      </c>
      <c r="J11" s="82">
        <f>I11/60</f>
        <v>3.1550000000000002</v>
      </c>
      <c r="K11" s="85">
        <v>2.1502308919205501E-2</v>
      </c>
      <c r="L11" s="85">
        <v>5.3545334420611397</v>
      </c>
      <c r="M11" s="85">
        <v>10</v>
      </c>
      <c r="N11" s="84">
        <v>9.6469999999999993E-3</v>
      </c>
      <c r="O11" s="84">
        <v>8.5518540000000005</v>
      </c>
      <c r="P11" s="84">
        <v>7.1656500000000003</v>
      </c>
      <c r="Q11" s="84">
        <v>44.150669999999998</v>
      </c>
      <c r="R11" s="84">
        <v>42.528283999999999</v>
      </c>
      <c r="S11" s="84">
        <v>1E-4</v>
      </c>
      <c r="T11" s="85">
        <v>10</v>
      </c>
      <c r="U11" s="85">
        <v>9.5278443260242494</v>
      </c>
      <c r="V11" s="84">
        <v>1.6426339999999999</v>
      </c>
      <c r="W11" s="85">
        <v>0.1</v>
      </c>
      <c r="X11" s="94">
        <v>0.66792358972713495</v>
      </c>
    </row>
    <row r="12" spans="1:26" s="86" customFormat="1" x14ac:dyDescent="0.35">
      <c r="A12" s="93" t="s">
        <v>11</v>
      </c>
      <c r="B12" s="81" t="s">
        <v>68</v>
      </c>
      <c r="C12" s="81">
        <v>500</v>
      </c>
      <c r="D12" s="81">
        <v>20</v>
      </c>
      <c r="E12" s="81">
        <v>1.5</v>
      </c>
      <c r="F12" s="81">
        <v>1.5</v>
      </c>
      <c r="G12" s="81">
        <v>0.7</v>
      </c>
      <c r="H12" s="87">
        <v>1.24794971393778E-2</v>
      </c>
      <c r="I12" s="81">
        <f>3*60+43.91</f>
        <v>223.91</v>
      </c>
      <c r="J12" s="82">
        <f>I12/60</f>
        <v>3.7318333333333333</v>
      </c>
      <c r="K12" s="83">
        <v>5.0791991043726403</v>
      </c>
      <c r="L12" s="83">
        <v>3.6404145364723002</v>
      </c>
      <c r="M12" s="83">
        <v>5.9324971501398496</v>
      </c>
      <c r="N12" s="84">
        <v>9.6469999999999993E-3</v>
      </c>
      <c r="O12" s="84">
        <v>8.5518540000000005</v>
      </c>
      <c r="P12" s="84">
        <v>7.1656500000000003</v>
      </c>
      <c r="Q12" s="84">
        <v>44.150669999999998</v>
      </c>
      <c r="R12" s="84">
        <v>42.528283999999999</v>
      </c>
      <c r="S12" s="84">
        <v>1E-4</v>
      </c>
      <c r="T12" s="83">
        <v>1.6798296474043799</v>
      </c>
      <c r="U12" s="83">
        <v>3.95284452016142</v>
      </c>
      <c r="V12" s="84">
        <v>1.6426339999999999</v>
      </c>
      <c r="W12" s="85">
        <v>1.48319268692199</v>
      </c>
      <c r="X12" s="94">
        <v>0.10854293257686699</v>
      </c>
    </row>
    <row r="13" spans="1:26" s="86" customFormat="1" x14ac:dyDescent="0.35">
      <c r="A13" s="93" t="s">
        <v>11</v>
      </c>
      <c r="B13" s="81" t="s">
        <v>69</v>
      </c>
      <c r="C13" s="81">
        <v>500</v>
      </c>
      <c r="D13" s="81">
        <v>20</v>
      </c>
      <c r="E13" s="81">
        <v>1.5</v>
      </c>
      <c r="F13" s="81">
        <v>1.5</v>
      </c>
      <c r="G13" s="81">
        <v>0.7</v>
      </c>
      <c r="H13" s="81">
        <v>1.22828604596883E-3</v>
      </c>
      <c r="I13" s="81">
        <f>20*60+26.29</f>
        <v>1226.29</v>
      </c>
      <c r="J13" s="126">
        <f>I13/60</f>
        <v>20.438166666666667</v>
      </c>
      <c r="K13" s="83">
        <v>1.10577438138983</v>
      </c>
      <c r="L13" s="83">
        <v>7.8360003082510898</v>
      </c>
      <c r="M13" s="83">
        <v>1.6052788739111301</v>
      </c>
      <c r="N13" s="84">
        <v>9.6469999999999993E-3</v>
      </c>
      <c r="O13" s="84">
        <v>8.5518540000000005</v>
      </c>
      <c r="P13" s="84">
        <v>7.1656500000000003</v>
      </c>
      <c r="Q13" s="84">
        <v>44.150669999999998</v>
      </c>
      <c r="R13" s="84">
        <v>42.528283999999999</v>
      </c>
      <c r="S13" s="84">
        <v>1E-4</v>
      </c>
      <c r="T13" s="83">
        <v>1.2822673368615201</v>
      </c>
      <c r="U13" s="88">
        <v>0.65248550329617405</v>
      </c>
      <c r="V13" s="84">
        <v>1.6426339999999999</v>
      </c>
      <c r="W13" s="85">
        <v>0.51457518879894604</v>
      </c>
      <c r="X13" s="95">
        <v>0.14428420432665601</v>
      </c>
    </row>
    <row r="14" spans="1:26" s="86" customFormat="1" x14ac:dyDescent="0.35">
      <c r="A14" s="93" t="s">
        <v>11</v>
      </c>
      <c r="B14" s="81" t="s">
        <v>70</v>
      </c>
      <c r="C14" s="81">
        <v>500</v>
      </c>
      <c r="D14" s="81">
        <v>20</v>
      </c>
      <c r="E14" s="81">
        <v>1.5</v>
      </c>
      <c r="F14" s="81">
        <v>1.5</v>
      </c>
      <c r="G14" s="81">
        <v>0.7</v>
      </c>
      <c r="H14" s="54">
        <v>7.0311620720228901E-4</v>
      </c>
      <c r="I14" s="54">
        <f>4*60+9.5</f>
        <v>249.5</v>
      </c>
      <c r="J14" s="111">
        <f>I14/60</f>
        <v>4.1583333333333332</v>
      </c>
      <c r="K14" s="112">
        <v>0.230277928812854</v>
      </c>
      <c r="L14" s="113">
        <v>4.1471160732970196</v>
      </c>
      <c r="M14" s="113">
        <v>6.0025562868090301</v>
      </c>
      <c r="N14" s="115">
        <v>9.6469999999999993E-3</v>
      </c>
      <c r="O14" s="115">
        <v>8.5518540000000005</v>
      </c>
      <c r="P14" s="115">
        <v>7.1656500000000003</v>
      </c>
      <c r="Q14" s="115">
        <v>44.150669999999998</v>
      </c>
      <c r="R14" s="115">
        <v>42.528283999999999</v>
      </c>
      <c r="S14" s="115">
        <v>1E-4</v>
      </c>
      <c r="T14" s="113">
        <v>1.1015287199813399</v>
      </c>
      <c r="U14" s="113">
        <v>2.49443328688508</v>
      </c>
      <c r="V14" s="115">
        <v>1.6426339999999999</v>
      </c>
      <c r="W14" s="112">
        <v>0.20757536882927899</v>
      </c>
      <c r="X14" s="114">
        <v>0.59564622966884795</v>
      </c>
    </row>
    <row r="15" spans="1:26" s="86" customFormat="1" ht="15" thickBot="1" x14ac:dyDescent="0.4">
      <c r="A15" s="96" t="s">
        <v>11</v>
      </c>
      <c r="B15" s="97" t="s">
        <v>70</v>
      </c>
      <c r="C15" s="97">
        <v>500</v>
      </c>
      <c r="D15" s="97">
        <v>25</v>
      </c>
      <c r="E15" s="97">
        <v>1.5</v>
      </c>
      <c r="F15" s="97">
        <v>1.5</v>
      </c>
      <c r="G15" s="97">
        <v>0.7</v>
      </c>
      <c r="H15" s="104">
        <v>6.7861314633885098E-4</v>
      </c>
      <c r="I15" s="104">
        <f>4*60+45.45</f>
        <v>285.45</v>
      </c>
      <c r="J15" s="116">
        <f>I15/60</f>
        <v>4.7574999999999994</v>
      </c>
      <c r="K15" s="117">
        <v>0.65584707161238898</v>
      </c>
      <c r="L15" s="118">
        <v>1.6542627156257601</v>
      </c>
      <c r="M15" s="117">
        <v>0.935993228967127</v>
      </c>
      <c r="N15" s="119">
        <v>9.6469999999999993E-3</v>
      </c>
      <c r="O15" s="119">
        <v>8.5518540000000005</v>
      </c>
      <c r="P15" s="119">
        <v>7.1656500000000003</v>
      </c>
      <c r="Q15" s="119">
        <v>44.150669999999998</v>
      </c>
      <c r="R15" s="119">
        <v>42.528283999999999</v>
      </c>
      <c r="S15" s="119">
        <v>1E-4</v>
      </c>
      <c r="T15" s="118">
        <v>6.3300111014726497</v>
      </c>
      <c r="U15" s="117">
        <v>0.97696229125558598</v>
      </c>
      <c r="V15" s="119">
        <v>1.6426339999999999</v>
      </c>
      <c r="W15" s="117">
        <v>0.351566393361611</v>
      </c>
      <c r="X15" s="120">
        <v>0.40093322956893201</v>
      </c>
    </row>
    <row r="16" spans="1:26" x14ac:dyDescent="0.35">
      <c r="A16" s="8" t="s">
        <v>21</v>
      </c>
      <c r="B16" s="9" t="s">
        <v>66</v>
      </c>
      <c r="C16" s="9">
        <v>150</v>
      </c>
      <c r="D16" s="9">
        <v>20</v>
      </c>
      <c r="E16" s="9">
        <v>1.5</v>
      </c>
      <c r="F16" s="9">
        <v>1.5</v>
      </c>
      <c r="G16" s="9">
        <v>0.7</v>
      </c>
      <c r="H16" s="9">
        <v>1.11440624623557E-2</v>
      </c>
      <c r="I16" s="9">
        <f>4*60+18.28</f>
        <v>258.27999999999997</v>
      </c>
      <c r="J16" s="89">
        <f>I16/60</f>
        <v>4.304666666666666</v>
      </c>
      <c r="K16" s="105">
        <v>2.3299381559274899</v>
      </c>
      <c r="L16" s="105">
        <v>5.32287018685438</v>
      </c>
      <c r="M16" s="105">
        <v>7.98243204684095</v>
      </c>
      <c r="N16" s="91">
        <v>9.6469999999999993E-3</v>
      </c>
      <c r="O16" s="91">
        <v>8.5518540000000005</v>
      </c>
      <c r="P16" s="91">
        <v>7.1656500000000003</v>
      </c>
      <c r="Q16" s="91">
        <v>44.150669999999998</v>
      </c>
      <c r="R16" s="91">
        <v>42.528283999999999</v>
      </c>
      <c r="S16" s="91">
        <v>1E-4</v>
      </c>
      <c r="T16" s="90">
        <v>0.17054697044964001</v>
      </c>
      <c r="U16" s="105">
        <v>7.0897163559782097</v>
      </c>
      <c r="V16" s="91">
        <v>1.6426339999999999</v>
      </c>
      <c r="W16" s="106">
        <v>0.47501878724573199</v>
      </c>
      <c r="X16" s="107">
        <v>0.34154452509892902</v>
      </c>
    </row>
    <row r="17" spans="1:24" x14ac:dyDescent="0.35">
      <c r="A17" s="12" t="s">
        <v>21</v>
      </c>
      <c r="B17" s="81" t="s">
        <v>68</v>
      </c>
      <c r="C17" s="81">
        <v>150</v>
      </c>
      <c r="D17" s="81">
        <v>20</v>
      </c>
      <c r="E17" s="81">
        <v>1.5</v>
      </c>
      <c r="F17" s="81">
        <v>1.5</v>
      </c>
      <c r="G17" s="81">
        <v>0.7</v>
      </c>
      <c r="H17" s="2">
        <v>3.3679725400876E-2</v>
      </c>
      <c r="I17" s="2">
        <f>2*60+53.1</f>
        <v>173.1</v>
      </c>
      <c r="J17" s="103">
        <f t="shared" ref="J17:J25" si="1">I17/60</f>
        <v>2.8849999999999998</v>
      </c>
      <c r="K17" s="60">
        <v>3.8814631810598001</v>
      </c>
      <c r="L17" s="60">
        <v>2.8667225940990999</v>
      </c>
      <c r="M17" s="60">
        <v>6.8650101407296198</v>
      </c>
      <c r="N17" s="84">
        <v>9.6469999999999993E-3</v>
      </c>
      <c r="O17" s="84">
        <v>8.5518540000000005</v>
      </c>
      <c r="P17" s="84">
        <v>7.1656500000000003</v>
      </c>
      <c r="Q17" s="84">
        <v>44.150669999999998</v>
      </c>
      <c r="R17" s="84">
        <v>42.528283999999999</v>
      </c>
      <c r="S17" s="84">
        <v>1E-4</v>
      </c>
      <c r="T17" s="60">
        <v>1.16026489040905</v>
      </c>
      <c r="U17" s="60">
        <v>5.8389022640940498</v>
      </c>
      <c r="V17" s="84">
        <v>1.6426339999999999</v>
      </c>
      <c r="W17" s="61">
        <v>0.64665747418014496</v>
      </c>
      <c r="X17" s="108">
        <v>0.204067557379424</v>
      </c>
    </row>
    <row r="18" spans="1:24" x14ac:dyDescent="0.35">
      <c r="A18" s="12" t="s">
        <v>21</v>
      </c>
      <c r="B18" s="81" t="s">
        <v>69</v>
      </c>
      <c r="C18" s="81">
        <v>150</v>
      </c>
      <c r="D18" s="81">
        <v>20</v>
      </c>
      <c r="E18" s="81">
        <v>1.5</v>
      </c>
      <c r="F18" s="81">
        <v>1.5</v>
      </c>
      <c r="G18" s="81">
        <v>0.7</v>
      </c>
      <c r="H18" s="109">
        <v>1.15359229420309E-2</v>
      </c>
      <c r="I18" s="2">
        <f>31*60+32.58</f>
        <v>1892.58</v>
      </c>
      <c r="J18" s="110">
        <f t="shared" si="1"/>
        <v>31.542999999999999</v>
      </c>
      <c r="K18" s="60">
        <v>4.66126484420837</v>
      </c>
      <c r="L18" s="60">
        <v>7.6274459060809496</v>
      </c>
      <c r="M18" s="59">
        <v>3.93887006942419</v>
      </c>
      <c r="N18" s="84">
        <v>9.6469999999999993E-3</v>
      </c>
      <c r="O18" s="84">
        <v>8.5518540000000005</v>
      </c>
      <c r="P18" s="84">
        <v>7.1656500000000003</v>
      </c>
      <c r="Q18" s="84">
        <v>44.150669999999998</v>
      </c>
      <c r="R18" s="84">
        <v>42.528283999999999</v>
      </c>
      <c r="S18" s="84">
        <v>1E-4</v>
      </c>
      <c r="T18" s="61">
        <v>0.17179967183183001</v>
      </c>
      <c r="U18" s="60">
        <v>4.8454643039093703</v>
      </c>
      <c r="V18" s="84">
        <v>1.6426339999999999</v>
      </c>
      <c r="W18" s="61">
        <v>0.71125671544458102</v>
      </c>
      <c r="X18" s="108">
        <v>0.13681289788651901</v>
      </c>
    </row>
    <row r="19" spans="1:24" x14ac:dyDescent="0.35">
      <c r="A19" s="12" t="s">
        <v>21</v>
      </c>
      <c r="B19" s="81" t="s">
        <v>70</v>
      </c>
      <c r="C19" s="81">
        <v>150</v>
      </c>
      <c r="D19" s="81">
        <v>20</v>
      </c>
      <c r="E19" s="81">
        <v>1.5</v>
      </c>
      <c r="F19" s="81">
        <v>1.5</v>
      </c>
      <c r="G19" s="81">
        <v>0.7</v>
      </c>
      <c r="H19" s="57">
        <v>1.1953798058781E-3</v>
      </c>
      <c r="I19" s="54">
        <f>5*60+28.86</f>
        <v>328.86</v>
      </c>
      <c r="J19" s="121">
        <f t="shared" si="1"/>
        <v>5.4809999999999999</v>
      </c>
      <c r="K19" s="112">
        <v>8.6968657160830798E-2</v>
      </c>
      <c r="L19" s="112">
        <v>0.37972652190723399</v>
      </c>
      <c r="M19" s="113">
        <v>1.8859295434347501</v>
      </c>
      <c r="N19" s="115">
        <v>9.6469999999999993E-3</v>
      </c>
      <c r="O19" s="115">
        <v>8.5518540000000005</v>
      </c>
      <c r="P19" s="115">
        <v>7.1656500000000003</v>
      </c>
      <c r="Q19" s="115">
        <v>44.150669999999998</v>
      </c>
      <c r="R19" s="115">
        <v>42.528283999999999</v>
      </c>
      <c r="S19" s="115">
        <v>1E-4</v>
      </c>
      <c r="T19" s="113">
        <v>9.2643799195858598</v>
      </c>
      <c r="U19" s="113">
        <v>9.9263324663812593</v>
      </c>
      <c r="V19" s="115">
        <v>1.6426339999999999</v>
      </c>
      <c r="W19" s="122">
        <v>0.14259670949258901</v>
      </c>
      <c r="X19" s="123">
        <v>0.67266227300008097</v>
      </c>
    </row>
    <row r="20" spans="1:24" x14ac:dyDescent="0.35">
      <c r="A20" s="12" t="s">
        <v>21</v>
      </c>
      <c r="B20" s="81" t="s">
        <v>66</v>
      </c>
      <c r="C20" s="81">
        <v>200</v>
      </c>
      <c r="D20" s="81">
        <v>20</v>
      </c>
      <c r="E20" s="81">
        <v>1.5</v>
      </c>
      <c r="F20" s="81">
        <v>1.5</v>
      </c>
      <c r="G20" s="81">
        <v>0.7</v>
      </c>
      <c r="H20" s="2">
        <v>1.1136767684926699E-2</v>
      </c>
      <c r="I20" s="2">
        <f>5*60+3.26</f>
        <v>303.26</v>
      </c>
      <c r="J20" s="103">
        <f t="shared" si="1"/>
        <v>5.0543333333333331</v>
      </c>
      <c r="K20" s="60">
        <v>2.40418844091263</v>
      </c>
      <c r="L20" s="60">
        <v>5.3229813301373197</v>
      </c>
      <c r="M20" s="60">
        <v>8.0155017949921401</v>
      </c>
      <c r="N20" s="84">
        <v>9.6469999999999993E-3</v>
      </c>
      <c r="O20" s="84">
        <v>8.5518540000000005</v>
      </c>
      <c r="P20" s="84">
        <v>7.1656500000000003</v>
      </c>
      <c r="Q20" s="84">
        <v>44.150669999999998</v>
      </c>
      <c r="R20" s="84">
        <v>42.528283999999999</v>
      </c>
      <c r="S20" s="84">
        <v>1E-4</v>
      </c>
      <c r="T20" s="61">
        <v>0.17047414015068499</v>
      </c>
      <c r="U20" s="60">
        <v>7.0922970703933199</v>
      </c>
      <c r="V20" s="84">
        <v>1.6426339999999999</v>
      </c>
      <c r="W20" s="61">
        <v>0.476047570705943</v>
      </c>
      <c r="X20" s="108">
        <v>0.34404791544767399</v>
      </c>
    </row>
    <row r="21" spans="1:24" x14ac:dyDescent="0.35">
      <c r="A21" s="12" t="s">
        <v>21</v>
      </c>
      <c r="B21" s="81" t="s">
        <v>68</v>
      </c>
      <c r="C21" s="81">
        <v>200</v>
      </c>
      <c r="D21" s="81">
        <v>20</v>
      </c>
      <c r="E21" s="81">
        <v>1.5</v>
      </c>
      <c r="F21" s="81">
        <v>1.5</v>
      </c>
      <c r="G21" s="81">
        <v>0.7</v>
      </c>
      <c r="H21" s="2">
        <v>3.3679725400876E-2</v>
      </c>
      <c r="I21" s="2">
        <f>3*60+53.73</f>
        <v>233.73</v>
      </c>
      <c r="J21" s="103">
        <f t="shared" si="1"/>
        <v>3.8954999999999997</v>
      </c>
      <c r="K21" s="60">
        <v>3.8814631810598001</v>
      </c>
      <c r="L21" s="60">
        <v>2.8667225940990999</v>
      </c>
      <c r="M21" s="60">
        <v>6.8650101407296198</v>
      </c>
      <c r="N21" s="84">
        <v>9.6469999999999993E-3</v>
      </c>
      <c r="O21" s="84">
        <v>8.5518540000000005</v>
      </c>
      <c r="P21" s="84">
        <v>7.1656500000000003</v>
      </c>
      <c r="Q21" s="84">
        <v>44.150669999999998</v>
      </c>
      <c r="R21" s="84">
        <v>42.528283999999999</v>
      </c>
      <c r="S21" s="84">
        <v>1E-4</v>
      </c>
      <c r="T21" s="60">
        <v>1.16026489040905</v>
      </c>
      <c r="U21" s="60">
        <v>5.8389022640940498</v>
      </c>
      <c r="V21" s="84">
        <v>1.6426339999999999</v>
      </c>
      <c r="W21" s="61">
        <v>0.64665747418014496</v>
      </c>
      <c r="X21" s="108">
        <v>0.204067557379424</v>
      </c>
    </row>
    <row r="22" spans="1:24" x14ac:dyDescent="0.35">
      <c r="A22" s="12" t="s">
        <v>21</v>
      </c>
      <c r="B22" s="81" t="s">
        <v>70</v>
      </c>
      <c r="C22" s="81">
        <v>200</v>
      </c>
      <c r="D22" s="81">
        <v>20</v>
      </c>
      <c r="E22" s="81">
        <v>1.5</v>
      </c>
      <c r="F22" s="81">
        <v>1.5</v>
      </c>
      <c r="G22" s="81">
        <v>0.7</v>
      </c>
      <c r="H22" s="54">
        <v>1.1445614822087899E-3</v>
      </c>
      <c r="I22" s="54">
        <f>11*60+48.17</f>
        <v>708.17</v>
      </c>
      <c r="J22" s="121">
        <f t="shared" si="1"/>
        <v>11.802833333333332</v>
      </c>
      <c r="K22" s="112">
        <v>9.7748777956490701E-2</v>
      </c>
      <c r="L22" s="112">
        <v>0.33917373382219301</v>
      </c>
      <c r="M22" s="113">
        <v>1.76771463748577</v>
      </c>
      <c r="N22" s="115">
        <v>9.6469999999999993E-3</v>
      </c>
      <c r="O22" s="115">
        <v>8.5518540000000005</v>
      </c>
      <c r="P22" s="115">
        <v>7.1656500000000003</v>
      </c>
      <c r="Q22" s="115">
        <v>44.150669999999998</v>
      </c>
      <c r="R22" s="115">
        <v>42.528283999999999</v>
      </c>
      <c r="S22" s="115">
        <v>1E-4</v>
      </c>
      <c r="T22" s="113">
        <v>9.9823011023231398</v>
      </c>
      <c r="U22" s="113">
        <v>9.8388752079463302</v>
      </c>
      <c r="V22" s="115">
        <v>1.6426339999999999</v>
      </c>
      <c r="W22" s="122">
        <v>0.144298087346836</v>
      </c>
      <c r="X22" s="123">
        <v>0.67235045686653305</v>
      </c>
    </row>
    <row r="23" spans="1:24" x14ac:dyDescent="0.35">
      <c r="A23" s="12" t="s">
        <v>21</v>
      </c>
      <c r="B23" s="81" t="s">
        <v>68</v>
      </c>
      <c r="C23" s="81">
        <v>500</v>
      </c>
      <c r="D23" s="81">
        <v>20</v>
      </c>
      <c r="E23" s="81">
        <v>1.5</v>
      </c>
      <c r="F23" s="81">
        <v>1.5</v>
      </c>
      <c r="G23" s="81">
        <v>0.7</v>
      </c>
      <c r="H23" s="2">
        <v>2.1153082388360899E-2</v>
      </c>
      <c r="I23" s="2">
        <f>11*60+34.96</f>
        <v>694.96</v>
      </c>
      <c r="J23" s="103">
        <f t="shared" si="1"/>
        <v>11.582666666666666</v>
      </c>
      <c r="K23" s="60">
        <v>4.6003553841105704</v>
      </c>
      <c r="L23" s="60">
        <v>2.9392767866460798</v>
      </c>
      <c r="M23" s="60">
        <v>1.8114258287038001</v>
      </c>
      <c r="N23" s="84">
        <v>9.6469999999999993E-3</v>
      </c>
      <c r="O23" s="84">
        <v>8.5518540000000005</v>
      </c>
      <c r="P23" s="84">
        <v>7.1656500000000003</v>
      </c>
      <c r="Q23" s="84">
        <v>44.150669999999998</v>
      </c>
      <c r="R23" s="84">
        <v>42.528283999999999</v>
      </c>
      <c r="S23" s="84">
        <v>1E-4</v>
      </c>
      <c r="T23" s="60">
        <v>2.72866349573804</v>
      </c>
      <c r="U23" s="60">
        <v>5.4387748973149801</v>
      </c>
      <c r="V23" s="84">
        <v>1.6426339999999999</v>
      </c>
      <c r="W23" s="61">
        <v>0.52946081224504704</v>
      </c>
      <c r="X23" s="108">
        <v>0.37852014574272003</v>
      </c>
    </row>
    <row r="24" spans="1:24" x14ac:dyDescent="0.35">
      <c r="A24" s="12" t="s">
        <v>21</v>
      </c>
      <c r="B24" s="81" t="s">
        <v>70</v>
      </c>
      <c r="C24" s="81">
        <v>500</v>
      </c>
      <c r="D24" s="81">
        <v>20</v>
      </c>
      <c r="E24" s="81">
        <v>1.5</v>
      </c>
      <c r="F24" s="81">
        <v>1.5</v>
      </c>
      <c r="G24" s="81">
        <v>0.7</v>
      </c>
      <c r="H24" s="54">
        <v>1.14236097186321E-3</v>
      </c>
      <c r="I24" s="54">
        <f>19*60+15.09</f>
        <v>1155.0899999999999</v>
      </c>
      <c r="J24" s="121">
        <f t="shared" si="1"/>
        <v>19.2515</v>
      </c>
      <c r="K24" s="112">
        <v>9.7556289800075593E-2</v>
      </c>
      <c r="L24" s="112">
        <v>0.33789906227527899</v>
      </c>
      <c r="M24" s="113">
        <v>1.7766564066399899</v>
      </c>
      <c r="N24" s="115">
        <v>9.6469999999999993E-3</v>
      </c>
      <c r="O24" s="115">
        <v>8.5518540000000005</v>
      </c>
      <c r="P24" s="115">
        <v>7.1656500000000003</v>
      </c>
      <c r="Q24" s="115">
        <v>44.150669999999998</v>
      </c>
      <c r="R24" s="115">
        <v>42.528283999999999</v>
      </c>
      <c r="S24" s="115">
        <v>1E-4</v>
      </c>
      <c r="T24" s="113">
        <v>9.9987954209152292</v>
      </c>
      <c r="U24" s="113">
        <v>9.9698073558070508</v>
      </c>
      <c r="V24" s="115">
        <v>1.6426339999999999</v>
      </c>
      <c r="W24" s="122">
        <v>0.144349858891552</v>
      </c>
      <c r="X24" s="123">
        <v>0.67196429289183002</v>
      </c>
    </row>
    <row r="25" spans="1:24" ht="15" thickBot="1" x14ac:dyDescent="0.4">
      <c r="A25" s="15" t="s">
        <v>21</v>
      </c>
      <c r="B25" s="97" t="s">
        <v>70</v>
      </c>
      <c r="C25" s="97">
        <v>500</v>
      </c>
      <c r="D25" s="97">
        <v>25</v>
      </c>
      <c r="E25" s="97">
        <v>1.5</v>
      </c>
      <c r="F25" s="97">
        <v>1.5</v>
      </c>
      <c r="G25" s="97">
        <v>0.7</v>
      </c>
      <c r="H25" s="104">
        <v>1.1658027202459599E-3</v>
      </c>
      <c r="I25" s="104">
        <f>30*60+57.34</f>
        <v>1857.34</v>
      </c>
      <c r="J25" s="124">
        <f t="shared" si="1"/>
        <v>30.955666666666666</v>
      </c>
      <c r="K25" s="117">
        <v>9.7800415721008199E-2</v>
      </c>
      <c r="L25" s="117">
        <v>0.71140617768074599</v>
      </c>
      <c r="M25" s="118">
        <v>1.4257677322081099</v>
      </c>
      <c r="N25" s="119">
        <v>9.6469999999999993E-3</v>
      </c>
      <c r="O25" s="119">
        <v>8.5518540000000005</v>
      </c>
      <c r="P25" s="119">
        <v>7.1656500000000003</v>
      </c>
      <c r="Q25" s="119">
        <v>44.150669999999998</v>
      </c>
      <c r="R25" s="119">
        <v>42.528283999999999</v>
      </c>
      <c r="S25" s="119">
        <v>1E-4</v>
      </c>
      <c r="T25" s="118">
        <v>9.9977821280604804</v>
      </c>
      <c r="U25" s="118">
        <v>6.5776873288542603</v>
      </c>
      <c r="V25" s="119">
        <v>1.6426339999999999</v>
      </c>
      <c r="W25" s="125">
        <v>0.28729463418919698</v>
      </c>
      <c r="X25" s="127">
        <v>0.52605879996048899</v>
      </c>
    </row>
    <row r="26" spans="1:24" x14ac:dyDescent="0.35">
      <c r="A26" s="8" t="s">
        <v>18</v>
      </c>
      <c r="B26" s="9" t="s">
        <v>66</v>
      </c>
      <c r="C26" s="9">
        <v>150</v>
      </c>
      <c r="D26" s="9">
        <v>20</v>
      </c>
      <c r="E26" s="9">
        <v>1.5</v>
      </c>
      <c r="F26" s="9">
        <v>1.5</v>
      </c>
      <c r="G26" s="9">
        <v>0.7</v>
      </c>
      <c r="H26" s="9">
        <v>5.3784901232232596E-4</v>
      </c>
      <c r="I26" s="9">
        <f>2*60+13.15</f>
        <v>133.15</v>
      </c>
      <c r="J26" s="89">
        <f>I26/60</f>
        <v>2.2191666666666667</v>
      </c>
      <c r="K26" s="90">
        <v>0.15796536035747399</v>
      </c>
      <c r="L26" s="105">
        <v>4.0428520216839896</v>
      </c>
      <c r="M26" s="105">
        <v>2.0987315453039099</v>
      </c>
      <c r="N26" s="91">
        <v>9.6469999999999993E-3</v>
      </c>
      <c r="O26" s="91">
        <v>8.5518540000000005</v>
      </c>
      <c r="P26" s="91">
        <v>7.1656500000000003</v>
      </c>
      <c r="Q26" s="91">
        <v>44.150669999999998</v>
      </c>
      <c r="R26" s="91">
        <v>42.528283999999999</v>
      </c>
      <c r="S26" s="91">
        <v>1E-4</v>
      </c>
      <c r="T26" s="105">
        <v>1.53299889476935</v>
      </c>
      <c r="U26" s="90">
        <v>0.1</v>
      </c>
      <c r="V26" s="91">
        <v>1.6426339999999999</v>
      </c>
      <c r="W26" s="134">
        <v>0.63770630487170998</v>
      </c>
      <c r="X26" s="107">
        <v>0.257882208313367</v>
      </c>
    </row>
    <row r="27" spans="1:24" x14ac:dyDescent="0.35">
      <c r="A27" s="12" t="s">
        <v>18</v>
      </c>
      <c r="B27" s="81" t="s">
        <v>68</v>
      </c>
      <c r="C27" s="81">
        <v>150</v>
      </c>
      <c r="D27" s="81">
        <v>20</v>
      </c>
      <c r="E27" s="81">
        <v>1.5</v>
      </c>
      <c r="F27" s="81">
        <v>1.5</v>
      </c>
      <c r="G27" s="81">
        <v>0.7</v>
      </c>
      <c r="H27" s="2">
        <v>4.1148524856419004E-3</v>
      </c>
      <c r="I27" s="2">
        <f>2*60+27.22</f>
        <v>147.22</v>
      </c>
      <c r="J27" s="51">
        <f>I27/60</f>
        <v>2.4536666666666664</v>
      </c>
      <c r="K27" s="60">
        <v>2.6203392577086202</v>
      </c>
      <c r="L27" s="60">
        <v>1.1689487871134601</v>
      </c>
      <c r="M27" s="60">
        <v>2.7977499112585198</v>
      </c>
      <c r="N27" s="84">
        <v>9.6469999999999993E-3</v>
      </c>
      <c r="O27" s="84">
        <v>8.5518540000000005</v>
      </c>
      <c r="P27" s="84">
        <v>7.1656500000000003</v>
      </c>
      <c r="Q27" s="84">
        <v>44.150669999999998</v>
      </c>
      <c r="R27" s="84">
        <v>42.528283999999999</v>
      </c>
      <c r="S27" s="84">
        <v>1E-4</v>
      </c>
      <c r="T27" s="60">
        <v>3.6733434323474299</v>
      </c>
      <c r="U27" s="60">
        <v>1.39120350584148</v>
      </c>
      <c r="V27" s="84">
        <v>1.6426339999999999</v>
      </c>
      <c r="W27" s="135">
        <v>1.00692090223985</v>
      </c>
      <c r="X27" s="108">
        <v>0.30911593462982501</v>
      </c>
    </row>
    <row r="28" spans="1:24" x14ac:dyDescent="0.35">
      <c r="A28" s="12" t="s">
        <v>18</v>
      </c>
      <c r="B28" s="81" t="s">
        <v>69</v>
      </c>
      <c r="C28" s="81">
        <v>150</v>
      </c>
      <c r="D28" s="81">
        <v>20</v>
      </c>
      <c r="E28" s="81">
        <v>1.5</v>
      </c>
      <c r="F28" s="81">
        <v>1.5</v>
      </c>
      <c r="G28" s="81">
        <v>0.7</v>
      </c>
      <c r="H28" s="2">
        <v>1.44192320669159E-3</v>
      </c>
      <c r="I28" s="2">
        <f>29*60+9.65</f>
        <v>1749.65</v>
      </c>
      <c r="J28" s="126">
        <f t="shared" ref="J28:J35" si="2">I28/60</f>
        <v>29.160833333333336</v>
      </c>
      <c r="K28" s="59">
        <v>0.45522379527423301</v>
      </c>
      <c r="L28" s="60">
        <v>2.1090735652864701</v>
      </c>
      <c r="M28" s="59">
        <v>0.60134452548395001</v>
      </c>
      <c r="N28" s="84">
        <v>9.6469999999999993E-3</v>
      </c>
      <c r="O28" s="84">
        <v>8.5518540000000005</v>
      </c>
      <c r="P28" s="84">
        <v>7.1656500000000003</v>
      </c>
      <c r="Q28" s="84">
        <v>44.150669999999998</v>
      </c>
      <c r="R28" s="84">
        <v>42.528283999999999</v>
      </c>
      <c r="S28" s="84">
        <v>1E-4</v>
      </c>
      <c r="T28" s="60">
        <v>3.1990570598648702</v>
      </c>
      <c r="U28" s="60">
        <v>9.3289686834751908</v>
      </c>
      <c r="V28" s="84">
        <v>1.6426339999999999</v>
      </c>
      <c r="W28" s="61">
        <v>0.76147206598734196</v>
      </c>
      <c r="X28" s="108">
        <v>0.14315943224626199</v>
      </c>
    </row>
    <row r="29" spans="1:24" x14ac:dyDescent="0.35">
      <c r="A29" s="12" t="s">
        <v>18</v>
      </c>
      <c r="B29" s="81" t="s">
        <v>70</v>
      </c>
      <c r="C29" s="81">
        <v>150</v>
      </c>
      <c r="D29" s="81">
        <v>20</v>
      </c>
      <c r="E29" s="81">
        <v>1.5</v>
      </c>
      <c r="F29" s="81">
        <v>1.5</v>
      </c>
      <c r="G29" s="81">
        <v>0.7</v>
      </c>
      <c r="H29" s="54">
        <v>5.5448295061802497E-4</v>
      </c>
      <c r="I29" s="54">
        <f>60+50.06</f>
        <v>110.06</v>
      </c>
      <c r="J29" s="111">
        <f t="shared" si="2"/>
        <v>1.8343333333333334</v>
      </c>
      <c r="K29" s="112">
        <v>0.18277191334128001</v>
      </c>
      <c r="L29" s="112">
        <v>0.93507902987293001</v>
      </c>
      <c r="M29" s="113">
        <v>5.9846530300535496</v>
      </c>
      <c r="N29" s="115">
        <v>9.6469999999999993E-3</v>
      </c>
      <c r="O29" s="115">
        <v>8.5518540000000005</v>
      </c>
      <c r="P29" s="115">
        <v>7.1656500000000003</v>
      </c>
      <c r="Q29" s="115">
        <v>44.150669999999998</v>
      </c>
      <c r="R29" s="115">
        <v>42.528283999999999</v>
      </c>
      <c r="S29" s="115">
        <v>1E-4</v>
      </c>
      <c r="T29" s="113">
        <v>1.63578039188719</v>
      </c>
      <c r="U29" s="113">
        <v>4.4317996594909204</v>
      </c>
      <c r="V29" s="115">
        <v>1.6426339999999999</v>
      </c>
      <c r="W29" s="122">
        <v>0.169428071211535</v>
      </c>
      <c r="X29" s="123">
        <v>0.79097187118017498</v>
      </c>
    </row>
    <row r="30" spans="1:24" x14ac:dyDescent="0.35">
      <c r="A30" s="12" t="s">
        <v>18</v>
      </c>
      <c r="B30" s="81" t="s">
        <v>66</v>
      </c>
      <c r="C30" s="81">
        <v>200</v>
      </c>
      <c r="D30" s="81">
        <v>20</v>
      </c>
      <c r="E30" s="81">
        <v>1.5</v>
      </c>
      <c r="F30" s="81">
        <v>1.5</v>
      </c>
      <c r="G30" s="81">
        <v>0.7</v>
      </c>
      <c r="H30" s="2">
        <v>5.3513470918326999E-4</v>
      </c>
      <c r="I30" s="2">
        <f>2*60+28.82</f>
        <v>148.82</v>
      </c>
      <c r="J30" s="51">
        <f t="shared" si="2"/>
        <v>2.4803333333333333</v>
      </c>
      <c r="K30" s="59">
        <v>0.15787142809999999</v>
      </c>
      <c r="L30" s="59">
        <v>4.0399279379999999</v>
      </c>
      <c r="M30" s="60">
        <v>2.1032253427203802</v>
      </c>
      <c r="N30" s="84">
        <v>9.6469999999999993E-3</v>
      </c>
      <c r="O30" s="84">
        <v>8.5518540000000005</v>
      </c>
      <c r="P30" s="84">
        <v>7.1656500000000003</v>
      </c>
      <c r="Q30" s="84">
        <v>44.150669999999998</v>
      </c>
      <c r="R30" s="84">
        <v>42.528283999999999</v>
      </c>
      <c r="S30" s="84">
        <v>1E-4</v>
      </c>
      <c r="T30" s="60">
        <v>1.5308576470192199</v>
      </c>
      <c r="U30" s="59">
        <v>0.1</v>
      </c>
      <c r="V30" s="84">
        <v>1.6426339999999999</v>
      </c>
      <c r="W30" s="61">
        <v>0.63979153894325302</v>
      </c>
      <c r="X30" s="108">
        <v>0.25571373554670501</v>
      </c>
    </row>
    <row r="31" spans="1:24" x14ac:dyDescent="0.35">
      <c r="A31" s="12" t="s">
        <v>18</v>
      </c>
      <c r="B31" s="81" t="s">
        <v>68</v>
      </c>
      <c r="C31" s="81">
        <v>200</v>
      </c>
      <c r="D31" s="81">
        <v>20</v>
      </c>
      <c r="E31" s="81">
        <v>1.5</v>
      </c>
      <c r="F31" s="81">
        <v>1.5</v>
      </c>
      <c r="G31" s="81">
        <v>0.7</v>
      </c>
      <c r="H31" s="2">
        <v>4.10590634113872E-3</v>
      </c>
      <c r="I31" s="2">
        <f>2*60+58.02</f>
        <v>178.02</v>
      </c>
      <c r="J31" s="51">
        <f t="shared" si="2"/>
        <v>2.9670000000000001</v>
      </c>
      <c r="K31" s="60">
        <v>2.6203392075057299</v>
      </c>
      <c r="L31" s="60">
        <v>1.1689507800277501</v>
      </c>
      <c r="M31" s="60">
        <v>2.7976688751157401</v>
      </c>
      <c r="N31" s="84">
        <v>9.6469999999999993E-3</v>
      </c>
      <c r="O31" s="84">
        <v>8.5518540000000005</v>
      </c>
      <c r="P31" s="84">
        <v>7.1656500000000003</v>
      </c>
      <c r="Q31" s="84">
        <v>44.150669999999998</v>
      </c>
      <c r="R31" s="84">
        <v>42.528283999999999</v>
      </c>
      <c r="S31" s="84">
        <v>1E-4</v>
      </c>
      <c r="T31" s="60">
        <v>3.6733722842723902</v>
      </c>
      <c r="U31" s="60">
        <v>1.3915161204550199</v>
      </c>
      <c r="V31" s="84">
        <v>1.6426339999999999</v>
      </c>
      <c r="W31" s="62">
        <v>1.0069276057424901</v>
      </c>
      <c r="X31" s="136">
        <v>0.30911590470633299</v>
      </c>
    </row>
    <row r="32" spans="1:24" x14ac:dyDescent="0.35">
      <c r="A32" s="12" t="s">
        <v>18</v>
      </c>
      <c r="B32" s="81" t="s">
        <v>70</v>
      </c>
      <c r="C32" s="81">
        <v>200</v>
      </c>
      <c r="D32" s="81">
        <v>20</v>
      </c>
      <c r="E32" s="81">
        <v>1.5</v>
      </c>
      <c r="F32" s="81">
        <v>1.5</v>
      </c>
      <c r="G32" s="81">
        <v>0.7</v>
      </c>
      <c r="H32" s="54">
        <v>5.3926815435973601E-4</v>
      </c>
      <c r="I32" s="54">
        <f>2*60+31.79</f>
        <v>151.79</v>
      </c>
      <c r="J32" s="111">
        <f t="shared" si="2"/>
        <v>2.5298333333333334</v>
      </c>
      <c r="K32" s="112">
        <v>0.200090503125988</v>
      </c>
      <c r="L32" s="112">
        <v>0.93334617005500298</v>
      </c>
      <c r="M32" s="113">
        <v>6.05992631645519</v>
      </c>
      <c r="N32" s="115">
        <v>9.6469999999999993E-3</v>
      </c>
      <c r="O32" s="115">
        <v>8.5518540000000005</v>
      </c>
      <c r="P32" s="115">
        <v>7.1656500000000003</v>
      </c>
      <c r="Q32" s="115">
        <v>44.150669999999998</v>
      </c>
      <c r="R32" s="115">
        <v>42.528283999999999</v>
      </c>
      <c r="S32" s="115">
        <v>1E-4</v>
      </c>
      <c r="T32" s="113">
        <v>1.6315342260914001</v>
      </c>
      <c r="U32" s="113">
        <v>3.8159681302494901</v>
      </c>
      <c r="V32" s="115">
        <v>1.6426339999999999</v>
      </c>
      <c r="W32" s="122">
        <v>0.174710337054786</v>
      </c>
      <c r="X32" s="123">
        <v>0.77567938513379198</v>
      </c>
    </row>
    <row r="33" spans="1:24" x14ac:dyDescent="0.35">
      <c r="A33" s="12" t="s">
        <v>18</v>
      </c>
      <c r="B33" s="81" t="s">
        <v>66</v>
      </c>
      <c r="C33" s="81">
        <v>500</v>
      </c>
      <c r="D33" s="81">
        <v>20</v>
      </c>
      <c r="E33" s="81">
        <v>1.5</v>
      </c>
      <c r="F33" s="81">
        <v>1.5</v>
      </c>
      <c r="G33" s="81">
        <v>0.7</v>
      </c>
      <c r="H33" s="2">
        <v>5.2679333999513503E-4</v>
      </c>
      <c r="I33" s="2">
        <f>6*60+43.62</f>
        <v>403.62</v>
      </c>
      <c r="J33" s="51">
        <f t="shared" si="2"/>
        <v>6.7270000000000003</v>
      </c>
      <c r="K33" s="59">
        <v>0.157463964667933</v>
      </c>
      <c r="L33" s="60">
        <v>4.0531198810914901</v>
      </c>
      <c r="M33" s="60">
        <v>2.0974792918972098</v>
      </c>
      <c r="N33" s="84">
        <v>9.6469999999999993E-3</v>
      </c>
      <c r="O33" s="84">
        <v>8.5518540000000005</v>
      </c>
      <c r="P33" s="84">
        <v>7.1656500000000003</v>
      </c>
      <c r="Q33" s="84">
        <v>44.150669999999998</v>
      </c>
      <c r="R33" s="84">
        <v>42.528283999999999</v>
      </c>
      <c r="S33" s="84">
        <v>1E-4</v>
      </c>
      <c r="T33" s="60">
        <v>1.52141408505271</v>
      </c>
      <c r="U33" s="59">
        <v>0.1</v>
      </c>
      <c r="V33" s="84">
        <v>1.6426339999999999</v>
      </c>
      <c r="W33" s="61">
        <v>0.64923804018372</v>
      </c>
      <c r="X33" s="108">
        <v>0.24784531385410899</v>
      </c>
    </row>
    <row r="34" spans="1:24" x14ac:dyDescent="0.35">
      <c r="A34" s="12" t="s">
        <v>18</v>
      </c>
      <c r="B34" s="81" t="s">
        <v>68</v>
      </c>
      <c r="C34" s="81">
        <v>500</v>
      </c>
      <c r="D34" s="81">
        <v>20</v>
      </c>
      <c r="E34" s="81">
        <v>1.5</v>
      </c>
      <c r="F34" s="81">
        <v>1.5</v>
      </c>
      <c r="G34" s="81">
        <v>0.7</v>
      </c>
      <c r="H34" s="2">
        <v>4.0861062734903796E-3</v>
      </c>
      <c r="I34" s="2">
        <f>60*7+58.57</f>
        <v>478.57</v>
      </c>
      <c r="J34" s="51">
        <f t="shared" si="2"/>
        <v>7.9761666666666668</v>
      </c>
      <c r="K34" s="60">
        <v>2.6203392068401099</v>
      </c>
      <c r="L34" s="60">
        <v>1.1689507251606801</v>
      </c>
      <c r="M34" s="60">
        <v>2.7976691013519499</v>
      </c>
      <c r="N34" s="84">
        <v>9.6469999999999993E-3</v>
      </c>
      <c r="O34" s="84">
        <v>8.5518540000000005</v>
      </c>
      <c r="P34" s="84">
        <v>7.1656500000000003</v>
      </c>
      <c r="Q34" s="84">
        <v>44.150669999999998</v>
      </c>
      <c r="R34" s="84">
        <v>42.528283999999999</v>
      </c>
      <c r="S34" s="84">
        <v>1E-4</v>
      </c>
      <c r="T34" s="60">
        <v>3.67337189781977</v>
      </c>
      <c r="U34" s="60">
        <v>1.3915183032071201</v>
      </c>
      <c r="V34" s="84">
        <v>1.6426339999999999</v>
      </c>
      <c r="W34" s="62">
        <v>1.0069275680676799</v>
      </c>
      <c r="X34" s="136">
        <v>0.30911590444193399</v>
      </c>
    </row>
    <row r="35" spans="1:24" x14ac:dyDescent="0.35">
      <c r="A35" s="12" t="s">
        <v>18</v>
      </c>
      <c r="B35" s="81" t="s">
        <v>70</v>
      </c>
      <c r="C35" s="81">
        <v>500</v>
      </c>
      <c r="D35" s="81">
        <v>20</v>
      </c>
      <c r="E35" s="81">
        <v>1.5</v>
      </c>
      <c r="F35" s="81">
        <v>1.5</v>
      </c>
      <c r="G35" s="81">
        <v>0.7</v>
      </c>
      <c r="H35" s="54">
        <v>5.33593973727646E-4</v>
      </c>
      <c r="I35" s="54">
        <f>6*60+4.39</f>
        <v>364.39</v>
      </c>
      <c r="J35" s="111">
        <f t="shared" si="2"/>
        <v>6.0731666666666664</v>
      </c>
      <c r="K35" s="112">
        <v>0.200782865525586</v>
      </c>
      <c r="L35" s="112">
        <v>0.93063361469372696</v>
      </c>
      <c r="M35" s="113">
        <v>6.0938949101244804</v>
      </c>
      <c r="N35" s="115">
        <v>9.6469999999999993E-3</v>
      </c>
      <c r="O35" s="115">
        <v>8.5518540000000005</v>
      </c>
      <c r="P35" s="115">
        <v>7.1656500000000003</v>
      </c>
      <c r="Q35" s="115">
        <v>44.150669999999998</v>
      </c>
      <c r="R35" s="115">
        <v>42.528283999999999</v>
      </c>
      <c r="S35" s="115">
        <v>1E-4</v>
      </c>
      <c r="T35" s="113">
        <v>1.6305970614002501</v>
      </c>
      <c r="U35" s="113">
        <v>3.9338297609874702</v>
      </c>
      <c r="V35" s="115">
        <v>1.6426339999999999</v>
      </c>
      <c r="W35" s="122">
        <v>0.17573106357227899</v>
      </c>
      <c r="X35" s="123">
        <v>0.76753466547034999</v>
      </c>
    </row>
    <row r="36" spans="1:24" ht="15" thickBot="1" x14ac:dyDescent="0.4">
      <c r="A36" s="15" t="s">
        <v>18</v>
      </c>
      <c r="B36" s="97" t="s">
        <v>70</v>
      </c>
      <c r="C36" s="97">
        <v>500</v>
      </c>
      <c r="D36" s="97">
        <v>25</v>
      </c>
      <c r="E36" s="97">
        <v>1.5</v>
      </c>
      <c r="F36" s="97">
        <v>1.5</v>
      </c>
      <c r="G36" s="97">
        <v>0.7</v>
      </c>
      <c r="H36" s="104">
        <v>4.9961670047101402E-4</v>
      </c>
      <c r="I36" s="104">
        <f>10*60+4.18</f>
        <v>604.17999999999995</v>
      </c>
      <c r="J36" s="116">
        <f>I36/60</f>
        <v>10.069666666666667</v>
      </c>
      <c r="K36" s="125">
        <v>0.123108699728849</v>
      </c>
      <c r="L36" s="118">
        <v>2.2809552057362699</v>
      </c>
      <c r="M36" s="118">
        <v>9.1416504040918696</v>
      </c>
      <c r="N36" s="119">
        <v>9.6469999999999993E-3</v>
      </c>
      <c r="O36" s="119">
        <v>8.5518540000000005</v>
      </c>
      <c r="P36" s="119">
        <v>7.1656500000000003</v>
      </c>
      <c r="Q36" s="119">
        <v>44.150669999999998</v>
      </c>
      <c r="R36" s="119">
        <v>42.528283999999999</v>
      </c>
      <c r="S36" s="119">
        <v>1E-4</v>
      </c>
      <c r="T36" s="117">
        <v>0.91524577772073001</v>
      </c>
      <c r="U36" s="118">
        <v>9.9941869830438801</v>
      </c>
      <c r="V36" s="119">
        <v>1.6426339999999999</v>
      </c>
      <c r="W36" s="125">
        <v>0.262348974530624</v>
      </c>
      <c r="X36" s="127">
        <v>0.66041250315907096</v>
      </c>
    </row>
  </sheetData>
  <autoFilter ref="A2:X36" xr:uid="{3F024A9F-720A-4384-9592-EDD81D7A1CFE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Pruebas PSO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María Fernanda Folch Díaz</cp:lastModifiedBy>
  <dcterms:created xsi:type="dcterms:W3CDTF">2015-06-05T18:19:34Z</dcterms:created>
  <dcterms:modified xsi:type="dcterms:W3CDTF">2026-03-19T19:10:46Z</dcterms:modified>
</cp:coreProperties>
</file>