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BB1A6BB9-41FA-485D-A31C-B9C24F655343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</sheets>
  <definedNames>
    <definedName name="_xlnm._FilterDatabase" localSheetId="2" hidden="1">'Pruebas PSO'!$A$2:$X$40</definedName>
    <definedName name="_xlnm._FilterDatabase" localSheetId="4" hidden="1">'Pruebas variedades'!$A$1:$AA$1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5" l="1"/>
  <c r="P31" i="5"/>
  <c r="W31" i="5"/>
  <c r="X31" i="5"/>
  <c r="Z31" i="5"/>
  <c r="AA31" i="5"/>
  <c r="O32" i="5"/>
  <c r="P32" i="5"/>
  <c r="W32" i="5"/>
  <c r="X32" i="5"/>
  <c r="Z32" i="5"/>
  <c r="AA32" i="5"/>
  <c r="N32" i="5"/>
  <c r="N31" i="5"/>
  <c r="L29" i="5"/>
  <c r="K29" i="5"/>
  <c r="L28" i="5"/>
  <c r="K28" i="5"/>
  <c r="L27" i="5"/>
  <c r="K27" i="5"/>
  <c r="L26" i="5"/>
  <c r="K26" i="5"/>
  <c r="N18" i="5"/>
  <c r="P20" i="5"/>
  <c r="P21" i="5"/>
  <c r="O20" i="5"/>
  <c r="W20" i="5"/>
  <c r="X20" i="5"/>
  <c r="Z20" i="5"/>
  <c r="AA20" i="5"/>
  <c r="O21" i="5"/>
  <c r="W21" i="5"/>
  <c r="X21" i="5"/>
  <c r="Z21" i="5"/>
  <c r="AA21" i="5"/>
  <c r="N21" i="5"/>
  <c r="N20" i="5"/>
  <c r="P19" i="5"/>
  <c r="O19" i="5"/>
  <c r="W19" i="5"/>
  <c r="X19" i="5"/>
  <c r="Z19" i="5"/>
  <c r="AA19" i="5"/>
  <c r="O18" i="5"/>
  <c r="P18" i="5"/>
  <c r="W18" i="5"/>
  <c r="X18" i="5"/>
  <c r="Z18" i="5"/>
  <c r="AA18" i="5"/>
  <c r="N19" i="5"/>
  <c r="W17" i="5"/>
  <c r="X17" i="5"/>
  <c r="Z17" i="5"/>
  <c r="AA17" i="5"/>
  <c r="O17" i="5"/>
  <c r="P17" i="5"/>
  <c r="P16" i="5"/>
  <c r="O16" i="5"/>
  <c r="W16" i="5"/>
  <c r="X16" i="5"/>
  <c r="Z16" i="5"/>
  <c r="AA16" i="5"/>
  <c r="N17" i="5"/>
  <c r="N16" i="5"/>
  <c r="L13" i="5"/>
  <c r="K12" i="5"/>
  <c r="L12" i="5" s="1"/>
  <c r="K11" i="5"/>
  <c r="L11" i="5" s="1"/>
  <c r="K10" i="5"/>
  <c r="L10" i="5" s="1"/>
  <c r="L9" i="5"/>
  <c r="K9" i="5"/>
  <c r="L8" i="5"/>
  <c r="K8" i="5"/>
  <c r="K7" i="5"/>
  <c r="L7" i="5" s="1"/>
  <c r="L6" i="5"/>
  <c r="K6" i="5"/>
  <c r="K5" i="5"/>
  <c r="L5" i="5" s="1"/>
  <c r="K2" i="5"/>
  <c r="L2" i="5" s="1"/>
  <c r="L4" i="5"/>
  <c r="K4" i="5"/>
  <c r="K3" i="5"/>
  <c r="L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<sst xmlns="http://schemas.openxmlformats.org/spreadsheetml/2006/main" count="698" uniqueCount="141">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</sst>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8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65" fontId="0" fillId="9" borderId="1" xfId="0" applyNumberFormat="1" applyFill="1" applyBorder="1"/>
    <xf numFmtId="170" fontId="0" fillId="9" borderId="1" xfId="0" applyNumberFormat="1" applyFill="1" applyBorder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9" fontId="0" fillId="0" borderId="3" xfId="0" applyNumberFormat="1" applyBorder="1"/>
    <xf numFmtId="9" fontId="0" fillId="0" borderId="6" xfId="0" applyNumberFormat="1" applyBorder="1"/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9" fontId="0" fillId="0" borderId="8" xfId="0" applyNumberFormat="1" applyBorder="1"/>
    <xf numFmtId="170" fontId="0" fillId="0" borderId="8" xfId="0" applyNumberFormat="1" applyBorder="1"/>
    <xf numFmtId="0" fontId="0" fillId="0" borderId="0" xfId="0" applyBorder="1"/>
    <xf numFmtId="9" fontId="0" fillId="0" borderId="0" xfId="0" applyNumberFormat="1" applyBorder="1"/>
    <xf numFmtId="169" fontId="2" fillId="0" borderId="0" xfId="0" applyNumberFormat="1" applyFont="1" applyBorder="1"/>
    <xf numFmtId="169" fontId="0" fillId="0" borderId="1" xfId="0" applyNumberFormat="1" applyBorder="1"/>
    <xf numFmtId="169" fontId="0" fillId="0" borderId="6" xfId="0" applyNumberForma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16" t="s">
        <v>1</v>
      </c>
      <c r="C2" s="215" t="s">
        <v>2</v>
      </c>
      <c r="D2" s="215"/>
      <c r="E2" s="215"/>
      <c r="F2" s="215"/>
      <c r="G2" s="218" t="s">
        <v>12</v>
      </c>
      <c r="H2" s="218" t="s">
        <v>9</v>
      </c>
      <c r="I2" s="218" t="s">
        <v>10</v>
      </c>
      <c r="J2" s="213" t="s">
        <v>6</v>
      </c>
      <c r="L2" t="s">
        <v>14</v>
      </c>
    </row>
    <row r="3" spans="1:12" ht="15" thickBot="1" x14ac:dyDescent="0.35">
      <c r="B3" s="217"/>
      <c r="C3" s="16" t="s">
        <v>3</v>
      </c>
      <c r="D3" s="16" t="s">
        <v>4</v>
      </c>
      <c r="E3" s="7" t="s">
        <v>30</v>
      </c>
      <c r="F3" s="7" t="s">
        <v>29</v>
      </c>
      <c r="G3" s="219"/>
      <c r="H3" s="219"/>
      <c r="I3" s="219"/>
      <c r="J3" s="220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16" t="s">
        <v>1</v>
      </c>
      <c r="C71" s="215" t="s">
        <v>2</v>
      </c>
      <c r="D71" s="215"/>
      <c r="E71" s="215"/>
      <c r="F71" s="215"/>
      <c r="G71" s="218" t="s">
        <v>12</v>
      </c>
      <c r="H71" s="218" t="s">
        <v>9</v>
      </c>
      <c r="I71" s="218" t="s">
        <v>10</v>
      </c>
      <c r="J71" s="213" t="s">
        <v>6</v>
      </c>
    </row>
    <row r="72" spans="1:12" ht="15" thickBot="1" x14ac:dyDescent="0.35">
      <c r="B72" s="221"/>
      <c r="C72" s="7" t="s">
        <v>3</v>
      </c>
      <c r="D72" s="7" t="s">
        <v>4</v>
      </c>
      <c r="E72" s="7" t="s">
        <v>30</v>
      </c>
      <c r="F72" s="7" t="s">
        <v>29</v>
      </c>
      <c r="G72" s="222"/>
      <c r="H72" s="222"/>
      <c r="I72" s="222"/>
      <c r="J72" s="214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27" t="s">
        <v>1</v>
      </c>
      <c r="C2" s="230" t="s">
        <v>2</v>
      </c>
      <c r="D2" s="230"/>
      <c r="E2" s="230"/>
      <c r="F2" s="230"/>
      <c r="G2" s="227" t="s">
        <v>9</v>
      </c>
      <c r="H2" s="227" t="s">
        <v>6</v>
      </c>
      <c r="I2" s="227" t="s">
        <v>34</v>
      </c>
      <c r="N2" s="227" t="s">
        <v>40</v>
      </c>
      <c r="O2" s="228" t="s">
        <v>1</v>
      </c>
      <c r="P2" s="224" t="s">
        <v>2</v>
      </c>
      <c r="Q2" s="225"/>
      <c r="R2" s="225"/>
      <c r="S2" s="226"/>
      <c r="T2" s="222" t="s">
        <v>9</v>
      </c>
      <c r="U2" s="222" t="s">
        <v>6</v>
      </c>
      <c r="V2" s="222" t="s">
        <v>34</v>
      </c>
    </row>
    <row r="3" spans="1:23" x14ac:dyDescent="0.3">
      <c r="B3" s="227"/>
      <c r="C3" s="50" t="s">
        <v>3</v>
      </c>
      <c r="D3" s="50" t="s">
        <v>4</v>
      </c>
      <c r="E3" s="50" t="s">
        <v>30</v>
      </c>
      <c r="F3" s="50" t="s">
        <v>29</v>
      </c>
      <c r="G3" s="227"/>
      <c r="H3" s="227"/>
      <c r="I3" s="227"/>
      <c r="N3" s="227"/>
      <c r="O3" s="228"/>
      <c r="P3" s="50" t="s">
        <v>3</v>
      </c>
      <c r="Q3" s="50" t="s">
        <v>4</v>
      </c>
      <c r="R3" s="50" t="s">
        <v>30</v>
      </c>
      <c r="S3" s="50" t="s">
        <v>29</v>
      </c>
      <c r="T3" s="223"/>
      <c r="U3" s="223"/>
      <c r="V3" s="223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27" t="s">
        <v>1</v>
      </c>
      <c r="C21" s="230" t="s">
        <v>2</v>
      </c>
      <c r="D21" s="230"/>
      <c r="E21" s="230"/>
      <c r="F21" s="230"/>
      <c r="G21" s="227" t="s">
        <v>9</v>
      </c>
      <c r="H21" s="227" t="s">
        <v>6</v>
      </c>
      <c r="I21" s="227" t="s">
        <v>34</v>
      </c>
    </row>
    <row r="22" spans="1:11" x14ac:dyDescent="0.3">
      <c r="B22" s="227"/>
      <c r="C22" s="50" t="s">
        <v>3</v>
      </c>
      <c r="D22" s="50" t="s">
        <v>4</v>
      </c>
      <c r="E22" s="50" t="s">
        <v>30</v>
      </c>
      <c r="F22" s="50" t="s">
        <v>29</v>
      </c>
      <c r="G22" s="227"/>
      <c r="H22" s="227"/>
      <c r="I22" s="227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27" t="s">
        <v>1</v>
      </c>
      <c r="C40" s="230" t="s">
        <v>2</v>
      </c>
      <c r="D40" s="230"/>
      <c r="E40" s="230"/>
      <c r="F40" s="230"/>
      <c r="G40" s="227" t="s">
        <v>9</v>
      </c>
      <c r="H40" s="227" t="s">
        <v>6</v>
      </c>
      <c r="I40" s="227" t="s">
        <v>34</v>
      </c>
      <c r="J40" s="229"/>
    </row>
    <row r="41" spans="1:11" x14ac:dyDescent="0.3">
      <c r="B41" s="227"/>
      <c r="C41" s="50" t="s">
        <v>3</v>
      </c>
      <c r="D41" s="50" t="s">
        <v>4</v>
      </c>
      <c r="E41" s="50" t="s">
        <v>30</v>
      </c>
      <c r="F41" s="50" t="s">
        <v>29</v>
      </c>
      <c r="G41" s="227"/>
      <c r="H41" s="227"/>
      <c r="I41" s="227"/>
      <c r="J41" s="229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topLeftCell="A36"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B34"/>
  <sheetViews>
    <sheetView tabSelected="1" topLeftCell="A15" zoomScale="94" workbookViewId="0">
      <selection activeCell="C34" sqref="C34"/>
    </sheetView>
  </sheetViews>
  <sheetFormatPr baseColWidth="10" defaultRowHeight="14.4" x14ac:dyDescent="0.3"/>
  <cols>
    <col min="1" max="1" width="43.88671875" bestFit="1" customWidth="1"/>
    <col min="3" max="3" width="17.21875" bestFit="1" customWidth="1"/>
    <col min="13" max="13" width="13.33203125" customWidth="1"/>
  </cols>
  <sheetData>
    <row r="1" spans="1:28" ht="29.4" thickBot="1" x14ac:dyDescent="0.35">
      <c r="A1" s="233" t="s">
        <v>132</v>
      </c>
      <c r="B1" s="234" t="s">
        <v>45</v>
      </c>
      <c r="C1" s="235" t="s">
        <v>109</v>
      </c>
      <c r="D1" s="236" t="s">
        <v>47</v>
      </c>
      <c r="E1" s="236" t="s">
        <v>46</v>
      </c>
      <c r="F1" s="236" t="s">
        <v>48</v>
      </c>
      <c r="G1" s="236" t="s">
        <v>49</v>
      </c>
      <c r="H1" s="236" t="s">
        <v>50</v>
      </c>
      <c r="I1" s="234" t="s">
        <v>104</v>
      </c>
      <c r="J1" s="234" t="s">
        <v>9</v>
      </c>
      <c r="K1" s="234" t="s">
        <v>6</v>
      </c>
      <c r="L1" s="234" t="s">
        <v>34</v>
      </c>
      <c r="M1" s="234" t="s">
        <v>113</v>
      </c>
      <c r="N1" s="237" t="s">
        <v>52</v>
      </c>
      <c r="O1" s="237" t="s">
        <v>53</v>
      </c>
      <c r="P1" s="237" t="s">
        <v>54</v>
      </c>
      <c r="Q1" s="238" t="s">
        <v>55</v>
      </c>
      <c r="R1" s="238" t="s">
        <v>56</v>
      </c>
      <c r="S1" s="238" t="s">
        <v>57</v>
      </c>
      <c r="T1" s="238" t="s">
        <v>58</v>
      </c>
      <c r="U1" s="238" t="s">
        <v>59</v>
      </c>
      <c r="V1" s="238" t="s">
        <v>60</v>
      </c>
      <c r="W1" s="237" t="s">
        <v>61</v>
      </c>
      <c r="X1" s="237" t="s">
        <v>65</v>
      </c>
      <c r="Y1" s="239" t="s">
        <v>62</v>
      </c>
      <c r="Z1" s="237" t="s">
        <v>63</v>
      </c>
      <c r="AA1" s="240" t="s">
        <v>64</v>
      </c>
    </row>
    <row r="2" spans="1:28" x14ac:dyDescent="0.3">
      <c r="A2" s="8" t="s">
        <v>112</v>
      </c>
      <c r="B2" s="9" t="s">
        <v>70</v>
      </c>
      <c r="C2" s="9" t="s">
        <v>110</v>
      </c>
      <c r="D2" s="9">
        <v>1000</v>
      </c>
      <c r="E2" s="9">
        <v>25</v>
      </c>
      <c r="F2" s="9">
        <v>1.5</v>
      </c>
      <c r="G2" s="9">
        <v>1.5</v>
      </c>
      <c r="H2" s="9">
        <v>0.7</v>
      </c>
      <c r="I2" s="231">
        <v>0.01</v>
      </c>
      <c r="J2" s="9">
        <v>9.1703383080884396E-4</v>
      </c>
      <c r="K2" s="9">
        <f>12*60+42.48</f>
        <v>762.48</v>
      </c>
      <c r="L2" s="66">
        <f t="shared" ref="L2:L10" si="0">K2/60</f>
        <v>12.708</v>
      </c>
      <c r="M2" s="9">
        <v>1001</v>
      </c>
      <c r="N2" s="9">
        <v>4.94801127619185E-2</v>
      </c>
      <c r="O2" s="40">
        <v>2.8123834061945798</v>
      </c>
      <c r="P2" s="9">
        <v>0.99007892976186596</v>
      </c>
      <c r="Q2" s="68">
        <v>9.6469999999999993E-3</v>
      </c>
      <c r="R2" s="68">
        <v>8.5518540000000005</v>
      </c>
      <c r="S2" s="68">
        <v>7.1656500000000003</v>
      </c>
      <c r="T2" s="68">
        <v>44.150669999999998</v>
      </c>
      <c r="U2" s="68">
        <v>42.528283999999999</v>
      </c>
      <c r="V2" s="68">
        <v>1E-4</v>
      </c>
      <c r="W2" s="40">
        <v>6.5145360017396499</v>
      </c>
      <c r="X2" s="40">
        <v>4.8258843066456301</v>
      </c>
      <c r="Y2" s="68">
        <v>1.6426339999999999</v>
      </c>
      <c r="Z2" s="9">
        <v>0.17887038422377</v>
      </c>
      <c r="AA2" s="11">
        <v>0.96760882811171001</v>
      </c>
    </row>
    <row r="3" spans="1:28" x14ac:dyDescent="0.3">
      <c r="A3" s="12" t="s">
        <v>18</v>
      </c>
      <c r="B3" s="2" t="s">
        <v>70</v>
      </c>
      <c r="C3" s="2" t="s">
        <v>110</v>
      </c>
      <c r="D3" s="2">
        <v>1000</v>
      </c>
      <c r="E3" s="2">
        <v>25</v>
      </c>
      <c r="F3" s="2">
        <v>1.5</v>
      </c>
      <c r="G3" s="2">
        <v>1.5</v>
      </c>
      <c r="H3" s="2">
        <v>0.7</v>
      </c>
      <c r="I3" s="208">
        <v>0.01</v>
      </c>
      <c r="J3" s="2">
        <v>5.3728371690244599E-4</v>
      </c>
      <c r="K3" s="2">
        <f>3*60+57.5</f>
        <v>237.5</v>
      </c>
      <c r="L3" s="51">
        <f t="shared" si="0"/>
        <v>3.9583333333333335</v>
      </c>
      <c r="M3" s="2">
        <v>187</v>
      </c>
      <c r="N3" s="2">
        <v>0.17572710819101101</v>
      </c>
      <c r="O3" s="2">
        <v>0.92101837173550205</v>
      </c>
      <c r="P3" s="28">
        <v>7.00299601712093</v>
      </c>
      <c r="Q3" s="64">
        <v>9.6469999999999993E-3</v>
      </c>
      <c r="R3" s="64">
        <v>8.5518540000000005</v>
      </c>
      <c r="S3" s="64">
        <v>7.1656500000000003</v>
      </c>
      <c r="T3" s="64">
        <v>44.150669999999998</v>
      </c>
      <c r="U3" s="64">
        <v>42.528283999999999</v>
      </c>
      <c r="V3" s="64">
        <v>1E-4</v>
      </c>
      <c r="W3" s="28">
        <v>1.4245541826203501</v>
      </c>
      <c r="X3" s="28">
        <v>8.4950237560708608</v>
      </c>
      <c r="Y3" s="64">
        <v>1.6426339999999999</v>
      </c>
      <c r="Z3" s="2">
        <v>0.151063418330069</v>
      </c>
      <c r="AA3" s="146">
        <v>0.80636650349953598</v>
      </c>
    </row>
    <row r="4" spans="1:28" x14ac:dyDescent="0.3">
      <c r="A4" s="12" t="s">
        <v>111</v>
      </c>
      <c r="B4" s="2" t="s">
        <v>70</v>
      </c>
      <c r="C4" s="2" t="s">
        <v>110</v>
      </c>
      <c r="D4" s="2">
        <v>1000</v>
      </c>
      <c r="E4" s="2">
        <v>25</v>
      </c>
      <c r="F4" s="2">
        <v>1.5</v>
      </c>
      <c r="G4" s="2">
        <v>1.5</v>
      </c>
      <c r="H4" s="2">
        <v>0.7</v>
      </c>
      <c r="I4" s="208">
        <v>0.01</v>
      </c>
      <c r="J4" s="2">
        <v>2.5958116203005401E-3</v>
      </c>
      <c r="K4" s="2">
        <f>60+20.57</f>
        <v>80.569999999999993</v>
      </c>
      <c r="L4" s="51">
        <f t="shared" si="0"/>
        <v>1.3428333333333333</v>
      </c>
      <c r="M4" s="2">
        <v>160</v>
      </c>
      <c r="N4" s="2">
        <v>7.1635567882672502E-2</v>
      </c>
      <c r="O4" s="2">
        <v>0.336854386443387</v>
      </c>
      <c r="P4" s="28">
        <v>9.9287094723392109</v>
      </c>
      <c r="Q4" s="64">
        <v>9.6469999999999993E-3</v>
      </c>
      <c r="R4" s="64">
        <v>8.5518540000000005</v>
      </c>
      <c r="S4" s="64">
        <v>7.1656500000000003</v>
      </c>
      <c r="T4" s="64">
        <v>44.150669999999998</v>
      </c>
      <c r="U4" s="64">
        <v>42.528283999999999</v>
      </c>
      <c r="V4" s="64">
        <v>1E-4</v>
      </c>
      <c r="W4" s="28">
        <v>2.53053621555713</v>
      </c>
      <c r="X4" s="28">
        <v>5.1700245636405597</v>
      </c>
      <c r="Y4" s="64">
        <v>1.6426339999999999</v>
      </c>
      <c r="Z4" s="2">
        <v>0.10430418240273399</v>
      </c>
      <c r="AA4" s="13">
        <v>0.57638438653270396</v>
      </c>
      <c r="AB4" t="s">
        <v>114</v>
      </c>
    </row>
    <row r="5" spans="1:28" ht="15" thickBot="1" x14ac:dyDescent="0.35">
      <c r="A5" s="15" t="s">
        <v>115</v>
      </c>
      <c r="B5" s="6" t="s">
        <v>70</v>
      </c>
      <c r="C5" s="6" t="s">
        <v>110</v>
      </c>
      <c r="D5" s="6">
        <v>1000</v>
      </c>
      <c r="E5" s="6">
        <v>25</v>
      </c>
      <c r="F5" s="6">
        <v>1.5</v>
      </c>
      <c r="G5" s="6">
        <v>1.5</v>
      </c>
      <c r="H5" s="6">
        <v>0.7</v>
      </c>
      <c r="I5" s="232">
        <v>0.01</v>
      </c>
      <c r="J5" s="6">
        <v>1.28824834718083E-3</v>
      </c>
      <c r="K5" s="6">
        <f>60+59.04</f>
        <v>119.03999999999999</v>
      </c>
      <c r="L5" s="172">
        <f t="shared" si="0"/>
        <v>1.9839999999999998</v>
      </c>
      <c r="M5" s="6">
        <v>212</v>
      </c>
      <c r="N5" s="6">
        <v>7.2350665902395805E-2</v>
      </c>
      <c r="O5" s="6">
        <v>1.661370709394</v>
      </c>
      <c r="P5" s="131">
        <v>5.27666352393301</v>
      </c>
      <c r="Q5" s="130">
        <v>9.6469999999999993E-3</v>
      </c>
      <c r="R5" s="130">
        <v>8.5518540000000005</v>
      </c>
      <c r="S5" s="130">
        <v>7.1656500000000003</v>
      </c>
      <c r="T5" s="130">
        <v>44.150669999999998</v>
      </c>
      <c r="U5" s="130">
        <v>42.528283999999999</v>
      </c>
      <c r="V5" s="130">
        <v>1E-4</v>
      </c>
      <c r="W5" s="131">
        <v>3.56670862546062</v>
      </c>
      <c r="X5" s="131">
        <v>7.4683228372815602</v>
      </c>
      <c r="Y5" s="130">
        <v>1.6426339999999999</v>
      </c>
      <c r="Z5" s="6">
        <v>0.99391512324229703</v>
      </c>
      <c r="AA5" s="27">
        <v>0.25184995954331102</v>
      </c>
    </row>
    <row r="6" spans="1:28" x14ac:dyDescent="0.3">
      <c r="A6" s="8" t="s">
        <v>117</v>
      </c>
      <c r="B6" s="9" t="s">
        <v>70</v>
      </c>
      <c r="C6" s="9" t="s">
        <v>116</v>
      </c>
      <c r="D6" s="9">
        <v>1000</v>
      </c>
      <c r="E6" s="9">
        <v>25</v>
      </c>
      <c r="F6" s="9">
        <v>1.5</v>
      </c>
      <c r="G6" s="9">
        <v>1.5</v>
      </c>
      <c r="H6" s="9">
        <v>0.7</v>
      </c>
      <c r="I6" s="231">
        <v>0.01</v>
      </c>
      <c r="J6" s="9">
        <v>5.45242703721959E-4</v>
      </c>
      <c r="K6" s="9">
        <f>4*60+3.21</f>
        <v>243.21</v>
      </c>
      <c r="L6" s="66">
        <f t="shared" si="0"/>
        <v>4.0535000000000005</v>
      </c>
      <c r="M6" s="9">
        <v>308</v>
      </c>
      <c r="N6" s="9">
        <v>9.2688582178426501E-2</v>
      </c>
      <c r="O6" s="9">
        <v>0.82698514617913099</v>
      </c>
      <c r="P6" s="40">
        <v>3.3130029661054099</v>
      </c>
      <c r="Q6" s="68">
        <v>9.6469999999999993E-3</v>
      </c>
      <c r="R6" s="68">
        <v>8.5518540000000005</v>
      </c>
      <c r="S6" s="68">
        <v>7.1656500000000003</v>
      </c>
      <c r="T6" s="68">
        <v>44.150669999999998</v>
      </c>
      <c r="U6" s="68">
        <v>42.528283999999999</v>
      </c>
      <c r="V6" s="68">
        <v>1E-4</v>
      </c>
      <c r="W6" s="40">
        <v>3.1433656080569699</v>
      </c>
      <c r="X6" s="40">
        <v>9.3510696982053094</v>
      </c>
      <c r="Y6" s="68">
        <v>1.6426339999999999</v>
      </c>
      <c r="Z6" s="9">
        <v>0.215128011883576</v>
      </c>
      <c r="AA6" s="11">
        <v>0.58559062847041299</v>
      </c>
      <c r="AB6" t="s">
        <v>92</v>
      </c>
    </row>
    <row r="7" spans="1:28" x14ac:dyDescent="0.3">
      <c r="A7" s="12" t="s">
        <v>118</v>
      </c>
      <c r="B7" s="2" t="s">
        <v>70</v>
      </c>
      <c r="C7" s="2" t="s">
        <v>116</v>
      </c>
      <c r="D7" s="2">
        <v>1000</v>
      </c>
      <c r="E7" s="2">
        <v>25</v>
      </c>
      <c r="F7" s="2">
        <v>1.5</v>
      </c>
      <c r="G7" s="2">
        <v>1.5</v>
      </c>
      <c r="H7" s="2">
        <v>0.7</v>
      </c>
      <c r="I7" s="208">
        <v>0.01</v>
      </c>
      <c r="J7" s="2">
        <v>5.1794160110028799E-4</v>
      </c>
      <c r="K7" s="2">
        <f>2*60+31.04</f>
        <v>151.04</v>
      </c>
      <c r="L7" s="51">
        <f t="shared" si="0"/>
        <v>2.5173333333333332</v>
      </c>
      <c r="M7" s="2">
        <v>136</v>
      </c>
      <c r="N7" s="2">
        <v>0.184225106052644</v>
      </c>
      <c r="O7" s="28">
        <v>2.9503726109964701</v>
      </c>
      <c r="P7" s="28">
        <v>2.0427886845833201</v>
      </c>
      <c r="Q7" s="64">
        <v>9.6469999999999993E-3</v>
      </c>
      <c r="R7" s="64">
        <v>8.5518540000000005</v>
      </c>
      <c r="S7" s="64">
        <v>7.1656500000000003</v>
      </c>
      <c r="T7" s="64">
        <v>44.150669999999998</v>
      </c>
      <c r="U7" s="64">
        <v>42.528283999999999</v>
      </c>
      <c r="V7" s="64">
        <v>1E-4</v>
      </c>
      <c r="W7" s="28">
        <v>4.4918699630599797</v>
      </c>
      <c r="X7" s="28">
        <v>6.9729048484649603</v>
      </c>
      <c r="Y7" s="64">
        <v>1.6426339999999999</v>
      </c>
      <c r="Z7" s="2">
        <v>0.40447641067149598</v>
      </c>
      <c r="AA7" s="13">
        <v>0.37700283178585597</v>
      </c>
    </row>
    <row r="8" spans="1:28" x14ac:dyDescent="0.3">
      <c r="A8" s="12" t="s">
        <v>119</v>
      </c>
      <c r="B8" s="2" t="s">
        <v>70</v>
      </c>
      <c r="C8" s="2" t="s">
        <v>116</v>
      </c>
      <c r="D8" s="2">
        <v>1000</v>
      </c>
      <c r="E8" s="2">
        <v>25</v>
      </c>
      <c r="F8" s="2">
        <v>1.5</v>
      </c>
      <c r="G8" s="2">
        <v>1.5</v>
      </c>
      <c r="H8" s="2">
        <v>0.7</v>
      </c>
      <c r="I8" s="208">
        <v>0.01</v>
      </c>
      <c r="J8" s="2">
        <v>2.6807562214175599E-3</v>
      </c>
      <c r="K8" s="2">
        <f>14*60+48.75</f>
        <v>888.75</v>
      </c>
      <c r="L8" s="51">
        <f t="shared" si="0"/>
        <v>14.8125</v>
      </c>
      <c r="M8" s="2">
        <v>82</v>
      </c>
      <c r="N8" s="2">
        <v>9.2611654619837794E-2</v>
      </c>
      <c r="O8" s="28">
        <v>2.3968675731176798</v>
      </c>
      <c r="P8" s="28">
        <v>1.02819811558411</v>
      </c>
      <c r="Q8" s="64">
        <v>9.6469999999999993E-3</v>
      </c>
      <c r="R8" s="64">
        <v>8.5518540000000005</v>
      </c>
      <c r="S8" s="64">
        <v>7.1656500000000003</v>
      </c>
      <c r="T8" s="64">
        <v>44.150669999999998</v>
      </c>
      <c r="U8" s="64">
        <v>42.528283999999999</v>
      </c>
      <c r="V8" s="64">
        <v>1E-4</v>
      </c>
      <c r="W8" s="28">
        <v>5.9702543904673604</v>
      </c>
      <c r="X8" s="28">
        <v>4.5947725392950103</v>
      </c>
      <c r="Y8" s="64">
        <v>1.6426339999999999</v>
      </c>
      <c r="Z8" s="101">
        <v>0.356330797947227</v>
      </c>
      <c r="AA8" s="13">
        <v>0.64854762525253196</v>
      </c>
    </row>
    <row r="9" spans="1:28" ht="15" thickBot="1" x14ac:dyDescent="0.35">
      <c r="A9" s="22" t="s">
        <v>120</v>
      </c>
      <c r="B9" s="23" t="s">
        <v>70</v>
      </c>
      <c r="C9" s="23" t="s">
        <v>116</v>
      </c>
      <c r="D9" s="23">
        <v>1000</v>
      </c>
      <c r="E9" s="23">
        <v>25</v>
      </c>
      <c r="F9" s="23">
        <v>1.5</v>
      </c>
      <c r="G9" s="23">
        <v>1.5</v>
      </c>
      <c r="H9" s="23">
        <v>0.7</v>
      </c>
      <c r="I9" s="241">
        <v>0.01</v>
      </c>
      <c r="J9" s="242">
        <v>2.0583968975858001E-3</v>
      </c>
      <c r="K9" s="23">
        <f>2*60+32.66</f>
        <v>152.66</v>
      </c>
      <c r="L9" s="168">
        <f t="shared" si="0"/>
        <v>2.5443333333333333</v>
      </c>
      <c r="M9" s="23">
        <v>279</v>
      </c>
      <c r="N9" s="242">
        <v>8.8806501677895E-2</v>
      </c>
      <c r="O9" s="117">
        <v>3.3523979079684798</v>
      </c>
      <c r="P9" s="117">
        <v>3.38237645491412</v>
      </c>
      <c r="Q9" s="118">
        <v>9.6469999999999993E-3</v>
      </c>
      <c r="R9" s="118">
        <v>8.5518540000000005</v>
      </c>
      <c r="S9" s="118">
        <v>7.1656500000000003</v>
      </c>
      <c r="T9" s="118">
        <v>44.150669999999998</v>
      </c>
      <c r="U9" s="118">
        <v>42.528283999999999</v>
      </c>
      <c r="V9" s="118">
        <v>1E-4</v>
      </c>
      <c r="W9" s="117">
        <v>4.6632521409408598</v>
      </c>
      <c r="X9" s="117">
        <v>3.37161231449543</v>
      </c>
      <c r="Y9" s="118">
        <v>1.6426339999999999</v>
      </c>
      <c r="Z9" s="23">
        <v>0.93668432182181804</v>
      </c>
      <c r="AA9" s="24">
        <v>0.22641692257075399</v>
      </c>
    </row>
    <row r="10" spans="1:28" x14ac:dyDescent="0.3">
      <c r="A10" s="8" t="s">
        <v>121</v>
      </c>
      <c r="B10" s="9" t="s">
        <v>70</v>
      </c>
      <c r="C10" s="9" t="s">
        <v>122</v>
      </c>
      <c r="D10" s="9">
        <v>1000</v>
      </c>
      <c r="E10" s="9">
        <v>25</v>
      </c>
      <c r="F10" s="9">
        <v>1.5</v>
      </c>
      <c r="G10" s="9">
        <v>1.5</v>
      </c>
      <c r="H10" s="9">
        <v>0.7</v>
      </c>
      <c r="I10" s="231">
        <v>0.01</v>
      </c>
      <c r="J10" s="126">
        <v>1.0803960696777501E-3</v>
      </c>
      <c r="K10" s="9">
        <f>2*60+6.49</f>
        <v>126.49</v>
      </c>
      <c r="L10" s="66">
        <f t="shared" si="0"/>
        <v>2.1081666666666665</v>
      </c>
      <c r="M10" s="9">
        <v>305</v>
      </c>
      <c r="N10" s="126">
        <v>2.8278903668067599E-2</v>
      </c>
      <c r="O10" s="40">
        <v>2.38404996610933</v>
      </c>
      <c r="P10" s="40">
        <v>4.4014286023129197</v>
      </c>
      <c r="Q10" s="68">
        <v>9.6469999999999993E-3</v>
      </c>
      <c r="R10" s="68">
        <v>8.5518540000000005</v>
      </c>
      <c r="S10" s="68">
        <v>7.1656500000000003</v>
      </c>
      <c r="T10" s="68">
        <v>44.150669999999998</v>
      </c>
      <c r="U10" s="68">
        <v>42.528283999999999</v>
      </c>
      <c r="V10" s="68">
        <v>1E-4</v>
      </c>
      <c r="W10" s="40">
        <v>1.8014323415062901</v>
      </c>
      <c r="X10" s="40">
        <v>4.5414411133846002</v>
      </c>
      <c r="Y10" s="68">
        <v>1.6426339999999999</v>
      </c>
      <c r="Z10" s="9">
        <v>0.51124238628788099</v>
      </c>
      <c r="AA10" s="11">
        <v>0.29495795253380303</v>
      </c>
    </row>
    <row r="11" spans="1:28" x14ac:dyDescent="0.3">
      <c r="A11" s="12" t="s">
        <v>123</v>
      </c>
      <c r="B11" s="2" t="s">
        <v>70</v>
      </c>
      <c r="C11" s="2" t="s">
        <v>122</v>
      </c>
      <c r="D11" s="2">
        <v>1000</v>
      </c>
      <c r="E11" s="2">
        <v>25</v>
      </c>
      <c r="F11" s="2">
        <v>1.5</v>
      </c>
      <c r="G11" s="2">
        <v>1.5</v>
      </c>
      <c r="H11" s="2">
        <v>0.7</v>
      </c>
      <c r="I11" s="208">
        <v>0.01</v>
      </c>
      <c r="J11" s="2">
        <v>4.3972553486052698E-4</v>
      </c>
      <c r="K11" s="2">
        <f>60+40.41</f>
        <v>100.41</v>
      </c>
      <c r="L11" s="51">
        <f t="shared" ref="L11:L13" si="1">K11/60</f>
        <v>1.6735</v>
      </c>
      <c r="M11" s="2">
        <v>128</v>
      </c>
      <c r="N11" s="2">
        <v>9.22037845501157E-2</v>
      </c>
      <c r="O11" s="28">
        <v>2.6433716459905501</v>
      </c>
      <c r="P11" s="101">
        <v>0.66858669961273698</v>
      </c>
      <c r="Q11" s="64">
        <v>9.6469999999999993E-3</v>
      </c>
      <c r="R11" s="64">
        <v>8.5518540000000005</v>
      </c>
      <c r="S11" s="64">
        <v>7.1656500000000003</v>
      </c>
      <c r="T11" s="64">
        <v>44.150669999999998</v>
      </c>
      <c r="U11" s="64">
        <v>42.528283999999999</v>
      </c>
      <c r="V11" s="64">
        <v>1E-4</v>
      </c>
      <c r="W11" s="28">
        <v>4.1989298495253999</v>
      </c>
      <c r="X11" s="28">
        <v>6.0398716017856096</v>
      </c>
      <c r="Y11" s="64">
        <v>1.6426339999999999</v>
      </c>
      <c r="Z11" s="2">
        <v>0.51999971548750701</v>
      </c>
      <c r="AA11" s="13">
        <v>0.164395651736431</v>
      </c>
    </row>
    <row r="12" spans="1:28" x14ac:dyDescent="0.3">
      <c r="A12" s="12" t="s">
        <v>124</v>
      </c>
      <c r="B12" s="2" t="s">
        <v>70</v>
      </c>
      <c r="C12" s="2" t="s">
        <v>122</v>
      </c>
      <c r="D12" s="2">
        <v>1000</v>
      </c>
      <c r="E12" s="2">
        <v>25</v>
      </c>
      <c r="F12" s="2">
        <v>1.5</v>
      </c>
      <c r="G12" s="2">
        <v>1.5</v>
      </c>
      <c r="H12" s="2">
        <v>0.7</v>
      </c>
      <c r="I12" s="208">
        <v>0.01</v>
      </c>
      <c r="J12" s="2">
        <v>1.24854757679294E-3</v>
      </c>
      <c r="K12" s="2">
        <f>60+2.87</f>
        <v>62.87</v>
      </c>
      <c r="L12" s="51">
        <f t="shared" si="1"/>
        <v>1.0478333333333334</v>
      </c>
      <c r="M12" s="2">
        <v>131</v>
      </c>
      <c r="N12" s="2">
        <v>2.96311889904202E-2</v>
      </c>
      <c r="O12" s="28">
        <v>1.14071996123754</v>
      </c>
      <c r="P12" s="3">
        <v>9.9999999999877502</v>
      </c>
      <c r="Q12" s="64">
        <v>9.6469999999999993E-3</v>
      </c>
      <c r="R12" s="64">
        <v>8.5518540000000005</v>
      </c>
      <c r="S12" s="64">
        <v>7.1656500000000003</v>
      </c>
      <c r="T12" s="64">
        <v>44.150669999999998</v>
      </c>
      <c r="U12" s="64">
        <v>42.528283999999999</v>
      </c>
      <c r="V12" s="64">
        <v>1E-4</v>
      </c>
      <c r="W12" s="2">
        <v>0.96881493251810902</v>
      </c>
      <c r="X12" s="28">
        <v>8.9496248051770806</v>
      </c>
      <c r="Y12" s="64">
        <v>1.6426339999999999</v>
      </c>
      <c r="Z12" s="2">
        <v>0.10000481200891199</v>
      </c>
      <c r="AA12" s="13">
        <v>0.80615988242499903</v>
      </c>
    </row>
    <row r="13" spans="1:28" ht="15" thickBot="1" x14ac:dyDescent="0.35">
      <c r="A13" s="15" t="s">
        <v>125</v>
      </c>
      <c r="B13" s="6" t="s">
        <v>70</v>
      </c>
      <c r="C13" s="6" t="s">
        <v>122</v>
      </c>
      <c r="D13" s="6">
        <v>1000</v>
      </c>
      <c r="E13" s="6">
        <v>25</v>
      </c>
      <c r="F13" s="6">
        <v>1.5</v>
      </c>
      <c r="G13" s="6">
        <v>1.5</v>
      </c>
      <c r="H13" s="6">
        <v>0.7</v>
      </c>
      <c r="I13" s="232">
        <v>0.01</v>
      </c>
      <c r="J13" s="6">
        <v>3.2809640951366801E-3</v>
      </c>
      <c r="K13" s="6">
        <v>42</v>
      </c>
      <c r="L13" s="172">
        <f t="shared" si="1"/>
        <v>0.7</v>
      </c>
      <c r="M13" s="6">
        <v>75</v>
      </c>
      <c r="N13" s="132">
        <v>4.0822695083438602E-2</v>
      </c>
      <c r="O13" s="131">
        <v>3.9857931809526601</v>
      </c>
      <c r="P13" s="131">
        <v>5.4224424779974996</v>
      </c>
      <c r="Q13" s="130">
        <v>9.6469999999999993E-3</v>
      </c>
      <c r="R13" s="130">
        <v>8.5518540000000005</v>
      </c>
      <c r="S13" s="130">
        <v>7.1656500000000003</v>
      </c>
      <c r="T13" s="130">
        <v>44.150669999999998</v>
      </c>
      <c r="U13" s="130">
        <v>42.528283999999999</v>
      </c>
      <c r="V13" s="130">
        <v>1E-4</v>
      </c>
      <c r="W13" s="6">
        <v>0.11828668451781101</v>
      </c>
      <c r="X13" s="131">
        <v>6.1500927633445803</v>
      </c>
      <c r="Y13" s="130">
        <v>1.6426339999999999</v>
      </c>
      <c r="Z13" s="132">
        <v>0.24508389712613601</v>
      </c>
      <c r="AA13" s="27">
        <v>0.71906850575006298</v>
      </c>
    </row>
    <row r="14" spans="1:28" x14ac:dyDescent="0.3">
      <c r="A14" s="243"/>
      <c r="B14" s="243"/>
      <c r="C14" s="243"/>
      <c r="D14" s="243"/>
      <c r="E14" s="243"/>
      <c r="F14" s="243"/>
      <c r="G14" s="243"/>
      <c r="H14" s="243"/>
      <c r="I14" s="244"/>
      <c r="J14" s="243"/>
      <c r="K14" s="243"/>
      <c r="L14" s="243"/>
      <c r="M14" s="243"/>
      <c r="N14" s="243"/>
      <c r="O14" s="243"/>
      <c r="P14" s="243"/>
      <c r="Q14" s="245"/>
      <c r="R14" s="245"/>
      <c r="S14" s="245"/>
      <c r="T14" s="245"/>
      <c r="U14" s="245"/>
      <c r="V14" s="245"/>
      <c r="W14" s="243"/>
      <c r="X14" s="243"/>
      <c r="Y14" s="245"/>
      <c r="Z14" s="243"/>
      <c r="AA14" s="243"/>
    </row>
    <row r="15" spans="1:28" x14ac:dyDescent="0.3">
      <c r="A15" s="243"/>
      <c r="B15" s="243"/>
      <c r="C15" s="243"/>
      <c r="D15" s="243"/>
      <c r="E15" s="243"/>
      <c r="F15" s="243"/>
      <c r="G15" s="243"/>
      <c r="H15" s="243"/>
      <c r="I15" s="244"/>
      <c r="J15" s="243"/>
      <c r="K15" s="243"/>
      <c r="L15" s="243"/>
      <c r="M15" s="243"/>
      <c r="N15" s="243"/>
      <c r="O15" s="243"/>
      <c r="P15" s="243"/>
      <c r="Q15" s="245"/>
      <c r="R15" s="245"/>
      <c r="S15" s="245"/>
      <c r="T15" s="245"/>
      <c r="U15" s="245"/>
      <c r="V15" s="245"/>
      <c r="W15" s="243"/>
      <c r="X15" s="243"/>
      <c r="Y15" s="245"/>
      <c r="Z15" s="243"/>
      <c r="AA15" s="243"/>
    </row>
    <row r="16" spans="1:28" x14ac:dyDescent="0.3">
      <c r="A16" s="243"/>
      <c r="B16" s="243"/>
      <c r="C16" s="243"/>
      <c r="D16" s="243"/>
      <c r="E16" s="243"/>
      <c r="F16" s="243"/>
      <c r="G16" s="243"/>
      <c r="H16" s="243"/>
      <c r="I16" s="244"/>
      <c r="J16" s="243"/>
      <c r="K16" s="243"/>
      <c r="L16" s="243"/>
      <c r="M16" s="210" t="s">
        <v>127</v>
      </c>
      <c r="N16" s="210">
        <f>AVERAGE(N2:N5)</f>
        <v>9.2298363684499451E-2</v>
      </c>
      <c r="O16" s="211">
        <f>AVERAGE(O2:O5)</f>
        <v>1.4329067184418673</v>
      </c>
      <c r="P16" s="210">
        <f>AVERAGE(P2:P5)</f>
        <v>5.7996119857887543</v>
      </c>
      <c r="Q16" s="210"/>
      <c r="R16" s="210"/>
      <c r="S16" s="210"/>
      <c r="T16" s="210"/>
      <c r="U16" s="210"/>
      <c r="V16" s="210"/>
      <c r="W16" s="210">
        <f>AVERAGE(W2:W5)</f>
        <v>3.5090837563444373</v>
      </c>
      <c r="X16" s="210">
        <f>AVERAGE(X2:X5)</f>
        <v>6.4898138659096531</v>
      </c>
      <c r="Y16" s="210"/>
      <c r="Z16" s="210">
        <f>AVERAGE(Z2:Z5)</f>
        <v>0.35703827704971747</v>
      </c>
      <c r="AA16" s="210">
        <f>AVERAGE(AA2:AA5)</f>
        <v>0.6505524194218153</v>
      </c>
    </row>
    <row r="17" spans="1:28" x14ac:dyDescent="0.3">
      <c r="A17" s="243"/>
      <c r="B17" s="243"/>
      <c r="C17" s="243"/>
      <c r="D17" s="243"/>
      <c r="E17" s="243"/>
      <c r="F17" s="243"/>
      <c r="G17" s="243"/>
      <c r="H17" s="243"/>
      <c r="I17" s="244"/>
      <c r="J17" s="243"/>
      <c r="K17" s="243"/>
      <c r="L17" s="243"/>
      <c r="M17" s="52" t="s">
        <v>126</v>
      </c>
      <c r="N17" s="2">
        <f>_xlfn.STDEV.S(N2:N5)</f>
        <v>5.6623375029387607E-2</v>
      </c>
      <c r="O17" s="2">
        <f>_xlfn.STDEV.S(O2:O5)</f>
        <v>1.0674755455728331</v>
      </c>
      <c r="P17" s="2">
        <f>_xlfn.STDEV.S(P2:P5)</f>
        <v>3.7373191145113278</v>
      </c>
      <c r="Q17" s="2"/>
      <c r="R17" s="2"/>
      <c r="S17" s="2"/>
      <c r="T17" s="2"/>
      <c r="U17" s="2"/>
      <c r="V17" s="2"/>
      <c r="W17" s="2">
        <f>_xlfn.STDEV.S(W2:W5)</f>
        <v>2.1862359325412095</v>
      </c>
      <c r="X17" s="2">
        <f>_xlfn.STDEV.S(X2:X5)</f>
        <v>1.7784686194618968</v>
      </c>
      <c r="Y17" s="2"/>
      <c r="Z17" s="2">
        <f>_xlfn.STDEV.S(Z2:Z5)</f>
        <v>0.42569788985141976</v>
      </c>
      <c r="AA17" s="2">
        <f>_xlfn.STDEV.S(AA2:AA5)</f>
        <v>0.31051964173200736</v>
      </c>
    </row>
    <row r="18" spans="1:28" x14ac:dyDescent="0.3">
      <c r="M18" s="210" t="s">
        <v>128</v>
      </c>
      <c r="N18" s="210">
        <f>AVERAGE(N6:N9)</f>
        <v>0.11458296113220082</v>
      </c>
      <c r="O18" s="210">
        <f>AVERAGE(O6:O9)</f>
        <v>2.3816558095654399</v>
      </c>
      <c r="P18" s="210">
        <f>AVERAGE(P6:P9)</f>
        <v>2.44159155529674</v>
      </c>
      <c r="Q18" s="210"/>
      <c r="R18" s="210"/>
      <c r="S18" s="210"/>
      <c r="T18" s="210"/>
      <c r="U18" s="210"/>
      <c r="V18" s="210"/>
      <c r="W18" s="210">
        <f>AVERAGE(W6:W9)</f>
        <v>4.5671855256312925</v>
      </c>
      <c r="X18" s="210">
        <f>AVERAGE(X6:X9)</f>
        <v>6.072589850115178</v>
      </c>
      <c r="Y18" s="210"/>
      <c r="Z18" s="210">
        <f>AVERAGE(Z6:Z9)</f>
        <v>0.47815488558102925</v>
      </c>
      <c r="AA18" s="210">
        <f>AVERAGE(AA6:AA9)</f>
        <v>0.45938950201988871</v>
      </c>
    </row>
    <row r="19" spans="1:28" x14ac:dyDescent="0.3">
      <c r="M19" s="2" t="s">
        <v>129</v>
      </c>
      <c r="N19" s="2">
        <f>_xlfn.STDEV.S(N6:N9)</f>
        <v>4.6463449257637505E-2</v>
      </c>
      <c r="O19" s="2">
        <f>_xlfn.STDEV.S(O6:O9)</f>
        <v>1.1080029017991904</v>
      </c>
      <c r="P19" s="2">
        <f>_xlfn.STDEV.S(P6:P9)</f>
        <v>1.1256344609963469</v>
      </c>
      <c r="Q19" s="2"/>
      <c r="R19" s="2"/>
      <c r="S19" s="2"/>
      <c r="T19" s="2"/>
      <c r="U19" s="2"/>
      <c r="V19" s="2"/>
      <c r="W19" s="2">
        <f>_xlfn.STDEV.S(W6:W9)</f>
        <v>1.1562535226175066</v>
      </c>
      <c r="X19" s="2">
        <f>_xlfn.STDEV.S(X6:X9)</f>
        <v>2.6481579045737234</v>
      </c>
      <c r="Y19" s="2"/>
      <c r="Z19" s="2">
        <f>_xlfn.STDEV.S(Z6:Z9)</f>
        <v>0.3160706704621371</v>
      </c>
      <c r="AA19" s="2">
        <f>_xlfn.STDEV.S(AA6:AA9)</f>
        <v>0.19388252982129142</v>
      </c>
    </row>
    <row r="20" spans="1:28" x14ac:dyDescent="0.3">
      <c r="M20" s="210" t="s">
        <v>130</v>
      </c>
      <c r="N20" s="212">
        <f>AVERAGE(N10:N13)</f>
        <v>4.7734143073010528E-2</v>
      </c>
      <c r="O20" s="212">
        <f>AVERAGE(O10:O13)</f>
        <v>2.5384836885725202</v>
      </c>
      <c r="P20" s="212">
        <f>AVERAGE(P10:P13)</f>
        <v>5.1231144449777268</v>
      </c>
      <c r="Q20" s="212"/>
      <c r="R20" s="212"/>
      <c r="S20" s="212"/>
      <c r="T20" s="212"/>
      <c r="U20" s="212"/>
      <c r="V20" s="212"/>
      <c r="W20" s="212">
        <f>AVERAGE(W10:W13)</f>
        <v>1.7718659520169024</v>
      </c>
      <c r="X20" s="212">
        <f>AVERAGE(X10:X13)</f>
        <v>6.4202575709229679</v>
      </c>
      <c r="Y20" s="212"/>
      <c r="Z20" s="212">
        <f>AVERAGE(Z10:Z13)</f>
        <v>0.34408270272760899</v>
      </c>
      <c r="AA20" s="212">
        <f>AVERAGE(AA10:AA13)</f>
        <v>0.49614549811132402</v>
      </c>
    </row>
    <row r="21" spans="1:28" x14ac:dyDescent="0.3">
      <c r="M21" s="2" t="s">
        <v>131</v>
      </c>
      <c r="N21" s="2">
        <f>_xlfn.STDEV.S(N10:N13)</f>
        <v>3.0174715758036277E-2</v>
      </c>
      <c r="O21" s="2">
        <f>_xlfn.STDEV.S(O10:O13)</f>
        <v>1.1666618279564698</v>
      </c>
      <c r="P21" s="2">
        <f>_xlfn.STDEV.S(P10:P13)</f>
        <v>3.840019873114644</v>
      </c>
      <c r="Q21" s="2"/>
      <c r="R21" s="2"/>
      <c r="S21" s="2"/>
      <c r="T21" s="2"/>
      <c r="U21" s="2"/>
      <c r="V21" s="2"/>
      <c r="W21" s="2">
        <f>_xlfn.STDEV.S(W10:W13)</f>
        <v>1.7579086692049222</v>
      </c>
      <c r="X21" s="2">
        <f>_xlfn.STDEV.S(X10:X13)</f>
        <v>1.838960974355333</v>
      </c>
      <c r="Y21" s="2"/>
      <c r="Z21" s="2">
        <f>_xlfn.STDEV.S(Z10:Z13)</f>
        <v>0.20677196411711046</v>
      </c>
      <c r="AA21" s="2">
        <f>_xlfn.STDEV.S(AA10:AA13)</f>
        <v>0.31429178315771072</v>
      </c>
    </row>
    <row r="24" spans="1:28" ht="15" thickBot="1" x14ac:dyDescent="0.35"/>
    <row r="25" spans="1:28" ht="29.4" thickBot="1" x14ac:dyDescent="0.35">
      <c r="A25" s="233" t="s">
        <v>133</v>
      </c>
      <c r="B25" s="234" t="s">
        <v>45</v>
      </c>
      <c r="C25" s="235" t="s">
        <v>109</v>
      </c>
      <c r="D25" s="236" t="s">
        <v>47</v>
      </c>
      <c r="E25" s="236" t="s">
        <v>46</v>
      </c>
      <c r="F25" s="236" t="s">
        <v>48</v>
      </c>
      <c r="G25" s="236" t="s">
        <v>49</v>
      </c>
      <c r="H25" s="236" t="s">
        <v>50</v>
      </c>
      <c r="I25" s="234" t="s">
        <v>104</v>
      </c>
      <c r="J25" s="234" t="s">
        <v>9</v>
      </c>
      <c r="K25" s="234" t="s">
        <v>6</v>
      </c>
      <c r="L25" s="234" t="s">
        <v>34</v>
      </c>
      <c r="M25" s="234" t="s">
        <v>113</v>
      </c>
      <c r="N25" s="237" t="s">
        <v>52</v>
      </c>
      <c r="O25" s="237" t="s">
        <v>53</v>
      </c>
      <c r="P25" s="237" t="s">
        <v>54</v>
      </c>
      <c r="Q25" s="238" t="s">
        <v>55</v>
      </c>
      <c r="R25" s="238" t="s">
        <v>56</v>
      </c>
      <c r="S25" s="238" t="s">
        <v>57</v>
      </c>
      <c r="T25" s="238" t="s">
        <v>58</v>
      </c>
      <c r="U25" s="238" t="s">
        <v>59</v>
      </c>
      <c r="V25" s="238" t="s">
        <v>60</v>
      </c>
      <c r="W25" s="237" t="s">
        <v>61</v>
      </c>
      <c r="X25" s="237" t="s">
        <v>65</v>
      </c>
      <c r="Y25" s="239" t="s">
        <v>62</v>
      </c>
      <c r="Z25" s="237" t="s">
        <v>63</v>
      </c>
      <c r="AA25" s="240" t="s">
        <v>64</v>
      </c>
    </row>
    <row r="26" spans="1:28" x14ac:dyDescent="0.3">
      <c r="A26" s="8" t="s">
        <v>134</v>
      </c>
      <c r="B26" s="9" t="s">
        <v>70</v>
      </c>
      <c r="C26" s="9" t="s">
        <v>110</v>
      </c>
      <c r="D26" s="9">
        <v>1000</v>
      </c>
      <c r="E26" s="9">
        <v>25</v>
      </c>
      <c r="F26" s="9">
        <v>1.5</v>
      </c>
      <c r="G26" s="9">
        <v>1.5</v>
      </c>
      <c r="H26" s="9">
        <v>0.7</v>
      </c>
      <c r="I26" s="231">
        <v>0.01</v>
      </c>
      <c r="J26" s="9">
        <v>2.4504995388063698E-3</v>
      </c>
      <c r="K26" s="9">
        <f>6*60+45.13</f>
        <v>405.13</v>
      </c>
      <c r="L26" s="66">
        <f>K26/60</f>
        <v>6.7521666666666667</v>
      </c>
      <c r="M26" s="9">
        <v>406</v>
      </c>
      <c r="N26" s="9">
        <v>0.68517564480621196</v>
      </c>
      <c r="O26" s="40">
        <v>5.3129944719811304</v>
      </c>
      <c r="P26" s="40">
        <v>2.7984381878306301</v>
      </c>
      <c r="Q26" s="68">
        <v>9.6469999999999993E-3</v>
      </c>
      <c r="R26" s="68">
        <v>8.5518540000000005</v>
      </c>
      <c r="S26" s="68">
        <v>7.1656500000000003</v>
      </c>
      <c r="T26" s="68">
        <v>44.150669999999998</v>
      </c>
      <c r="U26" s="68">
        <v>42.528283999999999</v>
      </c>
      <c r="V26" s="68">
        <v>1E-4</v>
      </c>
      <c r="W26" s="40">
        <v>1.17434087379236</v>
      </c>
      <c r="X26" s="40">
        <v>0.100002351778943</v>
      </c>
      <c r="Y26" s="68">
        <v>1.6426339999999999</v>
      </c>
      <c r="Z26" s="9">
        <v>0.396474674349798</v>
      </c>
      <c r="AA26" s="11">
        <v>0.50836771896878297</v>
      </c>
      <c r="AB26" t="s">
        <v>135</v>
      </c>
    </row>
    <row r="27" spans="1:28" x14ac:dyDescent="0.3">
      <c r="A27" s="12" t="s">
        <v>136</v>
      </c>
      <c r="B27" s="2" t="s">
        <v>70</v>
      </c>
      <c r="C27" s="2" t="s">
        <v>110</v>
      </c>
      <c r="D27" s="2">
        <v>1000</v>
      </c>
      <c r="E27" s="2">
        <v>25</v>
      </c>
      <c r="F27" s="2">
        <v>1.5</v>
      </c>
      <c r="G27" s="2">
        <v>1.5</v>
      </c>
      <c r="H27" s="2">
        <v>0.7</v>
      </c>
      <c r="I27" s="208">
        <v>0.01</v>
      </c>
      <c r="J27" s="246">
        <v>1.05437471085419E-3</v>
      </c>
      <c r="K27" s="2">
        <f>5*60+31.28</f>
        <v>331.28</v>
      </c>
      <c r="L27" s="51">
        <f>K27/60</f>
        <v>5.5213333333333328</v>
      </c>
      <c r="M27" s="2">
        <v>491</v>
      </c>
      <c r="N27" s="2">
        <v>6.0474330476258199E-2</v>
      </c>
      <c r="O27" s="2">
        <v>0.80628107870271104</v>
      </c>
      <c r="P27" s="28">
        <v>0.917299244931577</v>
      </c>
      <c r="Q27" s="64">
        <v>9.6469999999999993E-3</v>
      </c>
      <c r="R27" s="64">
        <v>8.5518540000000005</v>
      </c>
      <c r="S27" s="64">
        <v>7.1656500000000003</v>
      </c>
      <c r="T27" s="64">
        <v>44.150669999999998</v>
      </c>
      <c r="U27" s="64">
        <v>42.528283999999999</v>
      </c>
      <c r="V27" s="64">
        <v>1E-4</v>
      </c>
      <c r="W27" s="28">
        <v>3.91745413934524</v>
      </c>
      <c r="X27" s="28">
        <v>3.4102711653503799</v>
      </c>
      <c r="Y27" s="64">
        <v>1.6426339999999999</v>
      </c>
      <c r="Z27" s="2">
        <v>0.27767596716205301</v>
      </c>
      <c r="AA27" s="146">
        <v>0.62829096093755399</v>
      </c>
    </row>
    <row r="28" spans="1:28" x14ac:dyDescent="0.3">
      <c r="A28" s="12" t="s">
        <v>137</v>
      </c>
      <c r="B28" s="2" t="s">
        <v>70</v>
      </c>
      <c r="C28" s="2" t="s">
        <v>110</v>
      </c>
      <c r="D28" s="2">
        <v>1000</v>
      </c>
      <c r="E28" s="2">
        <v>25</v>
      </c>
      <c r="F28" s="2">
        <v>1.5</v>
      </c>
      <c r="G28" s="2">
        <v>1.5</v>
      </c>
      <c r="H28" s="2">
        <v>0.7</v>
      </c>
      <c r="I28" s="208">
        <v>0.01</v>
      </c>
      <c r="J28" s="246">
        <v>7.5686483089474103E-4</v>
      </c>
      <c r="K28" s="2">
        <f>5*60+55.08</f>
        <v>355.08</v>
      </c>
      <c r="L28" s="51">
        <f>K28/60</f>
        <v>5.9180000000000001</v>
      </c>
      <c r="M28" s="2">
        <v>168</v>
      </c>
      <c r="N28" s="2">
        <v>0.110272721924296</v>
      </c>
      <c r="O28" s="28">
        <v>1.17076295572537</v>
      </c>
      <c r="P28" s="28">
        <v>2.25578090010531</v>
      </c>
      <c r="Q28" s="64">
        <v>9.6469999999999993E-3</v>
      </c>
      <c r="R28" s="64">
        <v>8.5518540000000005</v>
      </c>
      <c r="S28" s="64">
        <v>7.1656500000000003</v>
      </c>
      <c r="T28" s="64">
        <v>44.150669999999998</v>
      </c>
      <c r="U28" s="64">
        <v>42.528283999999999</v>
      </c>
      <c r="V28" s="64">
        <v>1E-4</v>
      </c>
      <c r="W28" s="28">
        <v>5.3631699111812496</v>
      </c>
      <c r="X28" s="28">
        <v>9.2128024788256297</v>
      </c>
      <c r="Y28" s="64">
        <v>1.6426339999999999</v>
      </c>
      <c r="Z28" s="28">
        <v>1.01837154620533</v>
      </c>
      <c r="AA28" s="13">
        <v>0.15050491430758201</v>
      </c>
    </row>
    <row r="29" spans="1:28" ht="15" thickBot="1" x14ac:dyDescent="0.35">
      <c r="A29" s="15" t="s">
        <v>140</v>
      </c>
      <c r="B29" s="6" t="s">
        <v>70</v>
      </c>
      <c r="C29" s="6" t="s">
        <v>110</v>
      </c>
      <c r="D29" s="6">
        <v>1000</v>
      </c>
      <c r="E29" s="6">
        <v>25</v>
      </c>
      <c r="F29" s="6">
        <v>1.5</v>
      </c>
      <c r="G29" s="6">
        <v>1.5</v>
      </c>
      <c r="H29" s="6">
        <v>0.7</v>
      </c>
      <c r="I29" s="232">
        <v>0.01</v>
      </c>
      <c r="J29" s="247">
        <v>6.4367444323311796E-4</v>
      </c>
      <c r="K29" s="6">
        <f>15*60+22.24</f>
        <v>922.24</v>
      </c>
      <c r="L29" s="172">
        <f>K29/60</f>
        <v>15.370666666666667</v>
      </c>
      <c r="M29" s="6">
        <v>1001</v>
      </c>
      <c r="N29" s="6">
        <v>8.6457123240578596E-2</v>
      </c>
      <c r="O29" s="6">
        <v>0.60511754362607695</v>
      </c>
      <c r="P29" s="131">
        <v>1.4096919303894699</v>
      </c>
      <c r="Q29" s="130">
        <v>9.6469999999999993E-3</v>
      </c>
      <c r="R29" s="130">
        <v>8.5518540000000005</v>
      </c>
      <c r="S29" s="130">
        <v>7.1656500000000003</v>
      </c>
      <c r="T29" s="130">
        <v>44.150669999999998</v>
      </c>
      <c r="U29" s="130">
        <v>42.528283999999999</v>
      </c>
      <c r="V29" s="130">
        <v>1E-4</v>
      </c>
      <c r="W29" s="131">
        <v>5.54125213678254</v>
      </c>
      <c r="X29" s="131">
        <v>0.49724142545709898</v>
      </c>
      <c r="Y29" s="130">
        <v>1.6426339999999999</v>
      </c>
      <c r="Z29" s="6">
        <v>0.117665351146806</v>
      </c>
      <c r="AA29" s="27">
        <v>0.71892168022052105</v>
      </c>
    </row>
    <row r="31" spans="1:28" x14ac:dyDescent="0.3">
      <c r="M31" s="210" t="s">
        <v>138</v>
      </c>
      <c r="N31" s="210">
        <f>AVERAGE(N26:N29)</f>
        <v>0.2355949551118362</v>
      </c>
      <c r="O31" s="210">
        <f t="shared" ref="O31:AA31" si="2">AVERAGE(O26:O29)</f>
        <v>1.973789012508822</v>
      </c>
      <c r="P31" s="210">
        <f t="shared" si="2"/>
        <v>1.8453025658142468</v>
      </c>
      <c r="Q31" s="210"/>
      <c r="R31" s="210"/>
      <c r="S31" s="210"/>
      <c r="T31" s="210"/>
      <c r="U31" s="210"/>
      <c r="V31" s="210"/>
      <c r="W31" s="210">
        <f t="shared" si="2"/>
        <v>3.9990542652753476</v>
      </c>
      <c r="X31" s="210">
        <f t="shared" si="2"/>
        <v>3.3050793553530129</v>
      </c>
      <c r="Y31" s="210"/>
      <c r="Z31" s="210">
        <f t="shared" si="2"/>
        <v>0.45254688471599674</v>
      </c>
      <c r="AA31" s="210">
        <f t="shared" si="2"/>
        <v>0.50152131860861004</v>
      </c>
    </row>
    <row r="32" spans="1:28" x14ac:dyDescent="0.3">
      <c r="M32" s="2" t="s">
        <v>139</v>
      </c>
      <c r="N32" s="2">
        <f>_xlfn.STDEV.S(N26:N29)</f>
        <v>0.30040960079264961</v>
      </c>
      <c r="O32" s="2">
        <f t="shared" ref="O32:AA32" si="3">_xlfn.STDEV.S(O26:O29)</f>
        <v>2.2384131517421531</v>
      </c>
      <c r="P32" s="2">
        <f t="shared" si="3"/>
        <v>0.84220084028758913</v>
      </c>
      <c r="Q32" s="2"/>
      <c r="R32" s="2"/>
      <c r="S32" s="2"/>
      <c r="T32" s="2"/>
      <c r="U32" s="2"/>
      <c r="V32" s="2"/>
      <c r="W32" s="2">
        <f t="shared" si="3"/>
        <v>2.0186505471776366</v>
      </c>
      <c r="X32" s="2">
        <f t="shared" si="3"/>
        <v>4.2058978534079605</v>
      </c>
      <c r="Y32" s="2"/>
      <c r="Z32" s="2">
        <f t="shared" si="3"/>
        <v>0.39413496827723071</v>
      </c>
      <c r="AA32" s="2">
        <f t="shared" si="3"/>
        <v>0.24939449922529852</v>
      </c>
    </row>
    <row r="34" spans="3:3" x14ac:dyDescent="0.3">
      <c r="C34" s="209"/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Pruebas PSO</vt:lpstr>
      <vt:lpstr>Pruebas PSO termination</vt:lpstr>
      <vt:lpstr>Pruebas variedades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2026-03-31T14:23:04Z</dcterms:modified>
</cp:coreProperties>
</file>