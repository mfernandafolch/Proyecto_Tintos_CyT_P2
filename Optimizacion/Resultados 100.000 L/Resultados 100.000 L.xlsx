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Optimizacion\Resultados 100.000 L\"/>
    </mc:Choice>
  </mc:AlternateContent>
  <xr:revisionPtr revIDLastSave="0" documentId="13_ncr:1_{09982FA5-69F6-4A77-9537-75DF4C9B4F34}" xr6:coauthVersionLast="47" xr6:coauthVersionMax="47" xr10:uidLastSave="{00000000-0000-0000-0000-000000000000}"/>
  <bookViews>
    <workbookView xWindow="-108" yWindow="-108" windowWidth="23256" windowHeight="12576" activeTab="1" xr2:uid="{C2B462DC-C29F-43F6-8EBA-ACE5CEA212F8}"/>
  </bookViews>
  <sheets>
    <sheet name="DATOS 100.000 L" sheetId="1" r:id="rId1"/>
    <sheet name="Resul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P10" i="2" s="1"/>
  <c r="P11" i="2"/>
  <c r="N11" i="2"/>
  <c r="N10" i="2"/>
  <c r="P5" i="2"/>
  <c r="O5" i="2"/>
  <c r="D2" i="1"/>
  <c r="N6" i="2"/>
  <c r="N3" i="2"/>
  <c r="N4" i="2"/>
  <c r="N5" i="2"/>
  <c r="O4" i="2"/>
  <c r="P4" i="2" s="1"/>
  <c r="O2" i="2"/>
  <c r="P2" i="2" s="1"/>
  <c r="N2" i="2"/>
</calcChain>
</file>

<file path=xl/sharedStrings.xml><?xml version="1.0" encoding="utf-8"?>
<sst xmlns="http://schemas.openxmlformats.org/spreadsheetml/2006/main" count="94" uniqueCount="60">
  <si>
    <t>Data CA 25 F.N. estanque 68.xlsx</t>
  </si>
  <si>
    <t>Data CA 24 VAL estanque 62.xlsx</t>
  </si>
  <si>
    <t>Data CA 24 VAL estanque 59.xlsx</t>
  </si>
  <si>
    <t>Data CA 24 VAL estanque 31.xlsx</t>
  </si>
  <si>
    <t>Data ME 25 STA MARTA estanque 62.xlsx</t>
  </si>
  <si>
    <t>Data ME 25 AURORA + STA MARTA estanque 57.xlsx</t>
  </si>
  <si>
    <t>Data ME 24 QAGUA estanque 54.xlsx</t>
  </si>
  <si>
    <t>Data ME 25 Q. AGUA estanque 85.xlsx</t>
  </si>
  <si>
    <t>Data SY 25 LOU estanque 30.xlsx</t>
  </si>
  <si>
    <t>Data SY 24 LOU estanque 62.xlsx</t>
  </si>
  <si>
    <t>Data SY 24 VAL+STARAQ estanque 56.xlsx</t>
  </si>
  <si>
    <t>Data SY 24 LOU+VAL+FN estanque 36.xlsx</t>
  </si>
  <si>
    <t>Los que salieron (1):</t>
  </si>
  <si>
    <t>Data CS 25 LOU estanque 61.xlsx</t>
  </si>
  <si>
    <t>Data CS 25 EL BOLDO estanque 55.xlsx</t>
  </si>
  <si>
    <t>Data CS 24 LOU estanque 54.xlsx</t>
  </si>
  <si>
    <t>Elección aleatoria:</t>
  </si>
  <si>
    <t>Set de datos (100.000 L)</t>
  </si>
  <si>
    <t>Iteración</t>
  </si>
  <si>
    <t>Set validación</t>
  </si>
  <si>
    <t>4,8,13,14</t>
  </si>
  <si>
    <t>Tiempo (min)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</si>
  <si>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</si>
  <si>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</si>
  <si>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</si>
  <si>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</si>
  <si>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</si>
  <si>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</si>
  <si>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</si>
  <si>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</si>
  <si>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</si>
  <si>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</si>
  <si>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</si>
  <si>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</si>
  <si>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</si>
  <si>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</si>
  <si>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Costo opt. train</t>
  </si>
  <si>
    <t>Costo total val.</t>
  </si>
  <si>
    <t>Costo val. 1</t>
  </si>
  <si>
    <t>Costo val. 2</t>
  </si>
  <si>
    <t>Costo val. 3</t>
  </si>
  <si>
    <t>Costo val. 4</t>
  </si>
  <si>
    <t>Los que salieron (2):</t>
  </si>
  <si>
    <t>ordenado</t>
  </si>
  <si>
    <t>1,6,9,12</t>
  </si>
  <si>
    <t>Tiempo train (s)</t>
  </si>
  <si>
    <t>epoch</t>
  </si>
  <si>
    <t>pop_size</t>
  </si>
  <si>
    <t>c1</t>
  </si>
  <si>
    <t>c2</t>
  </si>
  <si>
    <t>w</t>
  </si>
  <si>
    <t>Criterio termination</t>
  </si>
  <si>
    <t>Los que salieron (3):</t>
  </si>
  <si>
    <t>Los que salieron (4):</t>
  </si>
  <si>
    <t>Data CS 24 BOLDO estanque 30.xlsx</t>
  </si>
  <si>
    <t>Agregué división por n de fermentaciones</t>
  </si>
  <si>
    <t>2.a</t>
  </si>
  <si>
    <t>2.b</t>
  </si>
  <si>
    <t>2.c</t>
  </si>
  <si>
    <t>2.d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</si>
</sst>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"/>
    <numFmt numFmtId="165" formatCode="#,##0.00000000"/>
    <numFmt numFmtId="166" formatCode="#,##0.000000000"/>
    <numFmt numFmtId="167" formatCode="0.000"/>
    <numFmt numFmtId="168" formatCode="0.000000000"/>
    <numFmt numFmtId="169" formatCode="0.000000"/>
    <numFmt numFmtId="170" formatCode="0.0%"/>
    <numFmt numFmtId="171" formatCode="0.000%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/>
    <xf numFmtId="165" fontId="0" fillId="0" borderId="8" xfId="0" applyNumberFormat="1" applyBorder="1"/>
    <xf numFmtId="164" fontId="1" fillId="0" borderId="8" xfId="0" applyNumberFormat="1" applyFont="1" applyBorder="1"/>
    <xf numFmtId="166" fontId="0" fillId="0" borderId="8" xfId="0" applyNumberFormat="1" applyBorder="1"/>
    <xf numFmtId="167" fontId="0" fillId="0" borderId="8" xfId="0" applyNumberFormat="1" applyBorder="1"/>
    <xf numFmtId="0" fontId="2" fillId="2" borderId="8" xfId="0" applyFont="1" applyFill="1" applyBorder="1" applyAlignment="1">
      <alignment horizontal="center"/>
    </xf>
    <xf numFmtId="169" fontId="0" fillId="0" borderId="8" xfId="0" applyNumberFormat="1" applyBorder="1"/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7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5" borderId="8" xfId="0" applyFill="1" applyBorder="1"/>
    <xf numFmtId="170" fontId="0" fillId="5" borderId="8" xfId="0" applyNumberFormat="1" applyFill="1" applyBorder="1"/>
    <xf numFmtId="169" fontId="0" fillId="5" borderId="8" xfId="0" applyNumberFormat="1" applyFill="1" applyBorder="1"/>
    <xf numFmtId="167" fontId="0" fillId="5" borderId="8" xfId="0" applyNumberFormat="1" applyFill="1" applyBorder="1"/>
    <xf numFmtId="165" fontId="0" fillId="5" borderId="8" xfId="0" applyNumberFormat="1" applyFill="1" applyBorder="1"/>
    <xf numFmtId="164" fontId="1" fillId="5" borderId="8" xfId="0" applyNumberFormat="1" applyFont="1" applyFill="1" applyBorder="1"/>
    <xf numFmtId="168" fontId="0" fillId="5" borderId="8" xfId="0" applyNumberFormat="1" applyFill="1" applyBorder="1"/>
    <xf numFmtId="166" fontId="0" fillId="5" borderId="8" xfId="0" applyNumberFormat="1" applyFill="1" applyBorder="1"/>
    <xf numFmtId="0" fontId="0" fillId="5" borderId="0" xfId="0" applyFill="1"/>
    <xf numFmtId="171" fontId="0" fillId="5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1485-7AE6-4E37-8A11-C25B6A95DDD5}">
  <dimension ref="A1:E20"/>
  <sheetViews>
    <sheetView workbookViewId="0">
      <selection activeCell="H12" sqref="H12"/>
    </sheetView>
  </sheetViews>
  <sheetFormatPr baseColWidth="10" defaultRowHeight="14.4" x14ac:dyDescent="0.3"/>
  <cols>
    <col min="1" max="1" width="3" bestFit="1" customWidth="1"/>
    <col min="2" max="2" width="43.88671875" bestFit="1" customWidth="1"/>
    <col min="3" max="3" width="17.33203125" bestFit="1" customWidth="1"/>
  </cols>
  <sheetData>
    <row r="1" spans="1:5" ht="15" thickBot="1" x14ac:dyDescent="0.35">
      <c r="B1" s="7" t="s">
        <v>17</v>
      </c>
    </row>
    <row r="2" spans="1:5" x14ac:dyDescent="0.3">
      <c r="A2" s="6">
        <v>1</v>
      </c>
      <c r="B2" s="5" t="s">
        <v>54</v>
      </c>
      <c r="C2" t="s">
        <v>16</v>
      </c>
      <c r="D2">
        <f ca="1">RANDBETWEEN(1,16)</f>
        <v>8</v>
      </c>
    </row>
    <row r="3" spans="1:5" x14ac:dyDescent="0.3">
      <c r="A3" s="4">
        <v>2</v>
      </c>
      <c r="B3" s="3" t="s">
        <v>15</v>
      </c>
    </row>
    <row r="4" spans="1:5" x14ac:dyDescent="0.3">
      <c r="A4" s="4">
        <v>3</v>
      </c>
      <c r="B4" s="3" t="s">
        <v>14</v>
      </c>
      <c r="E4" t="s">
        <v>43</v>
      </c>
    </row>
    <row r="5" spans="1:5" ht="15" thickBot="1" x14ac:dyDescent="0.35">
      <c r="A5" s="2">
        <v>4</v>
      </c>
      <c r="B5" s="22" t="s">
        <v>13</v>
      </c>
      <c r="C5" s="25" t="s">
        <v>12</v>
      </c>
      <c r="D5" s="26">
        <v>13</v>
      </c>
      <c r="E5" s="27">
        <v>4</v>
      </c>
    </row>
    <row r="6" spans="1:5" x14ac:dyDescent="0.3">
      <c r="A6" s="6">
        <v>5</v>
      </c>
      <c r="B6" s="23" t="s">
        <v>11</v>
      </c>
      <c r="C6" s="28"/>
      <c r="D6">
        <v>4</v>
      </c>
      <c r="E6" s="29">
        <v>8</v>
      </c>
    </row>
    <row r="7" spans="1:5" x14ac:dyDescent="0.3">
      <c r="A7" s="4">
        <v>6</v>
      </c>
      <c r="B7" s="24" t="s">
        <v>10</v>
      </c>
      <c r="C7" s="28"/>
      <c r="D7">
        <v>8</v>
      </c>
      <c r="E7" s="29">
        <v>13</v>
      </c>
    </row>
    <row r="8" spans="1:5" x14ac:dyDescent="0.3">
      <c r="A8" s="4">
        <v>7</v>
      </c>
      <c r="B8" s="24" t="s">
        <v>9</v>
      </c>
      <c r="C8" s="30"/>
      <c r="D8" s="31">
        <v>14</v>
      </c>
      <c r="E8" s="32">
        <v>14</v>
      </c>
    </row>
    <row r="9" spans="1:5" ht="15" thickBot="1" x14ac:dyDescent="0.35">
      <c r="A9" s="2">
        <v>8</v>
      </c>
      <c r="B9" s="22" t="s">
        <v>8</v>
      </c>
      <c r="C9" s="25" t="s">
        <v>42</v>
      </c>
      <c r="D9" s="26">
        <v>12</v>
      </c>
      <c r="E9" s="27">
        <v>1</v>
      </c>
    </row>
    <row r="10" spans="1:5" x14ac:dyDescent="0.3">
      <c r="A10" s="6">
        <v>9</v>
      </c>
      <c r="B10" s="23" t="s">
        <v>7</v>
      </c>
      <c r="C10" s="28"/>
      <c r="D10">
        <v>6</v>
      </c>
      <c r="E10" s="29">
        <v>6</v>
      </c>
    </row>
    <row r="11" spans="1:5" x14ac:dyDescent="0.3">
      <c r="A11" s="4">
        <v>10</v>
      </c>
      <c r="B11" s="24" t="s">
        <v>6</v>
      </c>
      <c r="C11" s="28"/>
      <c r="D11">
        <v>9</v>
      </c>
      <c r="E11" s="29">
        <v>9</v>
      </c>
    </row>
    <row r="12" spans="1:5" x14ac:dyDescent="0.3">
      <c r="A12" s="4">
        <v>11</v>
      </c>
      <c r="B12" s="24" t="s">
        <v>5</v>
      </c>
      <c r="C12" s="30"/>
      <c r="D12" s="31">
        <v>1</v>
      </c>
      <c r="E12" s="32">
        <v>12</v>
      </c>
    </row>
    <row r="13" spans="1:5" ht="15" thickBot="1" x14ac:dyDescent="0.35">
      <c r="A13" s="2">
        <v>12</v>
      </c>
      <c r="B13" s="1" t="s">
        <v>4</v>
      </c>
      <c r="C13" s="25" t="s">
        <v>52</v>
      </c>
      <c r="D13" s="26">
        <v>3</v>
      </c>
      <c r="E13" s="27">
        <v>3</v>
      </c>
    </row>
    <row r="14" spans="1:5" x14ac:dyDescent="0.3">
      <c r="A14" s="6">
        <v>13</v>
      </c>
      <c r="B14" s="5" t="s">
        <v>3</v>
      </c>
      <c r="C14" s="28"/>
      <c r="D14">
        <v>15</v>
      </c>
      <c r="E14" s="29">
        <v>8</v>
      </c>
    </row>
    <row r="15" spans="1:5" x14ac:dyDescent="0.3">
      <c r="A15" s="4">
        <v>14</v>
      </c>
      <c r="B15" s="3" t="s">
        <v>2</v>
      </c>
      <c r="C15" s="28"/>
      <c r="D15">
        <v>8</v>
      </c>
      <c r="E15" s="29">
        <v>12</v>
      </c>
    </row>
    <row r="16" spans="1:5" x14ac:dyDescent="0.3">
      <c r="A16" s="4">
        <v>15</v>
      </c>
      <c r="B16" s="3" t="s">
        <v>1</v>
      </c>
      <c r="C16" s="30"/>
      <c r="D16" s="31">
        <v>12</v>
      </c>
      <c r="E16" s="32">
        <v>15</v>
      </c>
    </row>
    <row r="17" spans="1:5" ht="15" thickBot="1" x14ac:dyDescent="0.35">
      <c r="A17" s="2">
        <v>16</v>
      </c>
      <c r="B17" s="1" t="s">
        <v>0</v>
      </c>
      <c r="C17" s="25" t="s">
        <v>53</v>
      </c>
      <c r="D17" s="26">
        <v>16</v>
      </c>
      <c r="E17" s="27">
        <v>4</v>
      </c>
    </row>
    <row r="18" spans="1:5" x14ac:dyDescent="0.3">
      <c r="C18" s="28"/>
      <c r="D18">
        <v>11</v>
      </c>
      <c r="E18" s="29">
        <v>11</v>
      </c>
    </row>
    <row r="19" spans="1:5" x14ac:dyDescent="0.3">
      <c r="C19" s="28"/>
      <c r="D19">
        <v>4</v>
      </c>
      <c r="E19" s="29">
        <v>14</v>
      </c>
    </row>
    <row r="20" spans="1:5" x14ac:dyDescent="0.3">
      <c r="C20" s="30"/>
      <c r="D20" s="31">
        <v>14</v>
      </c>
      <c r="E20" s="32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DA4B-EAD9-4D2D-A868-4303C49D66B8}">
  <dimension ref="A1:AD11"/>
  <sheetViews>
    <sheetView tabSelected="1" workbookViewId="0">
      <selection activeCell="L23" sqref="L23"/>
    </sheetView>
  </sheetViews>
  <sheetFormatPr baseColWidth="10" defaultRowHeight="14.4" x14ac:dyDescent="0.3"/>
  <cols>
    <col min="2" max="2" width="12.6640625" bestFit="1" customWidth="1"/>
    <col min="3" max="3" width="8.5546875" customWidth="1"/>
    <col min="4" max="4" width="10.88671875" customWidth="1"/>
    <col min="5" max="5" width="4.44140625" customWidth="1"/>
    <col min="6" max="6" width="5" customWidth="1"/>
    <col min="7" max="7" width="4.5546875" customWidth="1"/>
    <col min="8" max="8" width="17.5546875" bestFit="1" customWidth="1"/>
    <col min="9" max="9" width="14.21875" bestFit="1" customWidth="1"/>
    <col min="10" max="10" width="12.33203125" bestFit="1" customWidth="1"/>
    <col min="14" max="14" width="13.5546875" bestFit="1" customWidth="1"/>
    <col min="20" max="20" width="12.44140625" bestFit="1" customWidth="1"/>
  </cols>
  <sheetData>
    <row r="1" spans="1:30" s="8" customFormat="1" ht="14.4" customHeight="1" x14ac:dyDescent="0.3">
      <c r="A1" s="14" t="s">
        <v>18</v>
      </c>
      <c r="B1" s="14" t="s">
        <v>19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7" t="s">
        <v>51</v>
      </c>
      <c r="I1" s="17" t="s">
        <v>36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37</v>
      </c>
      <c r="O1" s="17" t="s">
        <v>45</v>
      </c>
      <c r="P1" s="17" t="s">
        <v>21</v>
      </c>
      <c r="Q1" s="18" t="s">
        <v>22</v>
      </c>
      <c r="R1" s="18" t="s">
        <v>23</v>
      </c>
      <c r="S1" s="18" t="s">
        <v>24</v>
      </c>
      <c r="T1" s="19" t="s">
        <v>25</v>
      </c>
      <c r="U1" s="19" t="s">
        <v>26</v>
      </c>
      <c r="V1" s="19" t="s">
        <v>27</v>
      </c>
      <c r="W1" s="19" t="s">
        <v>28</v>
      </c>
      <c r="X1" s="19" t="s">
        <v>29</v>
      </c>
      <c r="Y1" s="19" t="s">
        <v>30</v>
      </c>
      <c r="Z1" s="18" t="s">
        <v>31</v>
      </c>
      <c r="AA1" s="18" t="s">
        <v>32</v>
      </c>
      <c r="AB1" s="20" t="s">
        <v>33</v>
      </c>
      <c r="AC1" s="18" t="s">
        <v>34</v>
      </c>
      <c r="AD1" s="18" t="s">
        <v>35</v>
      </c>
    </row>
    <row r="2" spans="1:30" x14ac:dyDescent="0.3">
      <c r="A2" s="9">
        <v>1</v>
      </c>
      <c r="B2" s="9" t="s">
        <v>20</v>
      </c>
      <c r="C2" s="9">
        <v>1000</v>
      </c>
      <c r="D2" s="9">
        <v>25</v>
      </c>
      <c r="E2" s="9">
        <v>1.5</v>
      </c>
      <c r="F2" s="9">
        <v>1.5</v>
      </c>
      <c r="G2" s="9">
        <v>0.5</v>
      </c>
      <c r="H2" s="21">
        <v>0.01</v>
      </c>
      <c r="I2" s="9">
        <v>0.41618185536778901</v>
      </c>
      <c r="J2" s="9">
        <v>1.2166E-2</v>
      </c>
      <c r="K2" s="9">
        <v>0.15911600000000001</v>
      </c>
      <c r="L2" s="9">
        <v>0.107989</v>
      </c>
      <c r="M2" s="9">
        <v>2.1388999999999998E-2</v>
      </c>
      <c r="N2" s="15">
        <f>SUM(J2:M2)</f>
        <v>0.30066000000000004</v>
      </c>
      <c r="O2" s="9">
        <f>47*60+21.78</f>
        <v>2841.78</v>
      </c>
      <c r="P2" s="13">
        <f>O2/60</f>
        <v>47.363000000000007</v>
      </c>
      <c r="Q2" s="9">
        <v>0.47047601812319401</v>
      </c>
      <c r="R2" s="10">
        <v>3.0988020709448998</v>
      </c>
      <c r="S2" s="10">
        <v>4.8520789046683097</v>
      </c>
      <c r="T2" s="11">
        <v>9.6469999999999993E-3</v>
      </c>
      <c r="U2" s="11">
        <v>8.5518540000000005</v>
      </c>
      <c r="V2" s="11">
        <v>7.1656500000000003</v>
      </c>
      <c r="W2" s="11">
        <v>44.150669999999998</v>
      </c>
      <c r="X2" s="11">
        <v>42.528283999999999</v>
      </c>
      <c r="Y2" s="11">
        <v>1E-4</v>
      </c>
      <c r="Z2" s="12">
        <v>1.0034902280423199</v>
      </c>
      <c r="AA2" s="12">
        <v>6.0307326433920201</v>
      </c>
      <c r="AB2" s="11">
        <v>1.6426339999999999</v>
      </c>
      <c r="AC2" s="9">
        <v>0.499578112031485</v>
      </c>
      <c r="AD2" s="9">
        <v>0.31337809377122</v>
      </c>
    </row>
    <row r="3" spans="1:30" x14ac:dyDescent="0.3">
      <c r="A3">
        <v>1</v>
      </c>
      <c r="B3" s="9" t="s">
        <v>20</v>
      </c>
      <c r="C3" s="9">
        <v>1000</v>
      </c>
      <c r="D3" s="9">
        <v>25</v>
      </c>
      <c r="E3" s="9">
        <v>1.5</v>
      </c>
      <c r="F3" s="9">
        <v>1.5</v>
      </c>
      <c r="G3" s="9">
        <v>0.5</v>
      </c>
      <c r="H3" s="21">
        <v>1E-3</v>
      </c>
      <c r="I3" s="9"/>
      <c r="J3" s="9"/>
      <c r="K3" s="9"/>
      <c r="L3" s="9"/>
      <c r="M3" s="9"/>
      <c r="N3" s="15">
        <f t="shared" ref="N3:N5" si="0">SUM(J3:M3)</f>
        <v>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s="41" customFormat="1" x14ac:dyDescent="0.3">
      <c r="A4" s="33" t="s">
        <v>56</v>
      </c>
      <c r="B4" s="33" t="s">
        <v>44</v>
      </c>
      <c r="C4" s="33">
        <v>1000</v>
      </c>
      <c r="D4" s="33">
        <v>25</v>
      </c>
      <c r="E4" s="33">
        <v>1.5</v>
      </c>
      <c r="F4" s="33">
        <v>1.5</v>
      </c>
      <c r="G4" s="33">
        <v>0.5</v>
      </c>
      <c r="H4" s="34">
        <v>0.01</v>
      </c>
      <c r="I4" s="33">
        <v>0.40002406336472002</v>
      </c>
      <c r="J4" s="33">
        <v>9.5919999999999998E-3</v>
      </c>
      <c r="K4" s="33">
        <v>0.163324</v>
      </c>
      <c r="L4" s="33">
        <v>0.13736400000000001</v>
      </c>
      <c r="M4" s="33">
        <v>9.6762000000000001E-2</v>
      </c>
      <c r="N4" s="35">
        <f t="shared" si="0"/>
        <v>0.40704200000000001</v>
      </c>
      <c r="O4" s="33">
        <f>24*60+12.47</f>
        <v>1452.47</v>
      </c>
      <c r="P4" s="36">
        <f>O4/60</f>
        <v>24.207833333333333</v>
      </c>
      <c r="Q4" s="33">
        <v>0.26206656979687798</v>
      </c>
      <c r="R4" s="37">
        <v>3.6655090274713298</v>
      </c>
      <c r="S4" s="37">
        <v>5.0374474105710503</v>
      </c>
      <c r="T4" s="38">
        <v>9.6469999999999993E-3</v>
      </c>
      <c r="U4" s="38">
        <v>8.5518540000000005</v>
      </c>
      <c r="V4" s="38">
        <v>7.1656500000000003</v>
      </c>
      <c r="W4" s="38">
        <v>44.150669999999998</v>
      </c>
      <c r="X4" s="38">
        <v>42.528283999999999</v>
      </c>
      <c r="Y4" s="38">
        <v>1E-4</v>
      </c>
      <c r="Z4" s="39">
        <v>0.97485643145817502</v>
      </c>
      <c r="AA4" s="40">
        <v>5.2665504281965596</v>
      </c>
      <c r="AB4" s="38">
        <v>1.6426339999999999</v>
      </c>
      <c r="AC4" s="33">
        <v>0.35589645773479001</v>
      </c>
      <c r="AD4" s="33">
        <v>0.52196650894014596</v>
      </c>
    </row>
    <row r="5" spans="1:30" s="41" customFormat="1" x14ac:dyDescent="0.3">
      <c r="A5" s="33" t="s">
        <v>57</v>
      </c>
      <c r="B5" s="33" t="s">
        <v>44</v>
      </c>
      <c r="C5" s="33">
        <v>1000</v>
      </c>
      <c r="D5" s="33">
        <v>25</v>
      </c>
      <c r="E5" s="33">
        <v>1.5</v>
      </c>
      <c r="F5" s="33">
        <v>1.5</v>
      </c>
      <c r="G5" s="33">
        <v>0.5</v>
      </c>
      <c r="H5" s="34">
        <v>1E-3</v>
      </c>
      <c r="I5" s="33">
        <v>0.35532146484654198</v>
      </c>
      <c r="J5" s="33">
        <v>3.8476000000000003E-2</v>
      </c>
      <c r="K5" s="33">
        <v>0.121822</v>
      </c>
      <c r="L5" s="33">
        <v>6.7739999999999995E-2</v>
      </c>
      <c r="M5" s="33">
        <v>0.100124</v>
      </c>
      <c r="N5" s="35">
        <f t="shared" si="0"/>
        <v>0.32816200000000001</v>
      </c>
      <c r="O5" s="33">
        <f>68*60+55.88</f>
        <v>4135.88</v>
      </c>
      <c r="P5" s="36">
        <f>O5/60</f>
        <v>68.931333333333342</v>
      </c>
      <c r="Q5" s="33">
        <v>9.8049256361115805E-2</v>
      </c>
      <c r="R5" s="37">
        <v>3.7642227106778101</v>
      </c>
      <c r="S5" s="37">
        <v>5.0218297479588498</v>
      </c>
      <c r="T5" s="38">
        <v>9.6469999999999993E-3</v>
      </c>
      <c r="U5" s="38">
        <v>8.5518540000000005</v>
      </c>
      <c r="V5" s="38">
        <v>7.1656500000000003</v>
      </c>
      <c r="W5" s="38">
        <v>44.150669999999998</v>
      </c>
      <c r="X5" s="38">
        <v>42.528283999999999</v>
      </c>
      <c r="Y5" s="38">
        <v>1E-4</v>
      </c>
      <c r="Z5" s="40">
        <v>1.0193069327270401</v>
      </c>
      <c r="AA5" s="40">
        <v>5.3714989362152199</v>
      </c>
      <c r="AB5" s="38">
        <v>1.6426339999999999</v>
      </c>
      <c r="AC5" s="33">
        <v>0.35813924314054002</v>
      </c>
      <c r="AD5" s="33">
        <v>0.48519944839122398</v>
      </c>
    </row>
    <row r="6" spans="1:30" x14ac:dyDescent="0.3">
      <c r="A6" s="9"/>
      <c r="B6" s="9"/>
      <c r="C6" s="9"/>
      <c r="D6" s="9"/>
      <c r="E6" s="9"/>
      <c r="F6" s="9"/>
      <c r="G6" s="9"/>
      <c r="H6" s="21"/>
      <c r="I6" s="9"/>
      <c r="J6" s="9"/>
      <c r="K6" s="9"/>
      <c r="L6" s="9"/>
      <c r="M6" s="9"/>
      <c r="N6" s="15">
        <f>SUM(J6:M6)</f>
        <v>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8" spans="1:30" x14ac:dyDescent="0.3">
      <c r="A8" t="s">
        <v>55</v>
      </c>
    </row>
    <row r="9" spans="1:30" ht="28.8" x14ac:dyDescent="0.3">
      <c r="A9" s="14" t="s">
        <v>18</v>
      </c>
      <c r="B9" s="14" t="s">
        <v>19</v>
      </c>
      <c r="C9" s="16" t="s">
        <v>46</v>
      </c>
      <c r="D9" s="16" t="s">
        <v>47</v>
      </c>
      <c r="E9" s="16" t="s">
        <v>48</v>
      </c>
      <c r="F9" s="16" t="s">
        <v>49</v>
      </c>
      <c r="G9" s="16" t="s">
        <v>50</v>
      </c>
      <c r="H9" s="17" t="s">
        <v>51</v>
      </c>
      <c r="I9" s="17" t="s">
        <v>36</v>
      </c>
      <c r="J9" s="14" t="s">
        <v>38</v>
      </c>
      <c r="K9" s="14" t="s">
        <v>39</v>
      </c>
      <c r="L9" s="14" t="s">
        <v>40</v>
      </c>
      <c r="M9" s="14" t="s">
        <v>41</v>
      </c>
      <c r="N9" s="14" t="s">
        <v>37</v>
      </c>
      <c r="O9" s="17" t="s">
        <v>45</v>
      </c>
      <c r="P9" s="17" t="s">
        <v>21</v>
      </c>
      <c r="Q9" s="18" t="s">
        <v>22</v>
      </c>
      <c r="R9" s="18" t="s">
        <v>23</v>
      </c>
      <c r="S9" s="18" t="s">
        <v>24</v>
      </c>
      <c r="T9" s="19" t="s">
        <v>25</v>
      </c>
      <c r="U9" s="19" t="s">
        <v>26</v>
      </c>
      <c r="V9" s="19" t="s">
        <v>27</v>
      </c>
      <c r="W9" s="19" t="s">
        <v>28</v>
      </c>
      <c r="X9" s="19" t="s">
        <v>29</v>
      </c>
      <c r="Y9" s="19" t="s">
        <v>30</v>
      </c>
      <c r="Z9" s="18" t="s">
        <v>31</v>
      </c>
      <c r="AA9" s="18" t="s">
        <v>32</v>
      </c>
      <c r="AB9" s="20" t="s">
        <v>33</v>
      </c>
      <c r="AC9" s="18" t="s">
        <v>34</v>
      </c>
      <c r="AD9" s="18" t="s">
        <v>35</v>
      </c>
    </row>
    <row r="10" spans="1:30" s="41" customFormat="1" x14ac:dyDescent="0.3">
      <c r="A10" s="33" t="s">
        <v>58</v>
      </c>
      <c r="B10" s="33" t="s">
        <v>44</v>
      </c>
      <c r="C10" s="33">
        <v>1000</v>
      </c>
      <c r="D10" s="33">
        <v>25</v>
      </c>
      <c r="E10" s="33">
        <v>1.5</v>
      </c>
      <c r="F10" s="33">
        <v>1.5</v>
      </c>
      <c r="G10" s="33">
        <v>0.5</v>
      </c>
      <c r="H10" s="34">
        <v>0.01</v>
      </c>
      <c r="I10" s="33">
        <v>3.33353386137267E-2</v>
      </c>
      <c r="J10" s="33"/>
      <c r="K10" s="33"/>
      <c r="L10" s="33"/>
      <c r="M10" s="33"/>
      <c r="N10" s="35">
        <f t="shared" ref="N10" si="1">SUM(J10:M10)</f>
        <v>0</v>
      </c>
      <c r="O10" s="33">
        <f>25*60+48.13</f>
        <v>1548.13</v>
      </c>
      <c r="P10" s="36">
        <f>O10/60</f>
        <v>25.802166666666668</v>
      </c>
      <c r="Q10" s="33">
        <v>0.26206656979687798</v>
      </c>
      <c r="R10" s="37">
        <v>3.6655090274713298</v>
      </c>
      <c r="S10" s="37">
        <v>5.0374474105710503</v>
      </c>
      <c r="T10" s="38">
        <v>9.6469999999999993E-3</v>
      </c>
      <c r="U10" s="38">
        <v>8.5518540000000005</v>
      </c>
      <c r="V10" s="38">
        <v>7.1656500000000003</v>
      </c>
      <c r="W10" s="38">
        <v>44.150669999999998</v>
      </c>
      <c r="X10" s="38">
        <v>42.528283999999999</v>
      </c>
      <c r="Y10" s="38">
        <v>1E-4</v>
      </c>
      <c r="Z10" s="39">
        <v>0.97485643145817502</v>
      </c>
      <c r="AA10" s="40">
        <v>5.2665504281965596</v>
      </c>
      <c r="AB10" s="38">
        <v>1.6426339999999999</v>
      </c>
      <c r="AC10" s="33">
        <v>0.35589645773479001</v>
      </c>
      <c r="AD10" s="33">
        <v>0.52196650894014596</v>
      </c>
    </row>
    <row r="11" spans="1:30" s="41" customFormat="1" x14ac:dyDescent="0.3">
      <c r="A11" s="33" t="s">
        <v>59</v>
      </c>
      <c r="B11" s="33" t="s">
        <v>44</v>
      </c>
      <c r="C11" s="33">
        <v>1000</v>
      </c>
      <c r="D11" s="33">
        <v>25</v>
      </c>
      <c r="E11" s="33">
        <v>1.5</v>
      </c>
      <c r="F11" s="33">
        <v>1.5</v>
      </c>
      <c r="G11" s="33">
        <v>0.5</v>
      </c>
      <c r="H11" s="42">
        <v>1.0000000000000001E-5</v>
      </c>
      <c r="I11" s="33"/>
      <c r="J11" s="33"/>
      <c r="K11" s="33"/>
      <c r="L11" s="33"/>
      <c r="M11" s="33"/>
      <c r="N11" s="35">
        <f t="shared" ref="N11" si="2">SUM(J11:M11)</f>
        <v>0</v>
      </c>
      <c r="O11" s="33"/>
      <c r="P11" s="36">
        <f>O11/60</f>
        <v>0</v>
      </c>
      <c r="Q11" s="33"/>
      <c r="R11" s="37"/>
      <c r="S11" s="37"/>
      <c r="T11" s="38">
        <v>9.6469999999999993E-3</v>
      </c>
      <c r="U11" s="38">
        <v>8.5518540000000005</v>
      </c>
      <c r="V11" s="38">
        <v>7.1656500000000003</v>
      </c>
      <c r="W11" s="38">
        <v>44.150669999999998</v>
      </c>
      <c r="X11" s="38">
        <v>42.528283999999999</v>
      </c>
      <c r="Y11" s="38">
        <v>1E-4</v>
      </c>
      <c r="Z11" s="39"/>
      <c r="AA11" s="40"/>
      <c r="AB11" s="38">
        <v>1.6426339999999999</v>
      </c>
      <c r="AC11" s="33"/>
      <c r="AD11" s="33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100.000 L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>MARIA FERNANDA FOLCH</cp:lastModifiedBy>
  <dcterms:created xsi:type="dcterms:W3CDTF">2026-04-13T16:04:25Z</dcterms:created>
  <dcterms:modified xsi:type="dcterms:W3CDTF">2026-04-15T21:04:48Z</dcterms:modified>
</cp:coreProperties>
</file>