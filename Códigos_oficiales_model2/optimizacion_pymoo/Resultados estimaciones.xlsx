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Ex1.xml" ContentType="application/vnd.ms-office.chartex+xml"/>
  <Override PartName="/xl/charts/style1.xml" ContentType="application/vnd.ms-office.chartstyle+xml"/>
  <Override PartName="/xl/charts/colors1.xml" ContentType="application/vnd.ms-office.chartcolorstyle+xml"/>
  <Override PartName="/xl/charts/chartEx2.xml" ContentType="application/vnd.ms-office.chartex+xml"/>
  <Override PartName="/xl/charts/style2.xml" ContentType="application/vnd.ms-office.chartstyle+xml"/>
  <Override PartName="/xl/charts/colors2.xml" ContentType="application/vnd.ms-office.chartcolorstyle+xml"/>
  <Override PartName="/xl/charts/chartEx3.xml" ContentType="application/vnd.ms-office.chartex+xml"/>
  <Override PartName="/xl/charts/style3.xml" ContentType="application/vnd.ms-office.chartstyle+xml"/>
  <Override PartName="/xl/charts/colors3.xml" ContentType="application/vnd.ms-office.chartcolorstyle+xml"/>
  <Override PartName="/xl/charts/chartEx4.xml" ContentType="application/vnd.ms-office.chartex+xml"/>
  <Override PartName="/xl/charts/style4.xml" ContentType="application/vnd.ms-office.chartstyle+xml"/>
  <Override PartName="/xl/charts/colors4.xml" ContentType="application/vnd.ms-office.chartcolorstyle+xml"/>
  <Override PartName="/xl/charts/chartEx5.xml" ContentType="application/vnd.ms-office.chartex+xml"/>
  <Override PartName="/xl/charts/style5.xml" ContentType="application/vnd.ms-office.chartstyle+xml"/>
  <Override PartName="/xl/charts/colors5.xml" ContentType="application/vnd.ms-office.chartcolorstyle+xml"/>
  <Override PartName="/xl/charts/chartEx6.xml" ContentType="application/vnd.ms-office.chartex+xml"/>
  <Override PartName="/xl/charts/style6.xml" ContentType="application/vnd.ms-office.chartstyle+xml"/>
  <Override PartName="/xl/charts/colors6.xml" ContentType="application/vnd.ms-office.chartcolorstyle+xml"/>
  <Override PartName="/xl/charts/chartEx7.xml" ContentType="application/vnd.ms-office.chartex+xml"/>
  <Override PartName="/xl/charts/style7.xml" ContentType="application/vnd.ms-office.chartstyle+xml"/>
  <Override PartName="/xl/charts/colors7.xml" ContentType="application/vnd.ms-office.chartcolorstyle+xml"/>
  <Override PartName="/xl/charts/chartEx8.xml" ContentType="application/vnd.ms-office.chartex+xml"/>
  <Override PartName="/xl/charts/style8.xml" ContentType="application/vnd.ms-office.chartstyle+xml"/>
  <Override PartName="/xl/charts/colors8.xml" ContentType="application/vnd.ms-office.chartcolorstyle+xml"/>
  <Override PartName="/xl/drawings/drawing2.xml" ContentType="application/vnd.openxmlformats-officedocument.drawing+xml"/>
  <Override PartName="/xl/charts/chartEx9.xml" ContentType="application/vnd.ms-office.chartex+xml"/>
  <Override PartName="/xl/charts/style9.xml" ContentType="application/vnd.ms-office.chartstyle+xml"/>
  <Override PartName="/xl/charts/colors9.xml" ContentType="application/vnd.ms-office.chartcolorstyle+xml"/>
  <Override PartName="/xl/charts/chartEx10.xml" ContentType="application/vnd.ms-office.chartex+xml"/>
  <Override PartName="/xl/charts/style10.xml" ContentType="application/vnd.ms-office.chartstyle+xml"/>
  <Override PartName="/xl/charts/colors10.xml" ContentType="application/vnd.ms-office.chartcolorstyle+xml"/>
  <Override PartName="/xl/charts/chartEx11.xml" ContentType="application/vnd.ms-office.chartex+xml"/>
  <Override PartName="/xl/charts/style11.xml" ContentType="application/vnd.ms-office.chartstyle+xml"/>
  <Override PartName="/xl/charts/colors11.xml" ContentType="application/vnd.ms-office.chartcolorstyle+xml"/>
  <Override PartName="/xl/charts/chartEx12.xml" ContentType="application/vnd.ms-office.chartex+xml"/>
  <Override PartName="/xl/charts/style12.xml" ContentType="application/vnd.ms-office.chartstyle+xml"/>
  <Override PartName="/xl/charts/colors12.xml" ContentType="application/vnd.ms-office.chartcolorstyle+xml"/>
  <Override PartName="/xl/charts/chartEx13.xml" ContentType="application/vnd.ms-office.chartex+xml"/>
  <Override PartName="/xl/charts/style13.xml" ContentType="application/vnd.ms-office.chartstyle+xml"/>
  <Override PartName="/xl/charts/colors13.xml" ContentType="application/vnd.ms-office.chartcolorstyle+xml"/>
  <Override PartName="/xl/charts/chartEx14.xml" ContentType="application/vnd.ms-office.chartex+xml"/>
  <Override PartName="/xl/charts/style14.xml" ContentType="application/vnd.ms-office.chartstyle+xml"/>
  <Override PartName="/xl/charts/colors14.xml" ContentType="application/vnd.ms-office.chartcolorstyle+xml"/>
  <Override PartName="/xl/charts/chartEx15.xml" ContentType="application/vnd.ms-office.chartex+xml"/>
  <Override PartName="/xl/charts/style15.xml" ContentType="application/vnd.ms-office.chartstyle+xml"/>
  <Override PartName="/xl/charts/colors15.xml" ContentType="application/vnd.ms-office.chartcolorstyle+xml"/>
  <Override PartName="/xl/charts/chartEx16.xml" ContentType="application/vnd.ms-office.chartex+xml"/>
  <Override PartName="/xl/charts/style16.xml" ContentType="application/vnd.ms-office.chartstyle+xml"/>
  <Override PartName="/xl/charts/colors16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929"/>
  <workbookPr/>
  <mc:AlternateContent xmlns:mc="http://schemas.openxmlformats.org/markup-compatibility/2006">
    <mc:Choice Requires="x15">
      <x15ac:absPath xmlns:x15ac="http://schemas.microsoft.com/office/spreadsheetml/2010/11/ac" url="C:\Users\p-mfolch\Documents\Proyecto_Tintos_CyT\Códigos_oficiales_model2\optimizacion_pymoo\"/>
    </mc:Choice>
  </mc:AlternateContent>
  <xr:revisionPtr revIDLastSave="0" documentId="13_ncr:1_{43B45062-1951-4246-ACA8-6F8EEC7BC287}" xr6:coauthVersionLast="47" xr6:coauthVersionMax="47" xr10:uidLastSave="{00000000-0000-0000-0000-000000000000}"/>
  <bookViews>
    <workbookView xWindow="-108" yWindow="-108" windowWidth="23256" windowHeight="12576" xr2:uid="{00000000-000D-0000-FFFF-FFFF00000000}"/>
  </bookViews>
  <sheets>
    <sheet name="Hoja1" sheetId="5" r:id="rId1"/>
    <sheet name="Hoja1 (3)" sheetId="4" r:id="rId2"/>
  </sheets>
  <definedNames>
    <definedName name="_xlnm._FilterDatabase" localSheetId="0" hidden="1">Hoja1!$A$1:$Y$1</definedName>
    <definedName name="_xlnm._FilterDatabase" localSheetId="1" hidden="1">'Hoja1 (3)'!$A$1:$Y$1</definedName>
    <definedName name="_xlchart.v1.0" hidden="1">Hoja1!$V$2:$V$21</definedName>
    <definedName name="_xlchart.v1.1" hidden="1">Hoja1!$Y$1</definedName>
    <definedName name="_xlchart.v1.10" hidden="1">Hoja1!$Y$2:$Y$21</definedName>
    <definedName name="_xlchart.v1.11" hidden="1">Hoja1!$X$1</definedName>
    <definedName name="_xlchart.v1.12" hidden="1">Hoja1!$X$2:$X$21</definedName>
    <definedName name="_xlchart.v1.13" hidden="1">Hoja1!$W$1</definedName>
    <definedName name="_xlchart.v1.14" hidden="1">Hoja1!$W$2:$W$21</definedName>
    <definedName name="_xlchart.v1.15" hidden="1">'Hoja1 (3)'!$W$1</definedName>
    <definedName name="_xlchart.v1.16" hidden="1">'Hoja1 (3)'!$W$2:$W$21</definedName>
    <definedName name="_xlchart.v1.17" hidden="1">'Hoja1 (3)'!$W$1</definedName>
    <definedName name="_xlchart.v1.18" hidden="1">'Hoja1 (3)'!$W$2:$W$21</definedName>
    <definedName name="_xlchart.v1.19" hidden="1">'Hoja1 (3)'!$X$1</definedName>
    <definedName name="_xlchart.v1.2" hidden="1">Hoja1!$Y$2:$Y$21</definedName>
    <definedName name="_xlchart.v1.20" hidden="1">'Hoja1 (3)'!$X$2:$X$21</definedName>
    <definedName name="_xlchart.v1.21" hidden="1">'Hoja1 (3)'!$Y$1</definedName>
    <definedName name="_xlchart.v1.22" hidden="1">'Hoja1 (3)'!$Y$2:$Y$21</definedName>
    <definedName name="_xlchart.v1.23" hidden="1">'Hoja1 (3)'!$V$2:$V$21</definedName>
    <definedName name="_xlchart.v1.24" hidden="1">'Hoja1 (3)'!$V$1</definedName>
    <definedName name="_xlchart.v1.25" hidden="1">'Hoja1 (3)'!$V$2:$V$21</definedName>
    <definedName name="_xlchart.v1.26" hidden="1">'Hoja1 (3)'!$Y$1</definedName>
    <definedName name="_xlchart.v1.27" hidden="1">'Hoja1 (3)'!$Y$2:$Y$21</definedName>
    <definedName name="_xlchart.v1.28" hidden="1">'Hoja1 (3)'!$X$1</definedName>
    <definedName name="_xlchart.v1.29" hidden="1">'Hoja1 (3)'!$X$2:$X$21</definedName>
    <definedName name="_xlchart.v1.3" hidden="1">Hoja1!$V$1</definedName>
    <definedName name="_xlchart.v1.4" hidden="1">Hoja1!$V$2:$V$21</definedName>
    <definedName name="_xlchart.v1.5" hidden="1">Hoja1!$X$1</definedName>
    <definedName name="_xlchart.v1.6" hidden="1">Hoja1!$X$2:$X$21</definedName>
    <definedName name="_xlchart.v1.7" hidden="1">Hoja1!$W$1</definedName>
    <definedName name="_xlchart.v1.8" hidden="1">Hoja1!$W$2:$W$21</definedName>
    <definedName name="_xlchart.v1.9" hidden="1">Hoja1!$Y$1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V24" i="5" l="1"/>
  <c r="Y25" i="5"/>
  <c r="X25" i="5"/>
  <c r="W25" i="5"/>
  <c r="V25" i="5"/>
  <c r="Y24" i="5"/>
  <c r="X24" i="5"/>
  <c r="W24" i="5"/>
  <c r="Y23" i="5"/>
  <c r="X23" i="5"/>
  <c r="W23" i="5"/>
  <c r="W22" i="4"/>
  <c r="X22" i="4"/>
  <c r="Y22" i="4"/>
  <c r="V22" i="4"/>
  <c r="Y25" i="4"/>
  <c r="X25" i="4"/>
  <c r="W25" i="4"/>
  <c r="V25" i="4"/>
  <c r="Y24" i="4"/>
  <c r="X24" i="4"/>
  <c r="W24" i="4"/>
  <c r="V24" i="4"/>
  <c r="Y23" i="4"/>
  <c r="X23" i="4"/>
  <c r="W23" i="4"/>
  <c r="V23" i="4"/>
  <c r="V23" i="5" l="1"/>
</calcChain>
</file>

<file path=xl/sharedStrings.xml><?xml version="1.0" encoding="utf-8"?>
<sst xmlns="http://schemas.openxmlformats.org/spreadsheetml/2006/main" count="290" uniqueCount="87">
  <si>
    <t>iteracion</t>
  </si>
  <si>
    <t>hora_fin</t>
  </si>
  <si>
    <t>duracion_s</t>
  </si>
  <si>
    <t>duracion_min</t>
  </si>
  <si>
    <t>ids_ajuste</t>
  </si>
  <si>
    <t>ids_validacion</t>
  </si>
  <si>
    <t>ids_separados</t>
  </si>
  <si>
    <t>nombres_ajuste</t>
  </si>
  <si>
    <t>nombres_validacion</t>
  </si>
  <si>
    <t>nombres_separados</t>
  </si>
  <si>
    <t>costo_ajuste</t>
  </si>
  <si>
    <t>costo_validacion</t>
  </si>
  <si>
    <t>costo_total</t>
  </si>
  <si>
    <t>stop_reason</t>
  </si>
  <si>
    <t>stop_iteration</t>
  </si>
  <si>
    <t>final_ratio</t>
  </si>
  <si>
    <t>umbral_relativo</t>
  </si>
  <si>
    <t>max_epoch</t>
  </si>
  <si>
    <t>mu0</t>
  </si>
  <si>
    <t>kd0</t>
  </si>
  <si>
    <t>betaS0</t>
  </si>
  <si>
    <t>Kn</t>
  </si>
  <si>
    <t>Yxn</t>
  </si>
  <si>
    <t>Yes</t>
  </si>
  <si>
    <t>Ks</t>
  </si>
  <si>
    <t>2026-05-15 20:00:34</t>
  </si>
  <si>
    <t>2,5,6,7,9</t>
  </si>
  <si>
    <t>3,4,11,14</t>
  </si>
  <si>
    <t>Data CS 24 LOU estanque 54.xlsx | Data SY 24 LOU+VAL+FN estanque 36.xlsx | Data SY 24 VAL+STARAQ estanque 56.xlsx | Data SY 24 LOU estanque 62.xlsx | Data ME 25 Q. AGUA estanque 85.xlsx</t>
  </si>
  <si>
    <t>Data CS 25 EL BOLDO estanque 55.xlsx | Data CS 25 LOU estanque 61.xlsx | Data ME 25 AURORA + STA MARTA estanque 57.xlsx | Data CA 24 VAL estanque 59.xlsx</t>
  </si>
  <si>
    <t>2026-05-15 17:23:50</t>
  </si>
  <si>
    <t>1,5,10,13,15</t>
  </si>
  <si>
    <t>Data CS 24 EL BOLDO estanque 30.xlsx | Data SY 24 LOU+VAL+FN estanque 36.xlsx | Data ME 24 QAGUA estanque 54.xlsx | Data CA 24 VAL estanque 31.xlsx | Data CA 24 VAL estanque 62.xlsx</t>
  </si>
  <si>
    <t>2026-05-15 19:18:58</t>
  </si>
  <si>
    <t>5,6,9,13,16</t>
  </si>
  <si>
    <t>Data SY 24 LOU+VAL+FN estanque 36.xlsx | Data SY 24 VAL+STARAQ estanque 56.xlsx | Data ME 25 Q. AGUA estanque 85.xlsx | Data CA 24 VAL estanque 31.xlsx | Data CA 25 F.N. estanque 68.xlsx</t>
  </si>
  <si>
    <t>2026-05-15 19:25:47</t>
  </si>
  <si>
    <t>1,8,12,15,16</t>
  </si>
  <si>
    <t>Data CS 24 EL BOLDO estanque 30.xlsx | Data SY 25 LOU estanque 30.xlsx | Data ME 25 STA MARTA estanque 62.xlsx | Data CA 24 VAL estanque 62.xlsx | Data CA 25 F.N. estanque 68.xlsx</t>
  </si>
  <si>
    <t>2026-05-15 17:35:33</t>
  </si>
  <si>
    <t>1,5,6,8,12</t>
  </si>
  <si>
    <t>Data CS 24 EL BOLDO estanque 30.xlsx | Data SY 24 LOU+VAL+FN estanque 36.xlsx | Data SY 24 VAL+STARAQ estanque 56.xlsx | Data SY 25 LOU estanque 30.xlsx | Data ME 25 STA MARTA estanque 62.xlsx</t>
  </si>
  <si>
    <t>2026-05-15 23:59:21</t>
  </si>
  <si>
    <t>7,8,9,10,15</t>
  </si>
  <si>
    <t>Data SY 24 LOU estanque 62.xlsx | Data SY 25 LOU estanque 30.xlsx | Data ME 25 Q. AGUA estanque 85.xlsx | Data ME 24 QAGUA estanque 54.xlsx | Data CA 24 VAL estanque 62.xlsx</t>
  </si>
  <si>
    <t>2026-05-16 01:20:16</t>
  </si>
  <si>
    <t>1,6,7,12,13</t>
  </si>
  <si>
    <t>Data CS 24 EL BOLDO estanque 30.xlsx | Data SY 24 VAL+STARAQ estanque 56.xlsx | Data SY 24 LOU estanque 62.xlsx | Data ME 25 STA MARTA estanque 62.xlsx | Data CA 24 VAL estanque 31.xlsx</t>
  </si>
  <si>
    <t>2026-05-15 23:35:17</t>
  </si>
  <si>
    <t>1,7,9,12,16</t>
  </si>
  <si>
    <t>Data CS 24 EL BOLDO estanque 30.xlsx | Data SY 24 LOU estanque 62.xlsx | Data ME 25 Q. AGUA estanque 85.xlsx | Data ME 25 STA MARTA estanque 62.xlsx | Data CA 25 F.N. estanque 68.xlsx</t>
  </si>
  <si>
    <t>2026-05-16 00:20:58</t>
  </si>
  <si>
    <t>5,6,8,10,13</t>
  </si>
  <si>
    <t>Data SY 24 LOU+VAL+FN estanque 36.xlsx | Data SY 24 VAL+STARAQ estanque 56.xlsx | Data SY 25 LOU estanque 30.xlsx | Data ME 24 QAGUA estanque 54.xlsx | Data CA 24 VAL estanque 31.xlsx</t>
  </si>
  <si>
    <t>2026-05-15 21:12:08</t>
  </si>
  <si>
    <t>8,9,10,13,16</t>
  </si>
  <si>
    <t>Data SY 25 LOU estanque 30.xlsx | Data ME 25 Q. AGUA estanque 85.xlsx | Data ME 24 QAGUA estanque 54.xlsx | Data CA 24 VAL estanque 31.xlsx | Data CA 25 F.N. estanque 68.xlsx</t>
  </si>
  <si>
    <t>2026-05-25 15:11:51</t>
  </si>
  <si>
    <t>1,5,9,10,12</t>
  </si>
  <si>
    <t>Data CS 24 EL BOLDO estanque 30.xlsx | Data SY 24 LOU+VAL+FN estanque 36.xlsx | Data ME 25 Q. AGUA estanque 85.xlsx | Data ME 24 QAGUA estanque 54.xlsx | Data ME 25 STA MARTA estanque 62.xlsx</t>
  </si>
  <si>
    <t>2026-05-25 13:59:00</t>
  </si>
  <si>
    <t>5,6,7,8,10</t>
  </si>
  <si>
    <t>Data SY 24 LOU+VAL+FN estanque 36.xlsx | Data SY 24 VAL+STARAQ estanque 56.xlsx | Data SY 24 LOU estanque 62.xlsx | Data SY 25 LOU estanque 30.xlsx | Data ME 24 QAGUA estanque 54.xlsx</t>
  </si>
  <si>
    <t>2026-05-25 15:31:06</t>
  </si>
  <si>
    <t>2,6,8,10,13</t>
  </si>
  <si>
    <t>Data CS 24 LOU estanque 54.xlsx | Data SY 24 VAL+STARAQ estanque 56.xlsx | Data SY 25 LOU estanque 30.xlsx | Data ME 24 QAGUA estanque 54.xlsx | Data CA 24 VAL estanque 31.xlsx</t>
  </si>
  <si>
    <t>2026-05-25 13:11:51</t>
  </si>
  <si>
    <t>6,7,10,13,16</t>
  </si>
  <si>
    <t>Data SY 24 VAL+STARAQ estanque 56.xlsx | Data SY 24 LOU estanque 62.xlsx | Data ME 24 QAGUA estanque 54.xlsx | Data CA 24 VAL estanque 31.xlsx | Data CA 25 F.N. estanque 68.xlsx</t>
  </si>
  <si>
    <t>2026-05-25 13:24:11</t>
  </si>
  <si>
    <t>1,8,13,15,16</t>
  </si>
  <si>
    <t>Data CS 24 EL BOLDO estanque 30.xlsx | Data SY 25 LOU estanque 30.xlsx | Data CA 24 VAL estanque 31.xlsx | Data CA 24 VAL estanque 62.xlsx | Data CA 25 F.N. estanque 68.xlsx</t>
  </si>
  <si>
    <t>2026-05-25 19:53:35</t>
  </si>
  <si>
    <t>2,6,7,9,12</t>
  </si>
  <si>
    <t>Data CS 24 LOU estanque 54.xlsx | Data SY 24 VAL+STARAQ estanque 56.xlsx | Data SY 24 LOU estanque 62.xlsx | Data ME 25 Q. AGUA estanque 85.xlsx | Data ME 25 STA MARTA estanque 62.xlsx</t>
  </si>
  <si>
    <t>2026-05-25 20:33:53</t>
  </si>
  <si>
    <t>1,2,6,10,15</t>
  </si>
  <si>
    <t>Data CS 24 EL BOLDO estanque 30.xlsx | Data CS 24 LOU estanque 54.xlsx | Data SY 24 VAL+STARAQ estanque 56.xlsx | Data ME 24 QAGUA estanque 54.xlsx | Data CA 24 VAL estanque 62.xlsx</t>
  </si>
  <si>
    <t>2026-05-25 19:32:02</t>
  </si>
  <si>
    <t>5,7,13,15,16</t>
  </si>
  <si>
    <t>Data SY 24 LOU+VAL+FN estanque 36.xlsx | Data SY 24 LOU estanque 62.xlsx | Data CA 24 VAL estanque 31.xlsx | Data CA 24 VAL estanque 62.xlsx | Data CA 25 F.N. estanque 68.xlsx</t>
  </si>
  <si>
    <t>2026-05-25 19:09:45</t>
  </si>
  <si>
    <t>9,12,13,15,16</t>
  </si>
  <si>
    <t>Data ME 25 Q. AGUA estanque 85.xlsx | Data ME 25 STA MARTA estanque 62.xlsx | Data CA 24 VAL estanque 31.xlsx | Data CA 24 VAL estanque 62.xlsx | Data CA 25 F.N. estanque 68.xlsx</t>
  </si>
  <si>
    <t>2026-05-25 19:46:10</t>
  </si>
  <si>
    <t>1,6,8,10,16</t>
  </si>
  <si>
    <t>Data CS 24 EL BOLDO estanque 30.xlsx | Data SY 24 VAL+STARAQ estanque 56.xlsx | Data SY 25 LOU estanque 30.xlsx | Data ME 24 QAGUA estanque 54.xlsx | Data CA 25 F.N. estanque 68.xlsx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</si>
</sst>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00000"/>
    <numFmt numFmtId="165" formatCode="0.000000000"/>
  </numFmts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9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11">
    <xf numFmtId="0" fontId="0" fillId="0" borderId="0" xfId="0"/>
    <xf numFmtId="0" fontId="0" fillId="0" borderId="1" xfId="0" applyBorder="1"/>
    <xf numFmtId="0" fontId="0" fillId="0" borderId="2" xfId="0" applyBorder="1"/>
    <xf numFmtId="0" fontId="0" fillId="0" borderId="3" xfId="0" applyBorder="1"/>
    <xf numFmtId="0" fontId="0" fillId="0" borderId="4" xfId="0" applyBorder="1"/>
    <xf numFmtId="0" fontId="0" fillId="0" borderId="5" xfId="0" applyBorder="1"/>
    <xf numFmtId="0" fontId="0" fillId="0" borderId="6" xfId="0" applyBorder="1"/>
    <xf numFmtId="0" fontId="0" fillId="0" borderId="7" xfId="0" applyBorder="1"/>
    <xf numFmtId="0" fontId="0" fillId="0" borderId="8" xfId="0" applyBorder="1"/>
    <xf numFmtId="164" fontId="0" fillId="0" borderId="0" xfId="0" applyNumberFormat="1"/>
    <xf numFmtId="165" fontId="0" fillId="0" borderId="0" xfId="0" applyNumberFormat="1"/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Ex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Ex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Ex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Ex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Ex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Ex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Ex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Ex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Ex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Ex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Ex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Ex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Ex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Ex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Ex15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Ex16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chartEx1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>_xlchart.v1.0</cx:f>
      </cx:numDim>
    </cx:data>
  </cx:chartData>
  <cx:chart>
    <cx:title pos="t" align="ctr" overlay="0">
      <cx:tx>
        <cx:txData>
          <cx:v>Kn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es-ES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Calibri" panose="020F0502020204030204"/>
            </a:rPr>
            <a:t>Kn</a:t>
          </a:r>
        </a:p>
      </cx:txPr>
    </cx:title>
    <cx:plotArea>
      <cx:plotAreaRegion>
        <cx:series layoutId="boxWhisker" uniqueId="{C6BD7690-477A-45D1-867D-425763C21062}">
          <cx:dataId val="0"/>
          <cx:layoutPr>
            <cx:visibility meanLine="0" meanMarker="1" nonoutliers="0" outliers="1"/>
            <cx:statistics quartileMethod="exclusive"/>
          </cx:layoutPr>
        </cx:series>
      </cx:plotAreaRegion>
      <cx:axis id="0" hidden="1">
        <cx:catScaling gapWidth="1"/>
        <cx:tickLabels/>
      </cx:axis>
      <cx:axis id="1">
        <cx:valScaling/>
        <cx:majorGridlines/>
        <cx:tickLabels/>
      </cx:axis>
    </cx:plotArea>
  </cx:chart>
</cx:chartSpace>
</file>

<file path=xl/charts/chartEx2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>_xlchart.v1.4</cx:f>
      </cx:numDim>
    </cx:data>
  </cx:chartData>
  <cx:chart>
    <cx:plotArea>
      <cx:plotAreaRegion>
        <cx:series layoutId="clusteredColumn" uniqueId="{00000001-BC7E-4971-A06E-D207053F9DAB}">
          <cx:tx>
            <cx:txData>
              <cx:f>_xlchart.v1.3</cx:f>
              <cx:v>Kn</cx:v>
            </cx:txData>
          </cx:tx>
          <cx:dataId val="0"/>
          <cx:layoutPr>
            <cx:binning intervalClosed="r"/>
          </cx:layoutPr>
        </cx:series>
      </cx:plotAreaRegion>
      <cx:axis id="0">
        <cx:catScaling gapWidth="0"/>
        <cx:tickLabels/>
      </cx:axis>
      <cx:axis id="1">
        <cx:valScaling/>
        <cx:majorGridlines/>
        <cx:tickLabels/>
      </cx:axis>
    </cx:plotArea>
  </cx:chart>
</cx:chartSpace>
</file>

<file path=xl/charts/chartEx3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>_xlchart.v1.14</cx:f>
      </cx:numDim>
    </cx:data>
  </cx:chartData>
  <cx:chart>
    <cx:title pos="t" align="ctr" overlay="0">
      <cx:tx>
        <cx:txData>
          <cx:v>Yxn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es-ES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Calibri" panose="020F0502020204030204"/>
            </a:rPr>
            <a:t>Yxn</a:t>
          </a:r>
        </a:p>
      </cx:txPr>
    </cx:title>
    <cx:plotArea>
      <cx:plotAreaRegion>
        <cx:series layoutId="boxWhisker" uniqueId="{0F116D08-654B-4473-A6FE-BF660B39F4C3}">
          <cx:tx>
            <cx:txData>
              <cx:f>_xlchart.v1.13</cx:f>
              <cx:v>Yxn</cx:v>
            </cx:txData>
          </cx:tx>
          <cx:dataId val="0"/>
          <cx:layoutPr>
            <cx:statistics quartileMethod="exclusive"/>
          </cx:layoutPr>
        </cx:series>
      </cx:plotAreaRegion>
      <cx:axis id="0" hidden="1">
        <cx:catScaling gapWidth="1"/>
        <cx:tickLabels/>
      </cx:axis>
      <cx:axis id="1">
        <cx:valScaling/>
        <cx:majorGridlines/>
        <cx:tickLabels/>
      </cx:axis>
    </cx:plotArea>
  </cx:chart>
</cx:chartSpace>
</file>

<file path=xl/charts/chartEx4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>_xlchart.v1.8</cx:f>
      </cx:numDim>
    </cx:data>
  </cx:chartData>
  <cx:chart>
    <cx:plotArea>
      <cx:plotAreaRegion>
        <cx:series layoutId="clusteredColumn" uniqueId="{E326187D-54D7-4466-ACB4-35ABCDAD8652}">
          <cx:tx>
            <cx:txData>
              <cx:f>_xlchart.v1.7</cx:f>
              <cx:v>Yxn</cx:v>
            </cx:txData>
          </cx:tx>
          <cx:dataId val="0"/>
          <cx:layoutPr>
            <cx:binning intervalClosed="r"/>
          </cx:layoutPr>
        </cx:series>
      </cx:plotAreaRegion>
      <cx:axis id="0">
        <cx:catScaling gapWidth="0"/>
        <cx:tickLabels/>
      </cx:axis>
      <cx:axis id="1">
        <cx:valScaling/>
        <cx:majorGridlines/>
        <cx:tickLabels/>
      </cx:axis>
    </cx:plotArea>
  </cx:chart>
</cx:chartSpace>
</file>

<file path=xl/charts/chartEx5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>_xlchart.v1.12</cx:f>
      </cx:numDim>
    </cx:data>
  </cx:chartData>
  <cx:chart>
    <cx:title pos="t" align="ctr" overlay="0">
      <cx:tx>
        <cx:txData>
          <cx:v>Yes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es-ES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Calibri" panose="020F0502020204030204"/>
            </a:rPr>
            <a:t>Yes</a:t>
          </a:r>
        </a:p>
      </cx:txPr>
    </cx:title>
    <cx:plotArea>
      <cx:plotAreaRegion>
        <cx:series layoutId="boxWhisker" uniqueId="{81576D69-9D5A-4D7E-BAF0-D74822440E08}">
          <cx:tx>
            <cx:txData>
              <cx:f>_xlchart.v1.11</cx:f>
              <cx:v>Yes</cx:v>
            </cx:txData>
          </cx:tx>
          <cx:dataId val="0"/>
          <cx:layoutPr>
            <cx:statistics quartileMethod="exclusive"/>
          </cx:layoutPr>
        </cx:series>
      </cx:plotAreaRegion>
      <cx:axis id="0" hidden="1">
        <cx:catScaling gapWidth="1"/>
        <cx:tickLabels/>
      </cx:axis>
      <cx:axis id="1">
        <cx:valScaling min="0.25"/>
        <cx:majorGridlines/>
        <cx:tickLabels/>
      </cx:axis>
    </cx:plotArea>
  </cx:chart>
</cx:chartSpace>
</file>

<file path=xl/charts/chartEx6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>_xlchart.v1.6</cx:f>
      </cx:numDim>
    </cx:data>
  </cx:chartData>
  <cx:chart>
    <cx:plotArea>
      <cx:plotAreaRegion>
        <cx:series layoutId="clusteredColumn" uniqueId="{B7A9DC36-E507-4C9C-9C7A-E7D5B042F55A}">
          <cx:tx>
            <cx:txData>
              <cx:f>_xlchart.v1.5</cx:f>
              <cx:v>Yes</cx:v>
            </cx:txData>
          </cx:tx>
          <cx:dataId val="0"/>
          <cx:layoutPr>
            <cx:binning intervalClosed="r"/>
          </cx:layoutPr>
        </cx:series>
      </cx:plotAreaRegion>
      <cx:axis id="0">
        <cx:catScaling gapWidth="0"/>
        <cx:tickLabels/>
      </cx:axis>
      <cx:axis id="1">
        <cx:valScaling/>
        <cx:majorGridlines/>
        <cx:tickLabels/>
      </cx:axis>
    </cx:plotArea>
  </cx:chart>
</cx:chartSpace>
</file>

<file path=xl/charts/chartEx7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>_xlchart.v1.10</cx:f>
      </cx:numDim>
    </cx:data>
  </cx:chartData>
  <cx:chart>
    <cx:title pos="t" align="ctr" overlay="0">
      <cx:tx>
        <cx:txData>
          <cx:v>Ks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es-ES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Calibri" panose="020F0502020204030204"/>
            </a:rPr>
            <a:t>Ks</a:t>
          </a:r>
        </a:p>
      </cx:txPr>
    </cx:title>
    <cx:plotArea>
      <cx:plotAreaRegion>
        <cx:series layoutId="boxWhisker" uniqueId="{45E274BE-57DD-456B-BB92-E707190C011F}">
          <cx:tx>
            <cx:txData>
              <cx:f>_xlchart.v1.9</cx:f>
              <cx:v>Ks</cx:v>
            </cx:txData>
          </cx:tx>
          <cx:dataId val="0"/>
          <cx:layoutPr>
            <cx:statistics quartileMethod="exclusive"/>
          </cx:layoutPr>
        </cx:series>
      </cx:plotAreaRegion>
      <cx:axis id="0" hidden="1">
        <cx:catScaling gapWidth="1"/>
        <cx:tickLabels/>
      </cx:axis>
      <cx:axis id="1">
        <cx:valScaling/>
        <cx:majorGridlines/>
        <cx:tickLabels/>
      </cx:axis>
    </cx:plotArea>
  </cx:chart>
</cx:chartSpace>
</file>

<file path=xl/charts/chartEx8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>_xlchart.v1.2</cx:f>
      </cx:numDim>
    </cx:data>
  </cx:chartData>
  <cx:chart>
    <cx:plotArea>
      <cx:plotAreaRegion>
        <cx:series layoutId="clusteredColumn" uniqueId="{6A3144A3-5D7D-4603-8BC6-AB23FF9069ED}">
          <cx:tx>
            <cx:txData>
              <cx:f>_xlchart.v1.1</cx:f>
              <cx:v>Ks</cx:v>
            </cx:txData>
          </cx:tx>
          <cx:dataId val="0"/>
          <cx:layoutPr>
            <cx:binning intervalClosed="r"/>
          </cx:layoutPr>
        </cx:series>
      </cx:plotAreaRegion>
      <cx:axis id="0">
        <cx:catScaling gapWidth="0"/>
        <cx:tickLabels/>
      </cx:axis>
      <cx:axis id="1">
        <cx:valScaling/>
        <cx:majorGridlines/>
        <cx:tickLabels/>
      </cx:axis>
    </cx:plotArea>
  </cx:chart>
</cx:chartSpace>
</file>

<file path=xl/charts/chartEx9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>_xlchart.v1.23</cx:f>
      </cx:numDim>
    </cx:data>
  </cx:chartData>
  <cx:chart>
    <cx:title pos="t" align="ctr" overlay="0">
      <cx:tx>
        <cx:txData>
          <cx:v>Kn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es-ES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Calibri" panose="020F0502020204030204"/>
            </a:rPr>
            <a:t>Kn</a:t>
          </a:r>
        </a:p>
      </cx:txPr>
    </cx:title>
    <cx:plotArea>
      <cx:plotAreaRegion>
        <cx:series layoutId="boxWhisker" uniqueId="{C6BD7690-477A-45D1-867D-425763C21062}">
          <cx:dataId val="0"/>
          <cx:layoutPr>
            <cx:visibility meanLine="0" meanMarker="1" nonoutliers="0" outliers="1"/>
            <cx:statistics quartileMethod="exclusive"/>
          </cx:layoutPr>
        </cx:series>
      </cx:plotAreaRegion>
      <cx:axis id="0" hidden="1">
        <cx:catScaling gapWidth="1"/>
        <cx:tickLabels/>
      </cx:axis>
      <cx:axis id="1">
        <cx:valScaling/>
        <cx:majorGridlines/>
        <cx:tickLabels/>
      </cx:axis>
    </cx:plotArea>
  </cx:chart>
</cx:chartSpace>
</file>

<file path=xl/charts/chartEx10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>_xlchart.v1.25</cx:f>
      </cx:numDim>
    </cx:data>
  </cx:chartData>
  <cx:chart>
    <cx:plotArea>
      <cx:plotAreaRegion>
        <cx:series layoutId="clusteredColumn" uniqueId="{00000001-BC7E-4971-A06E-D207053F9DAB}">
          <cx:tx>
            <cx:txData>
              <cx:f>_xlchart.v1.24</cx:f>
              <cx:v>Kn</cx:v>
            </cx:txData>
          </cx:tx>
          <cx:dataId val="0"/>
          <cx:layoutPr>
            <cx:binning intervalClosed="r"/>
          </cx:layoutPr>
        </cx:series>
      </cx:plotAreaRegion>
      <cx:axis id="0">
        <cx:catScaling gapWidth="0"/>
        <cx:tickLabels/>
      </cx:axis>
      <cx:axis id="1">
        <cx:valScaling/>
        <cx:majorGridlines/>
        <cx:tickLabels/>
      </cx:axis>
    </cx:plotArea>
  </cx:chart>
</cx:chartSpace>
</file>

<file path=xl/charts/chartEx11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>_xlchart.v1.16</cx:f>
      </cx:numDim>
    </cx:data>
  </cx:chartData>
  <cx:chart>
    <cx:title pos="t" align="ctr" overlay="0">
      <cx:tx>
        <cx:txData>
          <cx:v>Yxn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es-ES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Calibri" panose="020F0502020204030204"/>
            </a:rPr>
            <a:t>Yxn</a:t>
          </a:r>
        </a:p>
      </cx:txPr>
    </cx:title>
    <cx:plotArea>
      <cx:plotAreaRegion>
        <cx:series layoutId="boxWhisker" uniqueId="{0F116D08-654B-4473-A6FE-BF660B39F4C3}">
          <cx:tx>
            <cx:txData>
              <cx:f>_xlchart.v1.15</cx:f>
              <cx:v>Yxn</cx:v>
            </cx:txData>
          </cx:tx>
          <cx:dataId val="0"/>
          <cx:layoutPr>
            <cx:statistics quartileMethod="exclusive"/>
          </cx:layoutPr>
        </cx:series>
      </cx:plotAreaRegion>
      <cx:axis id="0" hidden="1">
        <cx:catScaling gapWidth="1"/>
        <cx:tickLabels/>
      </cx:axis>
      <cx:axis id="1">
        <cx:valScaling/>
        <cx:majorGridlines/>
        <cx:tickLabels/>
      </cx:axis>
    </cx:plotArea>
  </cx:chart>
</cx:chartSpace>
</file>

<file path=xl/charts/chartEx12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>_xlchart.v1.18</cx:f>
      </cx:numDim>
    </cx:data>
  </cx:chartData>
  <cx:chart>
    <cx:plotArea>
      <cx:plotAreaRegion>
        <cx:series layoutId="clusteredColumn" uniqueId="{E326187D-54D7-4466-ACB4-35ABCDAD8652}">
          <cx:tx>
            <cx:txData>
              <cx:f>_xlchart.v1.17</cx:f>
              <cx:v>Yxn</cx:v>
            </cx:txData>
          </cx:tx>
          <cx:dataId val="0"/>
          <cx:layoutPr>
            <cx:binning intervalClosed="r"/>
          </cx:layoutPr>
        </cx:series>
      </cx:plotAreaRegion>
      <cx:axis id="0">
        <cx:catScaling gapWidth="0"/>
        <cx:tickLabels/>
      </cx:axis>
      <cx:axis id="1">
        <cx:valScaling/>
        <cx:majorGridlines/>
        <cx:tickLabels/>
      </cx:axis>
    </cx:plotArea>
  </cx:chart>
</cx:chartSpace>
</file>

<file path=xl/charts/chartEx13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>_xlchart.v1.20</cx:f>
      </cx:numDim>
    </cx:data>
  </cx:chartData>
  <cx:chart>
    <cx:title pos="t" align="ctr" overlay="0">
      <cx:tx>
        <cx:txData>
          <cx:v>Yes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es-ES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Calibri" panose="020F0502020204030204"/>
            </a:rPr>
            <a:t>Yes</a:t>
          </a:r>
        </a:p>
      </cx:txPr>
    </cx:title>
    <cx:plotArea>
      <cx:plotAreaRegion>
        <cx:series layoutId="boxWhisker" uniqueId="{81576D69-9D5A-4D7E-BAF0-D74822440E08}">
          <cx:tx>
            <cx:txData>
              <cx:f>_xlchart.v1.19</cx:f>
              <cx:v>Yes</cx:v>
            </cx:txData>
          </cx:tx>
          <cx:dataId val="0"/>
          <cx:layoutPr>
            <cx:statistics quartileMethod="exclusive"/>
          </cx:layoutPr>
        </cx:series>
      </cx:plotAreaRegion>
      <cx:axis id="0" hidden="1">
        <cx:catScaling gapWidth="1"/>
        <cx:tickLabels/>
      </cx:axis>
      <cx:axis id="1">
        <cx:valScaling min="0.25"/>
        <cx:majorGridlines/>
        <cx:tickLabels/>
      </cx:axis>
    </cx:plotArea>
  </cx:chart>
</cx:chartSpace>
</file>

<file path=xl/charts/chartEx14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>_xlchart.v1.29</cx:f>
      </cx:numDim>
    </cx:data>
  </cx:chartData>
  <cx:chart>
    <cx:plotArea>
      <cx:plotAreaRegion>
        <cx:series layoutId="clusteredColumn" uniqueId="{B7A9DC36-E507-4C9C-9C7A-E7D5B042F55A}">
          <cx:tx>
            <cx:txData>
              <cx:f>_xlchart.v1.28</cx:f>
              <cx:v>Yes</cx:v>
            </cx:txData>
          </cx:tx>
          <cx:dataId val="0"/>
          <cx:layoutPr>
            <cx:binning intervalClosed="r"/>
          </cx:layoutPr>
        </cx:series>
      </cx:plotAreaRegion>
      <cx:axis id="0">
        <cx:catScaling gapWidth="0"/>
        <cx:tickLabels/>
      </cx:axis>
      <cx:axis id="1">
        <cx:valScaling/>
        <cx:majorGridlines/>
        <cx:tickLabels/>
      </cx:axis>
    </cx:plotArea>
  </cx:chart>
</cx:chartSpace>
</file>

<file path=xl/charts/chartEx15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>_xlchart.v1.27</cx:f>
      </cx:numDim>
    </cx:data>
  </cx:chartData>
  <cx:chart>
    <cx:title pos="t" align="ctr" overlay="0">
      <cx:tx>
        <cx:txData>
          <cx:v>Ks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es-ES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Calibri" panose="020F0502020204030204"/>
            </a:rPr>
            <a:t>Ks</a:t>
          </a:r>
        </a:p>
      </cx:txPr>
    </cx:title>
    <cx:plotArea>
      <cx:plotAreaRegion>
        <cx:series layoutId="boxWhisker" uniqueId="{45E274BE-57DD-456B-BB92-E707190C011F}">
          <cx:tx>
            <cx:txData>
              <cx:f>_xlchart.v1.26</cx:f>
              <cx:v>Ks</cx:v>
            </cx:txData>
          </cx:tx>
          <cx:dataId val="0"/>
          <cx:layoutPr>
            <cx:statistics quartileMethod="exclusive"/>
          </cx:layoutPr>
        </cx:series>
      </cx:plotAreaRegion>
      <cx:axis id="0" hidden="1">
        <cx:catScaling gapWidth="1"/>
        <cx:tickLabels/>
      </cx:axis>
      <cx:axis id="1">
        <cx:valScaling/>
        <cx:majorGridlines/>
        <cx:tickLabels/>
      </cx:axis>
    </cx:plotArea>
  </cx:chart>
</cx:chartSpace>
</file>

<file path=xl/charts/chartEx16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>_xlchart.v1.22</cx:f>
      </cx:numDim>
    </cx:data>
  </cx:chartData>
  <cx:chart>
    <cx:plotArea>
      <cx:plotAreaRegion>
        <cx:series layoutId="clusteredColumn" uniqueId="{6A3144A3-5D7D-4603-8BC6-AB23FF9069ED}">
          <cx:tx>
            <cx:txData>
              <cx:f>_xlchart.v1.21</cx:f>
              <cx:v>Ks</cx:v>
            </cx:txData>
          </cx:tx>
          <cx:dataId val="0"/>
          <cx:layoutPr>
            <cx:binning intervalClosed="r"/>
          </cx:layoutPr>
        </cx:series>
      </cx:plotAreaRegion>
      <cx:axis id="0">
        <cx:catScaling gapWidth="0"/>
        <cx:tickLabels/>
      </cx:axis>
      <cx:axis id="1">
        <cx:valScaling/>
        <cx:majorGridlines/>
        <cx:tickLabels/>
      </cx:axis>
    </cx:plotArea>
  </cx:chart>
</cx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40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>
        <a:solidFill>
          <a:schemeClr val="phClr"/>
        </a:solidFill>
      </a:ln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36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40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>
        <a:solidFill>
          <a:schemeClr val="phClr"/>
        </a:solidFill>
      </a:ln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36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5.xml><?xml version="1.0" encoding="utf-8"?>
<cs:chartStyle xmlns:cs="http://schemas.microsoft.com/office/drawing/2012/chartStyle" xmlns:a="http://schemas.openxmlformats.org/drawingml/2006/main" id="40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>
        <a:solidFill>
          <a:schemeClr val="phClr"/>
        </a:solidFill>
      </a:ln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6.xml><?xml version="1.0" encoding="utf-8"?>
<cs:chartStyle xmlns:cs="http://schemas.microsoft.com/office/drawing/2012/chartStyle" xmlns:a="http://schemas.openxmlformats.org/drawingml/2006/main" id="36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7.xml><?xml version="1.0" encoding="utf-8"?>
<cs:chartStyle xmlns:cs="http://schemas.microsoft.com/office/drawing/2012/chartStyle" xmlns:a="http://schemas.openxmlformats.org/drawingml/2006/main" id="40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>
        <a:solidFill>
          <a:schemeClr val="phClr"/>
        </a:solidFill>
      </a:ln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8.xml><?xml version="1.0" encoding="utf-8"?>
<cs:chartStyle xmlns:cs="http://schemas.microsoft.com/office/drawing/2012/chartStyle" xmlns:a="http://schemas.openxmlformats.org/drawingml/2006/main" id="36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9.xml><?xml version="1.0" encoding="utf-8"?>
<cs:chartStyle xmlns:cs="http://schemas.microsoft.com/office/drawing/2012/chartStyle" xmlns:a="http://schemas.openxmlformats.org/drawingml/2006/main" id="40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>
        <a:solidFill>
          <a:schemeClr val="phClr"/>
        </a:solidFill>
      </a:ln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10.xml><?xml version="1.0" encoding="utf-8"?>
<cs:chartStyle xmlns:cs="http://schemas.microsoft.com/office/drawing/2012/chartStyle" xmlns:a="http://schemas.openxmlformats.org/drawingml/2006/main" id="36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11.xml><?xml version="1.0" encoding="utf-8"?>
<cs:chartStyle xmlns:cs="http://schemas.microsoft.com/office/drawing/2012/chartStyle" xmlns:a="http://schemas.openxmlformats.org/drawingml/2006/main" id="40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>
        <a:solidFill>
          <a:schemeClr val="phClr"/>
        </a:solidFill>
      </a:ln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12.xml><?xml version="1.0" encoding="utf-8"?>
<cs:chartStyle xmlns:cs="http://schemas.microsoft.com/office/drawing/2012/chartStyle" xmlns:a="http://schemas.openxmlformats.org/drawingml/2006/main" id="36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13.xml><?xml version="1.0" encoding="utf-8"?>
<cs:chartStyle xmlns:cs="http://schemas.microsoft.com/office/drawing/2012/chartStyle" xmlns:a="http://schemas.openxmlformats.org/drawingml/2006/main" id="40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>
        <a:solidFill>
          <a:schemeClr val="phClr"/>
        </a:solidFill>
      </a:ln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14.xml><?xml version="1.0" encoding="utf-8"?>
<cs:chartStyle xmlns:cs="http://schemas.microsoft.com/office/drawing/2012/chartStyle" xmlns:a="http://schemas.openxmlformats.org/drawingml/2006/main" id="36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15.xml><?xml version="1.0" encoding="utf-8"?>
<cs:chartStyle xmlns:cs="http://schemas.microsoft.com/office/drawing/2012/chartStyle" xmlns:a="http://schemas.openxmlformats.org/drawingml/2006/main" id="40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>
        <a:solidFill>
          <a:schemeClr val="phClr"/>
        </a:solidFill>
      </a:ln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16.xml><?xml version="1.0" encoding="utf-8"?>
<cs:chartStyle xmlns:cs="http://schemas.microsoft.com/office/drawing/2012/chartStyle" xmlns:a="http://schemas.openxmlformats.org/drawingml/2006/main" id="36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drawings/_rels/drawing1.xml.rels><?xml version="1.0" encoding="UTF-8" standalone="yes"?>
<Relationships xmlns="http://schemas.openxmlformats.org/package/2006/relationships"><Relationship Id="rId8" Type="http://schemas.microsoft.com/office/2014/relationships/chartEx" Target="../charts/chartEx8.xml"/><Relationship Id="rId3" Type="http://schemas.microsoft.com/office/2014/relationships/chartEx" Target="../charts/chartEx3.xml"/><Relationship Id="rId7" Type="http://schemas.microsoft.com/office/2014/relationships/chartEx" Target="../charts/chartEx7.xml"/><Relationship Id="rId2" Type="http://schemas.microsoft.com/office/2014/relationships/chartEx" Target="../charts/chartEx2.xml"/><Relationship Id="rId1" Type="http://schemas.microsoft.com/office/2014/relationships/chartEx" Target="../charts/chartEx1.xml"/><Relationship Id="rId6" Type="http://schemas.microsoft.com/office/2014/relationships/chartEx" Target="../charts/chartEx6.xml"/><Relationship Id="rId5" Type="http://schemas.microsoft.com/office/2014/relationships/chartEx" Target="../charts/chartEx5.xml"/><Relationship Id="rId4" Type="http://schemas.microsoft.com/office/2014/relationships/chartEx" Target="../charts/chartEx4.xml"/></Relationships>
</file>

<file path=xl/drawings/_rels/drawing2.xml.rels><?xml version="1.0" encoding="UTF-8" standalone="yes"?>
<Relationships xmlns="http://schemas.openxmlformats.org/package/2006/relationships"><Relationship Id="rId8" Type="http://schemas.microsoft.com/office/2014/relationships/chartEx" Target="../charts/chartEx16.xml"/><Relationship Id="rId3" Type="http://schemas.microsoft.com/office/2014/relationships/chartEx" Target="../charts/chartEx11.xml"/><Relationship Id="rId7" Type="http://schemas.microsoft.com/office/2014/relationships/chartEx" Target="../charts/chartEx15.xml"/><Relationship Id="rId2" Type="http://schemas.microsoft.com/office/2014/relationships/chartEx" Target="../charts/chartEx10.xml"/><Relationship Id="rId1" Type="http://schemas.microsoft.com/office/2014/relationships/chartEx" Target="../charts/chartEx9.xml"/><Relationship Id="rId6" Type="http://schemas.microsoft.com/office/2014/relationships/chartEx" Target="../charts/chartEx14.xml"/><Relationship Id="rId5" Type="http://schemas.microsoft.com/office/2014/relationships/chartEx" Target="../charts/chartEx13.xml"/><Relationship Id="rId4" Type="http://schemas.microsoft.com/office/2014/relationships/chartEx" Target="../charts/chartEx1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411480</xdr:colOff>
      <xdr:row>25</xdr:row>
      <xdr:rowOff>171450</xdr:rowOff>
    </xdr:from>
    <xdr:to>
      <xdr:col>21</xdr:col>
      <xdr:colOff>228600</xdr:colOff>
      <xdr:row>40</xdr:row>
      <xdr:rowOff>171450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2" name="Gráfico 1">
              <a:extLst>
                <a:ext uri="{FF2B5EF4-FFF2-40B4-BE49-F238E27FC236}">
                  <a16:creationId xmlns:a16="http://schemas.microsoft.com/office/drawing/2014/main" id="{82A9CF91-3D92-4FC0-A220-31B6FBCA44D1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1597640" y="4781550"/>
              <a:ext cx="2255520" cy="27432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L" sz="1100"/>
                <a:t>Este gráfico no está disponible en su versión de Excel.
Si edita esta forma o guarda el libro en un formato de archivo diferente, el gráfico no se podrá utilizar.</a:t>
              </a:r>
            </a:p>
          </xdr:txBody>
        </xdr:sp>
      </mc:Fallback>
    </mc:AlternateContent>
    <xdr:clientData/>
  </xdr:twoCellAnchor>
  <xdr:twoCellAnchor>
    <xdr:from>
      <xdr:col>17</xdr:col>
      <xdr:colOff>419100</xdr:colOff>
      <xdr:row>41</xdr:row>
      <xdr:rowOff>64770</xdr:rowOff>
    </xdr:from>
    <xdr:to>
      <xdr:col>21</xdr:col>
      <xdr:colOff>312420</xdr:colOff>
      <xdr:row>56</xdr:row>
      <xdr:rowOff>64770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3" name="Gráfico 2">
              <a:extLst>
                <a:ext uri="{FF2B5EF4-FFF2-40B4-BE49-F238E27FC236}">
                  <a16:creationId xmlns:a16="http://schemas.microsoft.com/office/drawing/2014/main" id="{799430F8-2159-4EC3-808E-AB2E7CC2D2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2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1605260" y="7600950"/>
              <a:ext cx="2331720" cy="27432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L" sz="1100"/>
                <a:t>Este gráfico no está disponible en su versión de Excel.
Si edita esta forma o guarda el libro en un formato de archivo diferente, el gráfico no se podrá utilizar.</a:t>
              </a:r>
            </a:p>
          </xdr:txBody>
        </xdr:sp>
      </mc:Fallback>
    </mc:AlternateContent>
    <xdr:clientData/>
  </xdr:twoCellAnchor>
  <xdr:twoCellAnchor>
    <xdr:from>
      <xdr:col>21</xdr:col>
      <xdr:colOff>502920</xdr:colOff>
      <xdr:row>26</xdr:row>
      <xdr:rowOff>22860</xdr:rowOff>
    </xdr:from>
    <xdr:to>
      <xdr:col>25</xdr:col>
      <xdr:colOff>320040</xdr:colOff>
      <xdr:row>41</xdr:row>
      <xdr:rowOff>22860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4" name="Gráfico 3">
              <a:extLst>
                <a:ext uri="{FF2B5EF4-FFF2-40B4-BE49-F238E27FC236}">
                  <a16:creationId xmlns:a16="http://schemas.microsoft.com/office/drawing/2014/main" id="{247BB0D2-38F9-48E9-8540-EC6D4E7187A2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3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4127480" y="4815840"/>
              <a:ext cx="2255520" cy="27432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L" sz="1100"/>
                <a:t>Este gráfico no está disponible en su versión de Excel.
Si edita esta forma o guarda el libro en un formato de archivo diferente, el gráfico no se podrá utilizar.</a:t>
              </a:r>
            </a:p>
          </xdr:txBody>
        </xdr:sp>
      </mc:Fallback>
    </mc:AlternateContent>
    <xdr:clientData/>
  </xdr:twoCellAnchor>
  <xdr:twoCellAnchor>
    <xdr:from>
      <xdr:col>21</xdr:col>
      <xdr:colOff>449580</xdr:colOff>
      <xdr:row>41</xdr:row>
      <xdr:rowOff>106680</xdr:rowOff>
    </xdr:from>
    <xdr:to>
      <xdr:col>25</xdr:col>
      <xdr:colOff>342900</xdr:colOff>
      <xdr:row>56</xdr:row>
      <xdr:rowOff>106680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5" name="Gráfico 4">
              <a:extLst>
                <a:ext uri="{FF2B5EF4-FFF2-40B4-BE49-F238E27FC236}">
                  <a16:creationId xmlns:a16="http://schemas.microsoft.com/office/drawing/2014/main" id="{7656673C-D3D5-4F4A-A61F-B77B29643CCF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4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4074140" y="7642860"/>
              <a:ext cx="2331720" cy="27432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L" sz="1100"/>
                <a:t>Este gráfico no está disponible en su versión de Excel.
Si edita esta forma o guarda el libro en un formato de archivo diferente, el gráfico no se podrá utilizar.</a:t>
              </a:r>
            </a:p>
          </xdr:txBody>
        </xdr:sp>
      </mc:Fallback>
    </mc:AlternateContent>
    <xdr:clientData/>
  </xdr:twoCellAnchor>
  <xdr:twoCellAnchor>
    <xdr:from>
      <xdr:col>25</xdr:col>
      <xdr:colOff>381000</xdr:colOff>
      <xdr:row>26</xdr:row>
      <xdr:rowOff>30480</xdr:rowOff>
    </xdr:from>
    <xdr:to>
      <xdr:col>29</xdr:col>
      <xdr:colOff>198120</xdr:colOff>
      <xdr:row>41</xdr:row>
      <xdr:rowOff>30480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6" name="Gráfico 5">
              <a:extLst>
                <a:ext uri="{FF2B5EF4-FFF2-40B4-BE49-F238E27FC236}">
                  <a16:creationId xmlns:a16="http://schemas.microsoft.com/office/drawing/2014/main" id="{C167DB4F-8E86-4ECB-BDC3-16BB723BABF1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5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6443960" y="4823460"/>
              <a:ext cx="2255520" cy="27432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L" sz="1100"/>
                <a:t>Este gráfico no está disponible en su versión de Excel.
Si edita esta forma o guarda el libro en un formato de archivo diferente, el gráfico no se podrá utilizar.</a:t>
              </a:r>
            </a:p>
          </xdr:txBody>
        </xdr:sp>
      </mc:Fallback>
    </mc:AlternateContent>
    <xdr:clientData/>
  </xdr:twoCellAnchor>
  <xdr:twoCellAnchor>
    <xdr:from>
      <xdr:col>25</xdr:col>
      <xdr:colOff>449580</xdr:colOff>
      <xdr:row>41</xdr:row>
      <xdr:rowOff>160020</xdr:rowOff>
    </xdr:from>
    <xdr:to>
      <xdr:col>29</xdr:col>
      <xdr:colOff>342900</xdr:colOff>
      <xdr:row>56</xdr:row>
      <xdr:rowOff>160020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7" name="Gráfico 6">
              <a:extLst>
                <a:ext uri="{FF2B5EF4-FFF2-40B4-BE49-F238E27FC236}">
                  <a16:creationId xmlns:a16="http://schemas.microsoft.com/office/drawing/2014/main" id="{C71D87FB-D961-4939-BA01-10B84A85ADB5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6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6512540" y="7696200"/>
              <a:ext cx="2331720" cy="27432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L" sz="1100"/>
                <a:t>Este gráfico no está disponible en su versión de Excel.
Si edita esta forma o guarda el libro en un formato de archivo diferente, el gráfico no se podrá utilizar.</a:t>
              </a:r>
            </a:p>
          </xdr:txBody>
        </xdr:sp>
      </mc:Fallback>
    </mc:AlternateContent>
    <xdr:clientData/>
  </xdr:twoCellAnchor>
  <xdr:twoCellAnchor>
    <xdr:from>
      <xdr:col>29</xdr:col>
      <xdr:colOff>411480</xdr:colOff>
      <xdr:row>26</xdr:row>
      <xdr:rowOff>15240</xdr:rowOff>
    </xdr:from>
    <xdr:to>
      <xdr:col>33</xdr:col>
      <xdr:colOff>228600</xdr:colOff>
      <xdr:row>41</xdr:row>
      <xdr:rowOff>15240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8" name="Gráfico 7">
              <a:extLst>
                <a:ext uri="{FF2B5EF4-FFF2-40B4-BE49-F238E27FC236}">
                  <a16:creationId xmlns:a16="http://schemas.microsoft.com/office/drawing/2014/main" id="{97B66A60-0146-4FF4-ADC3-0EB69F7DEDBF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7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8912840" y="4808220"/>
              <a:ext cx="2255520" cy="27432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L" sz="1100"/>
                <a:t>Este gráfico no está disponible en su versión de Excel.
Si edita esta forma o guarda el libro en un formato de archivo diferente, el gráfico no se podrá utilizar.</a:t>
              </a:r>
            </a:p>
          </xdr:txBody>
        </xdr:sp>
      </mc:Fallback>
    </mc:AlternateContent>
    <xdr:clientData/>
  </xdr:twoCellAnchor>
  <xdr:twoCellAnchor>
    <xdr:from>
      <xdr:col>29</xdr:col>
      <xdr:colOff>457200</xdr:colOff>
      <xdr:row>41</xdr:row>
      <xdr:rowOff>167640</xdr:rowOff>
    </xdr:from>
    <xdr:to>
      <xdr:col>33</xdr:col>
      <xdr:colOff>350520</xdr:colOff>
      <xdr:row>56</xdr:row>
      <xdr:rowOff>167640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9" name="Gráfico 8">
              <a:extLst>
                <a:ext uri="{FF2B5EF4-FFF2-40B4-BE49-F238E27FC236}">
                  <a16:creationId xmlns:a16="http://schemas.microsoft.com/office/drawing/2014/main" id="{9479C0B8-2743-4CD9-84FA-0269520F29B1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8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8958560" y="7703820"/>
              <a:ext cx="2331720" cy="27432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L" sz="1100"/>
                <a:t>Este gráfico no está disponible en su versión de Excel.
Si edita esta forma o guarda el libro en un formato de archivo diferente, el gráfico no se podrá utilizar.</a:t>
              </a:r>
            </a:p>
          </xdr:txBody>
        </xdr:sp>
      </mc:Fallback>
    </mc:AlternateContent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411480</xdr:colOff>
      <xdr:row>25</xdr:row>
      <xdr:rowOff>171450</xdr:rowOff>
    </xdr:from>
    <xdr:to>
      <xdr:col>21</xdr:col>
      <xdr:colOff>228600</xdr:colOff>
      <xdr:row>40</xdr:row>
      <xdr:rowOff>171450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2" name="Gráfico 1">
              <a:extLst>
                <a:ext uri="{FF2B5EF4-FFF2-40B4-BE49-F238E27FC236}">
                  <a16:creationId xmlns:a16="http://schemas.microsoft.com/office/drawing/2014/main" id="{25666F37-483C-4334-AA85-B7D549F1899F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1597640" y="4781550"/>
              <a:ext cx="2255520" cy="27432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L" sz="1100"/>
                <a:t>Este gráfico no está disponible en su versión de Excel.
Si edita esta forma o guarda el libro en un formato de archivo diferente, el gráfico no se podrá utilizar.</a:t>
              </a:r>
            </a:p>
          </xdr:txBody>
        </xdr:sp>
      </mc:Fallback>
    </mc:AlternateContent>
    <xdr:clientData/>
  </xdr:twoCellAnchor>
  <xdr:twoCellAnchor>
    <xdr:from>
      <xdr:col>17</xdr:col>
      <xdr:colOff>419100</xdr:colOff>
      <xdr:row>41</xdr:row>
      <xdr:rowOff>64770</xdr:rowOff>
    </xdr:from>
    <xdr:to>
      <xdr:col>21</xdr:col>
      <xdr:colOff>312420</xdr:colOff>
      <xdr:row>56</xdr:row>
      <xdr:rowOff>64770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3" name="Gráfico 2">
              <a:extLst>
                <a:ext uri="{FF2B5EF4-FFF2-40B4-BE49-F238E27FC236}">
                  <a16:creationId xmlns:a16="http://schemas.microsoft.com/office/drawing/2014/main" id="{8DF2B0CE-482A-4CFC-8A4E-E857CD0A37C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2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1605260" y="7600950"/>
              <a:ext cx="2331720" cy="27432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L" sz="1100"/>
                <a:t>Este gráfico no está disponible en su versión de Excel.
Si edita esta forma o guarda el libro en un formato de archivo diferente, el gráfico no se podrá utilizar.</a:t>
              </a:r>
            </a:p>
          </xdr:txBody>
        </xdr:sp>
      </mc:Fallback>
    </mc:AlternateContent>
    <xdr:clientData/>
  </xdr:twoCellAnchor>
  <xdr:twoCellAnchor>
    <xdr:from>
      <xdr:col>21</xdr:col>
      <xdr:colOff>502920</xdr:colOff>
      <xdr:row>26</xdr:row>
      <xdr:rowOff>22860</xdr:rowOff>
    </xdr:from>
    <xdr:to>
      <xdr:col>25</xdr:col>
      <xdr:colOff>320040</xdr:colOff>
      <xdr:row>41</xdr:row>
      <xdr:rowOff>22860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4" name="Gráfico 3">
              <a:extLst>
                <a:ext uri="{FF2B5EF4-FFF2-40B4-BE49-F238E27FC236}">
                  <a16:creationId xmlns:a16="http://schemas.microsoft.com/office/drawing/2014/main" id="{5BAEFD0A-0BE9-41C4-B4E8-14FD49E7C111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3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4127480" y="4815840"/>
              <a:ext cx="3291840" cy="27432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L" sz="1100"/>
                <a:t>Este gráfico no está disponible en su versión de Excel.
Si edita esta forma o guarda el libro en un formato de archivo diferente, el gráfico no se podrá utilizar.</a:t>
              </a:r>
            </a:p>
          </xdr:txBody>
        </xdr:sp>
      </mc:Fallback>
    </mc:AlternateContent>
    <xdr:clientData/>
  </xdr:twoCellAnchor>
  <xdr:twoCellAnchor>
    <xdr:from>
      <xdr:col>21</xdr:col>
      <xdr:colOff>449580</xdr:colOff>
      <xdr:row>41</xdr:row>
      <xdr:rowOff>106680</xdr:rowOff>
    </xdr:from>
    <xdr:to>
      <xdr:col>25</xdr:col>
      <xdr:colOff>342900</xdr:colOff>
      <xdr:row>56</xdr:row>
      <xdr:rowOff>106680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5" name="Gráfico 4">
              <a:extLst>
                <a:ext uri="{FF2B5EF4-FFF2-40B4-BE49-F238E27FC236}">
                  <a16:creationId xmlns:a16="http://schemas.microsoft.com/office/drawing/2014/main" id="{E10F30A0-D3CA-4D8D-9414-580708AEFDF8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4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4074140" y="7642860"/>
              <a:ext cx="3368040" cy="27432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L" sz="1100"/>
                <a:t>Este gráfico no está disponible en su versión de Excel.
Si edita esta forma o guarda el libro en un formato de archivo diferente, el gráfico no se podrá utilizar.</a:t>
              </a:r>
            </a:p>
          </xdr:txBody>
        </xdr:sp>
      </mc:Fallback>
    </mc:AlternateContent>
    <xdr:clientData/>
  </xdr:twoCellAnchor>
  <xdr:twoCellAnchor>
    <xdr:from>
      <xdr:col>25</xdr:col>
      <xdr:colOff>381000</xdr:colOff>
      <xdr:row>26</xdr:row>
      <xdr:rowOff>30480</xdr:rowOff>
    </xdr:from>
    <xdr:to>
      <xdr:col>29</xdr:col>
      <xdr:colOff>198120</xdr:colOff>
      <xdr:row>41</xdr:row>
      <xdr:rowOff>30480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6" name="Gráfico 5">
              <a:extLst>
                <a:ext uri="{FF2B5EF4-FFF2-40B4-BE49-F238E27FC236}">
                  <a16:creationId xmlns:a16="http://schemas.microsoft.com/office/drawing/2014/main" id="{50D9416D-DC88-49CC-96AE-6FFA53422626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5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7480280" y="4823460"/>
              <a:ext cx="2255520" cy="27432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L" sz="1100"/>
                <a:t>Este gráfico no está disponible en su versión de Excel.
Si edita esta forma o guarda el libro en un formato de archivo diferente, el gráfico no se podrá utilizar.</a:t>
              </a:r>
            </a:p>
          </xdr:txBody>
        </xdr:sp>
      </mc:Fallback>
    </mc:AlternateContent>
    <xdr:clientData/>
  </xdr:twoCellAnchor>
  <xdr:twoCellAnchor>
    <xdr:from>
      <xdr:col>25</xdr:col>
      <xdr:colOff>449580</xdr:colOff>
      <xdr:row>41</xdr:row>
      <xdr:rowOff>160020</xdr:rowOff>
    </xdr:from>
    <xdr:to>
      <xdr:col>29</xdr:col>
      <xdr:colOff>342900</xdr:colOff>
      <xdr:row>56</xdr:row>
      <xdr:rowOff>160020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7" name="Gráfico 6">
              <a:extLst>
                <a:ext uri="{FF2B5EF4-FFF2-40B4-BE49-F238E27FC236}">
                  <a16:creationId xmlns:a16="http://schemas.microsoft.com/office/drawing/2014/main" id="{A0B25451-6537-4051-A568-E400BE7AC669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6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7548860" y="7696200"/>
              <a:ext cx="2331720" cy="27432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L" sz="1100"/>
                <a:t>Este gráfico no está disponible en su versión de Excel.
Si edita esta forma o guarda el libro en un formato de archivo diferente, el gráfico no se podrá utilizar.</a:t>
              </a:r>
            </a:p>
          </xdr:txBody>
        </xdr:sp>
      </mc:Fallback>
    </mc:AlternateContent>
    <xdr:clientData/>
  </xdr:twoCellAnchor>
  <xdr:twoCellAnchor>
    <xdr:from>
      <xdr:col>29</xdr:col>
      <xdr:colOff>411480</xdr:colOff>
      <xdr:row>26</xdr:row>
      <xdr:rowOff>15240</xdr:rowOff>
    </xdr:from>
    <xdr:to>
      <xdr:col>33</xdr:col>
      <xdr:colOff>228600</xdr:colOff>
      <xdr:row>41</xdr:row>
      <xdr:rowOff>15240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8" name="Gráfico 7">
              <a:extLst>
                <a:ext uri="{FF2B5EF4-FFF2-40B4-BE49-F238E27FC236}">
                  <a16:creationId xmlns:a16="http://schemas.microsoft.com/office/drawing/2014/main" id="{0A26E3BA-3A54-437F-8787-61B9AEC77CB8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7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9949160" y="4808220"/>
              <a:ext cx="2255520" cy="27432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L" sz="1100"/>
                <a:t>Este gráfico no está disponible en su versión de Excel.
Si edita esta forma o guarda el libro en un formato de archivo diferente, el gráfico no se podrá utilizar.</a:t>
              </a:r>
            </a:p>
          </xdr:txBody>
        </xdr:sp>
      </mc:Fallback>
    </mc:AlternateContent>
    <xdr:clientData/>
  </xdr:twoCellAnchor>
  <xdr:twoCellAnchor>
    <xdr:from>
      <xdr:col>29</xdr:col>
      <xdr:colOff>457200</xdr:colOff>
      <xdr:row>41</xdr:row>
      <xdr:rowOff>167640</xdr:rowOff>
    </xdr:from>
    <xdr:to>
      <xdr:col>33</xdr:col>
      <xdr:colOff>350520</xdr:colOff>
      <xdr:row>56</xdr:row>
      <xdr:rowOff>167640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9" name="Gráfico 8">
              <a:extLst>
                <a:ext uri="{FF2B5EF4-FFF2-40B4-BE49-F238E27FC236}">
                  <a16:creationId xmlns:a16="http://schemas.microsoft.com/office/drawing/2014/main" id="{966DC1DC-8A53-4AC2-8DAD-4AFAE198A8BA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8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9994880" y="7703820"/>
              <a:ext cx="2331720" cy="27432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L" sz="1100"/>
                <a:t>Este gráfico no está disponible en su versión de Excel.
Si edita esta forma o guarda el libro en un formato de archivo diferente, el gráfico no se podrá utilizar.</a:t>
              </a:r>
            </a:p>
          </xdr:txBody>
        </xdr:sp>
      </mc:Fallback>
    </mc:AlternateContent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B7F6B6-2040-4C1E-9F5A-AC01E073950E}">
  <dimension ref="A1:Y25"/>
  <sheetViews>
    <sheetView tabSelected="1" topLeftCell="I1" zoomScale="90" zoomScaleNormal="90" workbookViewId="0">
      <selection activeCell="Q36" sqref="Q36"/>
    </sheetView>
  </sheetViews>
  <sheetFormatPr baseColWidth="10" defaultColWidth="8.88671875" defaultRowHeight="14.4" x14ac:dyDescent="0.3"/>
  <cols>
    <col min="2" max="2" width="18" bestFit="1" customWidth="1"/>
    <col min="5" max="5" width="11.77734375" bestFit="1" customWidth="1"/>
  </cols>
  <sheetData>
    <row r="1" spans="1:25" ht="15" thickBot="1" x14ac:dyDescent="0.3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</row>
    <row r="2" spans="1:25" x14ac:dyDescent="0.3">
      <c r="A2" s="1">
        <v>2</v>
      </c>
      <c r="B2" s="2" t="s">
        <v>30</v>
      </c>
      <c r="C2" s="2">
        <v>2020.8023284999981</v>
      </c>
      <c r="D2" s="2">
        <v>33.6800388083333</v>
      </c>
      <c r="E2" s="2" t="s">
        <v>31</v>
      </c>
      <c r="F2" s="2"/>
      <c r="G2" s="2" t="s">
        <v>27</v>
      </c>
      <c r="H2" s="2" t="s">
        <v>32</v>
      </c>
      <c r="I2" s="2"/>
      <c r="J2" s="2" t="s">
        <v>29</v>
      </c>
      <c r="K2" s="2">
        <v>1.311751439363152E-2</v>
      </c>
      <c r="L2" s="2">
        <v>0</v>
      </c>
      <c r="M2" s="2">
        <v>1.311751439363152E-2</v>
      </c>
      <c r="N2" s="2" t="s">
        <v>17</v>
      </c>
      <c r="O2" s="2">
        <v>303</v>
      </c>
      <c r="P2" s="2">
        <v>7.9679151233725759E-5</v>
      </c>
      <c r="Q2" s="2">
        <v>1E-4</v>
      </c>
      <c r="R2" s="2">
        <v>2000</v>
      </c>
      <c r="S2" s="2">
        <v>1</v>
      </c>
      <c r="T2" s="2">
        <v>1</v>
      </c>
      <c r="U2" s="2">
        <v>1</v>
      </c>
      <c r="V2" s="2">
        <v>3.351535642361703E-4</v>
      </c>
      <c r="W2" s="2">
        <v>27.529498749844979</v>
      </c>
      <c r="X2" s="2">
        <v>0.36403966334085158</v>
      </c>
      <c r="Y2" s="3">
        <v>65.433144660925123</v>
      </c>
    </row>
    <row r="3" spans="1:25" x14ac:dyDescent="0.3">
      <c r="A3" s="4">
        <v>18</v>
      </c>
      <c r="B3" t="s">
        <v>78</v>
      </c>
      <c r="C3">
        <v>14178.406961999999</v>
      </c>
      <c r="D3">
        <v>236.30678270000001</v>
      </c>
      <c r="E3" t="s">
        <v>79</v>
      </c>
      <c r="G3" t="s">
        <v>27</v>
      </c>
      <c r="H3" t="s">
        <v>80</v>
      </c>
      <c r="J3" t="s">
        <v>29</v>
      </c>
      <c r="K3">
        <v>1.8587351559349461E-2</v>
      </c>
      <c r="L3">
        <v>0</v>
      </c>
      <c r="M3">
        <v>1.8587351559349461E-2</v>
      </c>
      <c r="N3" t="s">
        <v>17</v>
      </c>
      <c r="O3">
        <v>3001</v>
      </c>
      <c r="P3">
        <v>3.6184124588156201E-3</v>
      </c>
      <c r="Q3">
        <v>1E-4</v>
      </c>
      <c r="R3">
        <v>3000</v>
      </c>
      <c r="S3">
        <v>1</v>
      </c>
      <c r="T3">
        <v>1</v>
      </c>
      <c r="U3">
        <v>1</v>
      </c>
      <c r="V3">
        <v>2.4123827886609662E-3</v>
      </c>
      <c r="W3">
        <v>19.252693145524649</v>
      </c>
      <c r="X3">
        <v>0.40080816565356953</v>
      </c>
      <c r="Y3" s="5">
        <v>10.6680880074773</v>
      </c>
    </row>
    <row r="4" spans="1:25" x14ac:dyDescent="0.3">
      <c r="A4" s="4">
        <v>1</v>
      </c>
      <c r="B4" t="s">
        <v>25</v>
      </c>
      <c r="C4">
        <v>11425.4872414</v>
      </c>
      <c r="D4">
        <v>190.4247873566666</v>
      </c>
      <c r="E4" t="s">
        <v>26</v>
      </c>
      <c r="G4" t="s">
        <v>27</v>
      </c>
      <c r="H4" t="s">
        <v>28</v>
      </c>
      <c r="J4" t="s">
        <v>29</v>
      </c>
      <c r="K4">
        <v>2.18673103026042E-2</v>
      </c>
      <c r="L4">
        <v>0</v>
      </c>
      <c r="M4">
        <v>2.18673103026042E-2</v>
      </c>
      <c r="N4" t="s">
        <v>17</v>
      </c>
      <c r="O4">
        <v>2001</v>
      </c>
      <c r="P4">
        <v>4.3104489368415337E-4</v>
      </c>
      <c r="Q4">
        <v>1E-4</v>
      </c>
      <c r="R4">
        <v>2000</v>
      </c>
      <c r="S4">
        <v>1</v>
      </c>
      <c r="T4">
        <v>1</v>
      </c>
      <c r="U4">
        <v>1</v>
      </c>
      <c r="V4">
        <v>3.260126563038609E-5</v>
      </c>
      <c r="W4">
        <v>28.102169218284331</v>
      </c>
      <c r="X4">
        <v>0.41440658523273038</v>
      </c>
      <c r="Y4" s="5">
        <v>99.998448778700308</v>
      </c>
    </row>
    <row r="5" spans="1:25" x14ac:dyDescent="0.3">
      <c r="A5" s="4">
        <v>17</v>
      </c>
      <c r="B5" t="s">
        <v>75</v>
      </c>
      <c r="C5">
        <v>17889.761337200001</v>
      </c>
      <c r="D5">
        <v>298.16268895333332</v>
      </c>
      <c r="E5" t="s">
        <v>76</v>
      </c>
      <c r="G5" t="s">
        <v>27</v>
      </c>
      <c r="H5" t="s">
        <v>77</v>
      </c>
      <c r="J5" t="s">
        <v>29</v>
      </c>
      <c r="K5">
        <v>2.3094880861104609E-2</v>
      </c>
      <c r="L5">
        <v>0</v>
      </c>
      <c r="M5">
        <v>2.3094880861104609E-2</v>
      </c>
      <c r="N5" t="s">
        <v>17</v>
      </c>
      <c r="O5">
        <v>3001</v>
      </c>
      <c r="P5">
        <v>1.2644160368509799E-3</v>
      </c>
      <c r="Q5">
        <v>1E-4</v>
      </c>
      <c r="R5">
        <v>3000</v>
      </c>
      <c r="S5">
        <v>1</v>
      </c>
      <c r="T5">
        <v>1</v>
      </c>
      <c r="U5">
        <v>1</v>
      </c>
      <c r="V5">
        <v>1.0008337586269931E-3</v>
      </c>
      <c r="W5">
        <v>19.601667329061218</v>
      </c>
      <c r="X5">
        <v>0.36124594824033468</v>
      </c>
      <c r="Y5" s="5">
        <v>19.60016406926405</v>
      </c>
    </row>
    <row r="6" spans="1:25" ht="15" thickBot="1" x14ac:dyDescent="0.35">
      <c r="A6" s="6">
        <v>9</v>
      </c>
      <c r="B6" s="7" t="s">
        <v>51</v>
      </c>
      <c r="C6" s="7">
        <v>11404.1302452</v>
      </c>
      <c r="D6" s="7">
        <v>190.06883741999999</v>
      </c>
      <c r="E6" s="7" t="s">
        <v>52</v>
      </c>
      <c r="F6" s="7"/>
      <c r="G6" s="7" t="s">
        <v>27</v>
      </c>
      <c r="H6" s="7" t="s">
        <v>53</v>
      </c>
      <c r="I6" s="7"/>
      <c r="J6" s="7" t="s">
        <v>29</v>
      </c>
      <c r="K6" s="7">
        <v>2.7973376622525491E-2</v>
      </c>
      <c r="L6" s="7">
        <v>0</v>
      </c>
      <c r="M6" s="7">
        <v>2.7973376622525491E-2</v>
      </c>
      <c r="N6" s="7" t="s">
        <v>17</v>
      </c>
      <c r="O6" s="7">
        <v>2001</v>
      </c>
      <c r="P6" s="7">
        <v>1.396946249863243E-3</v>
      </c>
      <c r="Q6" s="7">
        <v>1E-4</v>
      </c>
      <c r="R6" s="7">
        <v>2000</v>
      </c>
      <c r="S6" s="7">
        <v>1</v>
      </c>
      <c r="T6" s="7">
        <v>1</v>
      </c>
      <c r="U6" s="7">
        <v>1</v>
      </c>
      <c r="V6" s="7">
        <v>1.8964874766953979E-5</v>
      </c>
      <c r="W6" s="7">
        <v>34.886369485916973</v>
      </c>
      <c r="X6" s="7">
        <v>0.37391981575107031</v>
      </c>
      <c r="Y6" s="8">
        <v>49.352649868139729</v>
      </c>
    </row>
    <row r="7" spans="1:25" x14ac:dyDescent="0.3">
      <c r="A7" s="1">
        <v>8</v>
      </c>
      <c r="B7" s="2" t="s">
        <v>48</v>
      </c>
      <c r="C7" s="2">
        <v>8662.7927846000021</v>
      </c>
      <c r="D7" s="2">
        <v>144.37987974333339</v>
      </c>
      <c r="E7" s="2" t="s">
        <v>49</v>
      </c>
      <c r="F7" s="2"/>
      <c r="G7" s="2" t="s">
        <v>27</v>
      </c>
      <c r="H7" s="2" t="s">
        <v>50</v>
      </c>
      <c r="I7" s="2"/>
      <c r="J7" s="2" t="s">
        <v>29</v>
      </c>
      <c r="K7" s="2">
        <v>2.9675075548963922E-2</v>
      </c>
      <c r="L7" s="2">
        <v>0</v>
      </c>
      <c r="M7" s="2">
        <v>2.9675075548963922E-2</v>
      </c>
      <c r="N7" s="2" t="s">
        <v>17</v>
      </c>
      <c r="O7" s="2">
        <v>2001</v>
      </c>
      <c r="P7" s="2">
        <v>7.8379498508963127E-4</v>
      </c>
      <c r="Q7" s="2">
        <v>1E-4</v>
      </c>
      <c r="R7" s="2">
        <v>2000</v>
      </c>
      <c r="S7" s="2">
        <v>1</v>
      </c>
      <c r="T7" s="2">
        <v>1</v>
      </c>
      <c r="U7" s="2">
        <v>1</v>
      </c>
      <c r="V7" s="2">
        <v>1.000000009139998E-5</v>
      </c>
      <c r="W7" s="2">
        <v>21.019229185201951</v>
      </c>
      <c r="X7" s="2">
        <v>0.39839472531270642</v>
      </c>
      <c r="Y7" s="3">
        <v>39.800429283472369</v>
      </c>
    </row>
    <row r="8" spans="1:25" x14ac:dyDescent="0.3">
      <c r="A8" s="4">
        <v>7</v>
      </c>
      <c r="B8" t="s">
        <v>45</v>
      </c>
      <c r="C8">
        <v>14961.764225499999</v>
      </c>
      <c r="D8">
        <v>249.36273709166659</v>
      </c>
      <c r="E8" t="s">
        <v>46</v>
      </c>
      <c r="G8" t="s">
        <v>27</v>
      </c>
      <c r="H8" t="s">
        <v>47</v>
      </c>
      <c r="J8" t="s">
        <v>29</v>
      </c>
      <c r="K8">
        <v>3.103287414127125E-2</v>
      </c>
      <c r="L8">
        <v>0</v>
      </c>
      <c r="M8">
        <v>3.103287414127125E-2</v>
      </c>
      <c r="N8" t="s">
        <v>17</v>
      </c>
      <c r="O8">
        <v>2001</v>
      </c>
      <c r="P8">
        <v>1.3711088461474509E-2</v>
      </c>
      <c r="Q8">
        <v>1E-4</v>
      </c>
      <c r="R8">
        <v>2000</v>
      </c>
      <c r="S8">
        <v>1</v>
      </c>
      <c r="T8">
        <v>1</v>
      </c>
      <c r="U8">
        <v>1</v>
      </c>
      <c r="V8">
        <v>1.2152871033555519E-5</v>
      </c>
      <c r="W8">
        <v>18.036512433552069</v>
      </c>
      <c r="X8">
        <v>0.3675098433392962</v>
      </c>
      <c r="Y8" s="5">
        <v>6.3086977381197257E-2</v>
      </c>
    </row>
    <row r="9" spans="1:25" x14ac:dyDescent="0.3">
      <c r="A9" s="4">
        <v>3</v>
      </c>
      <c r="B9" t="s">
        <v>33</v>
      </c>
      <c r="C9">
        <v>8929.6685137999993</v>
      </c>
      <c r="D9">
        <v>148.82780856333329</v>
      </c>
      <c r="E9" t="s">
        <v>34</v>
      </c>
      <c r="G9" t="s">
        <v>27</v>
      </c>
      <c r="H9" t="s">
        <v>35</v>
      </c>
      <c r="J9" t="s">
        <v>29</v>
      </c>
      <c r="K9">
        <v>3.3140083109282667E-2</v>
      </c>
      <c r="L9">
        <v>0</v>
      </c>
      <c r="M9">
        <v>3.3140083109282667E-2</v>
      </c>
      <c r="N9" t="s">
        <v>17</v>
      </c>
      <c r="O9">
        <v>2001</v>
      </c>
      <c r="P9">
        <v>2.337283520942173E-3</v>
      </c>
      <c r="Q9">
        <v>1E-4</v>
      </c>
      <c r="R9">
        <v>2000</v>
      </c>
      <c r="S9">
        <v>1</v>
      </c>
      <c r="T9">
        <v>1</v>
      </c>
      <c r="U9">
        <v>1</v>
      </c>
      <c r="V9">
        <v>2.8488590080989127E-4</v>
      </c>
      <c r="W9">
        <v>26.20377447804329</v>
      </c>
      <c r="X9">
        <v>0.39467814669875972</v>
      </c>
      <c r="Y9" s="5">
        <v>51.670543518679743</v>
      </c>
    </row>
    <row r="10" spans="1:25" x14ac:dyDescent="0.3">
      <c r="A10" s="4">
        <v>16</v>
      </c>
      <c r="B10" t="s">
        <v>72</v>
      </c>
      <c r="C10">
        <v>15471.3633562</v>
      </c>
      <c r="D10">
        <v>257.85605593666668</v>
      </c>
      <c r="E10" t="s">
        <v>73</v>
      </c>
      <c r="G10" t="s">
        <v>27</v>
      </c>
      <c r="H10" t="s">
        <v>74</v>
      </c>
      <c r="J10" t="s">
        <v>29</v>
      </c>
      <c r="K10">
        <v>3.4002488435168607E-2</v>
      </c>
      <c r="L10">
        <v>0</v>
      </c>
      <c r="M10">
        <v>3.4002488435168607E-2</v>
      </c>
      <c r="N10" t="s">
        <v>17</v>
      </c>
      <c r="O10">
        <v>3001</v>
      </c>
      <c r="P10">
        <v>1.160065340932191E-4</v>
      </c>
      <c r="Q10">
        <v>1E-4</v>
      </c>
      <c r="R10">
        <v>3000</v>
      </c>
      <c r="S10">
        <v>1</v>
      </c>
      <c r="T10">
        <v>1</v>
      </c>
      <c r="U10">
        <v>1</v>
      </c>
      <c r="V10">
        <v>1.000651355853685E-3</v>
      </c>
      <c r="W10">
        <v>17.682107447162458</v>
      </c>
      <c r="X10">
        <v>0.38841017229671182</v>
      </c>
      <c r="Y10" s="5">
        <v>14.93618506337028</v>
      </c>
    </row>
    <row r="11" spans="1:25" ht="15" thickBot="1" x14ac:dyDescent="0.35">
      <c r="A11" s="6">
        <v>19</v>
      </c>
      <c r="B11" s="7" t="s">
        <v>81</v>
      </c>
      <c r="C11" s="7">
        <v>12841.259337400001</v>
      </c>
      <c r="D11" s="7">
        <v>214.02098895666671</v>
      </c>
      <c r="E11" s="7" t="s">
        <v>82</v>
      </c>
      <c r="F11" s="7"/>
      <c r="G11" s="7" t="s">
        <v>27</v>
      </c>
      <c r="H11" s="7" t="s">
        <v>83</v>
      </c>
      <c r="I11" s="7"/>
      <c r="J11" s="7" t="s">
        <v>29</v>
      </c>
      <c r="K11" s="7">
        <v>3.4816466573594891E-2</v>
      </c>
      <c r="L11" s="7">
        <v>0</v>
      </c>
      <c r="M11" s="7">
        <v>3.4816466573594891E-2</v>
      </c>
      <c r="N11" s="7" t="s">
        <v>17</v>
      </c>
      <c r="O11" s="7">
        <v>3001</v>
      </c>
      <c r="P11" s="7">
        <v>9.1055496747257704E-4</v>
      </c>
      <c r="Q11" s="7">
        <v>1E-4</v>
      </c>
      <c r="R11" s="7">
        <v>3000</v>
      </c>
      <c r="S11" s="7">
        <v>1</v>
      </c>
      <c r="T11" s="7">
        <v>1</v>
      </c>
      <c r="U11" s="7">
        <v>1</v>
      </c>
      <c r="V11" s="7">
        <v>1.0335477701724661E-3</v>
      </c>
      <c r="W11" s="7">
        <v>18.682946752608238</v>
      </c>
      <c r="X11" s="7">
        <v>0.37300020271814849</v>
      </c>
      <c r="Y11" s="8">
        <v>13.75091922923596</v>
      </c>
    </row>
    <row r="12" spans="1:25" x14ac:dyDescent="0.3">
      <c r="A12" s="1">
        <v>20</v>
      </c>
      <c r="B12" s="2" t="s">
        <v>84</v>
      </c>
      <c r="C12" s="2">
        <v>15026.699616899999</v>
      </c>
      <c r="D12" s="2">
        <v>250.44499361499999</v>
      </c>
      <c r="E12" s="2" t="s">
        <v>85</v>
      </c>
      <c r="F12" s="2"/>
      <c r="G12" s="2" t="s">
        <v>27</v>
      </c>
      <c r="H12" s="2" t="s">
        <v>86</v>
      </c>
      <c r="I12" s="2"/>
      <c r="J12" s="2" t="s">
        <v>29</v>
      </c>
      <c r="K12" s="2">
        <v>4.0462251333287368E-2</v>
      </c>
      <c r="L12" s="2">
        <v>0</v>
      </c>
      <c r="M12" s="2">
        <v>4.0462251333287368E-2</v>
      </c>
      <c r="N12" s="2" t="s">
        <v>17</v>
      </c>
      <c r="O12" s="2">
        <v>3001</v>
      </c>
      <c r="P12" s="2">
        <v>1.9559020197923928E-3</v>
      </c>
      <c r="Q12" s="2">
        <v>1E-4</v>
      </c>
      <c r="R12" s="2">
        <v>3000</v>
      </c>
      <c r="S12" s="2">
        <v>1</v>
      </c>
      <c r="T12" s="2">
        <v>1</v>
      </c>
      <c r="U12" s="2">
        <v>1</v>
      </c>
      <c r="V12" s="2">
        <v>1.480080621464585E-3</v>
      </c>
      <c r="W12" s="2">
        <v>23.414167201547048</v>
      </c>
      <c r="X12" s="2">
        <v>0.38070424318982288</v>
      </c>
      <c r="Y12" s="3">
        <v>12.3747262770157</v>
      </c>
    </row>
    <row r="13" spans="1:25" x14ac:dyDescent="0.3">
      <c r="A13" s="4">
        <v>6</v>
      </c>
      <c r="B13" t="s">
        <v>42</v>
      </c>
      <c r="C13">
        <v>10107.442113700001</v>
      </c>
      <c r="D13">
        <v>168.4573685616667</v>
      </c>
      <c r="E13" t="s">
        <v>43</v>
      </c>
      <c r="G13" t="s">
        <v>27</v>
      </c>
      <c r="H13" t="s">
        <v>44</v>
      </c>
      <c r="J13" t="s">
        <v>29</v>
      </c>
      <c r="K13">
        <v>4.2394458675017122E-2</v>
      </c>
      <c r="L13">
        <v>0</v>
      </c>
      <c r="M13">
        <v>4.2394458675017122E-2</v>
      </c>
      <c r="N13" t="s">
        <v>17</v>
      </c>
      <c r="O13">
        <v>2001</v>
      </c>
      <c r="P13">
        <v>1.9531467257387759E-4</v>
      </c>
      <c r="Q13">
        <v>1E-4</v>
      </c>
      <c r="R13">
        <v>2000</v>
      </c>
      <c r="S13">
        <v>1</v>
      </c>
      <c r="T13">
        <v>1</v>
      </c>
      <c r="U13">
        <v>1</v>
      </c>
      <c r="V13">
        <v>2.4155400000542751E-5</v>
      </c>
      <c r="W13">
        <v>25.505232106878822</v>
      </c>
      <c r="X13">
        <v>0.37585832494496452</v>
      </c>
      <c r="Y13" s="5">
        <v>47.227592529172199</v>
      </c>
    </row>
    <row r="14" spans="1:25" x14ac:dyDescent="0.3">
      <c r="A14" s="4">
        <v>5</v>
      </c>
      <c r="B14" t="s">
        <v>39</v>
      </c>
      <c r="C14">
        <v>2724.3366834999979</v>
      </c>
      <c r="D14">
        <v>45.405611391666632</v>
      </c>
      <c r="E14" t="s">
        <v>40</v>
      </c>
      <c r="G14" t="s">
        <v>27</v>
      </c>
      <c r="H14" t="s">
        <v>41</v>
      </c>
      <c r="J14" t="s">
        <v>29</v>
      </c>
      <c r="K14">
        <v>4.3342520554566527E-2</v>
      </c>
      <c r="L14">
        <v>0</v>
      </c>
      <c r="M14">
        <v>4.3342520554566527E-2</v>
      </c>
      <c r="N14" t="s">
        <v>17</v>
      </c>
      <c r="O14">
        <v>600</v>
      </c>
      <c r="P14">
        <v>8.9477182306027151E-5</v>
      </c>
      <c r="Q14">
        <v>1E-4</v>
      </c>
      <c r="R14">
        <v>2000</v>
      </c>
      <c r="S14">
        <v>1</v>
      </c>
      <c r="T14">
        <v>1</v>
      </c>
      <c r="U14">
        <v>1</v>
      </c>
      <c r="V14">
        <v>4.6900858284574008E-4</v>
      </c>
      <c r="W14">
        <v>38.689246272275007</v>
      </c>
      <c r="X14">
        <v>0.36319152094533358</v>
      </c>
      <c r="Y14" s="5">
        <v>81.811964419272968</v>
      </c>
    </row>
    <row r="15" spans="1:25" x14ac:dyDescent="0.3">
      <c r="A15" s="4">
        <v>4</v>
      </c>
      <c r="B15" t="s">
        <v>36</v>
      </c>
      <c r="C15">
        <v>9338.5440009000013</v>
      </c>
      <c r="D15">
        <v>155.64240001499999</v>
      </c>
      <c r="E15" t="s">
        <v>37</v>
      </c>
      <c r="G15" t="s">
        <v>27</v>
      </c>
      <c r="H15" t="s">
        <v>38</v>
      </c>
      <c r="J15" t="s">
        <v>29</v>
      </c>
      <c r="K15">
        <v>4.3786216137261899E-2</v>
      </c>
      <c r="L15">
        <v>0</v>
      </c>
      <c r="M15">
        <v>4.3786216137261899E-2</v>
      </c>
      <c r="N15" t="s">
        <v>17</v>
      </c>
      <c r="O15">
        <v>2001</v>
      </c>
      <c r="P15">
        <v>2.9923830094214748E-3</v>
      </c>
      <c r="Q15">
        <v>1E-4</v>
      </c>
      <c r="R15">
        <v>2000</v>
      </c>
      <c r="S15">
        <v>1</v>
      </c>
      <c r="T15">
        <v>1</v>
      </c>
      <c r="U15">
        <v>1</v>
      </c>
      <c r="V15">
        <v>2.2423638817534172E-5</v>
      </c>
      <c r="W15">
        <v>31.02966681033983</v>
      </c>
      <c r="X15">
        <v>0.37017424455872178</v>
      </c>
      <c r="Y15" s="5">
        <v>49.555432437358789</v>
      </c>
    </row>
    <row r="16" spans="1:25" ht="15" thickBot="1" x14ac:dyDescent="0.35">
      <c r="A16" s="6">
        <v>11</v>
      </c>
      <c r="B16" s="7" t="s">
        <v>57</v>
      </c>
      <c r="C16" s="7">
        <v>9867.2006258000001</v>
      </c>
      <c r="D16" s="7">
        <v>164.45334376333329</v>
      </c>
      <c r="E16" s="7" t="s">
        <v>58</v>
      </c>
      <c r="F16" s="7"/>
      <c r="G16" s="7" t="s">
        <v>27</v>
      </c>
      <c r="H16" s="7" t="s">
        <v>59</v>
      </c>
      <c r="I16" s="7"/>
      <c r="J16" s="7" t="s">
        <v>29</v>
      </c>
      <c r="K16" s="7">
        <v>9.2561523597760972E-2</v>
      </c>
      <c r="L16" s="7">
        <v>0</v>
      </c>
      <c r="M16" s="7">
        <v>9.2561523597760972E-2</v>
      </c>
      <c r="N16" s="7" t="s">
        <v>17</v>
      </c>
      <c r="O16" s="7">
        <v>2001</v>
      </c>
      <c r="P16" s="7">
        <v>1.713036197733583E-4</v>
      </c>
      <c r="Q16" s="7">
        <v>1E-4</v>
      </c>
      <c r="R16" s="7">
        <v>2000</v>
      </c>
      <c r="S16" s="7">
        <v>1</v>
      </c>
      <c r="T16" s="7">
        <v>1</v>
      </c>
      <c r="U16" s="7">
        <v>1</v>
      </c>
      <c r="V16" s="7">
        <v>1.005548457583035E-3</v>
      </c>
      <c r="W16" s="7">
        <v>9.9997832473379322</v>
      </c>
      <c r="X16" s="7">
        <v>0.2990811044445793</v>
      </c>
      <c r="Y16" s="8">
        <v>2.6957544461899709E-2</v>
      </c>
    </row>
    <row r="17" spans="1:25" x14ac:dyDescent="0.3">
      <c r="A17" s="1">
        <v>14</v>
      </c>
      <c r="B17" s="2" t="s">
        <v>66</v>
      </c>
      <c r="C17" s="2">
        <v>2667.4435393999988</v>
      </c>
      <c r="D17" s="2">
        <v>44.457392323333323</v>
      </c>
      <c r="E17" s="2" t="s">
        <v>67</v>
      </c>
      <c r="F17" s="2"/>
      <c r="G17" s="2" t="s">
        <v>27</v>
      </c>
      <c r="H17" s="2" t="s">
        <v>68</v>
      </c>
      <c r="I17" s="2"/>
      <c r="J17" s="2" t="s">
        <v>29</v>
      </c>
      <c r="K17" s="2">
        <v>0.1518043303059517</v>
      </c>
      <c r="L17" s="2">
        <v>0</v>
      </c>
      <c r="M17" s="2">
        <v>0.1518043303059517</v>
      </c>
      <c r="N17" s="2" t="s">
        <v>17</v>
      </c>
      <c r="O17" s="2">
        <v>380</v>
      </c>
      <c r="P17" s="2">
        <v>9.9895639855102447E-5</v>
      </c>
      <c r="Q17" s="2">
        <v>1E-4</v>
      </c>
      <c r="R17" s="2">
        <v>2000</v>
      </c>
      <c r="S17" s="2">
        <v>1</v>
      </c>
      <c r="T17" s="2">
        <v>1</v>
      </c>
      <c r="U17" s="2">
        <v>1</v>
      </c>
      <c r="V17" s="2">
        <v>1.003159881153951E-3</v>
      </c>
      <c r="W17" s="2">
        <v>9.999867119204275</v>
      </c>
      <c r="X17" s="2">
        <v>0.2951972007664545</v>
      </c>
      <c r="Y17" s="3">
        <v>2.041420830888898E-2</v>
      </c>
    </row>
    <row r="18" spans="1:25" x14ac:dyDescent="0.3">
      <c r="A18" s="4">
        <v>15</v>
      </c>
      <c r="B18" t="s">
        <v>69</v>
      </c>
      <c r="C18">
        <v>3407.1815898</v>
      </c>
      <c r="D18">
        <v>56.786359830000009</v>
      </c>
      <c r="E18" t="s">
        <v>70</v>
      </c>
      <c r="G18" t="s">
        <v>27</v>
      </c>
      <c r="H18" t="s">
        <v>71</v>
      </c>
      <c r="J18" t="s">
        <v>29</v>
      </c>
      <c r="K18">
        <v>0.15216373392657459</v>
      </c>
      <c r="L18">
        <v>0</v>
      </c>
      <c r="M18">
        <v>0.15216373392657459</v>
      </c>
      <c r="N18" t="s">
        <v>17</v>
      </c>
      <c r="O18">
        <v>613</v>
      </c>
      <c r="P18">
        <v>9.8950665860574014E-5</v>
      </c>
      <c r="Q18">
        <v>1E-4</v>
      </c>
      <c r="R18">
        <v>2000</v>
      </c>
      <c r="S18">
        <v>1</v>
      </c>
      <c r="T18">
        <v>1</v>
      </c>
      <c r="U18">
        <v>1</v>
      </c>
      <c r="V18">
        <v>1.1429382749421409E-3</v>
      </c>
      <c r="W18">
        <v>9.9999998403741674</v>
      </c>
      <c r="X18">
        <v>0.2953416558699074</v>
      </c>
      <c r="Y18" s="5">
        <v>1.052596497902596E-2</v>
      </c>
    </row>
    <row r="19" spans="1:25" x14ac:dyDescent="0.3">
      <c r="A19" s="4">
        <v>12</v>
      </c>
      <c r="B19" t="s">
        <v>60</v>
      </c>
      <c r="C19">
        <v>5495.7031031000006</v>
      </c>
      <c r="D19">
        <v>91.595051718333337</v>
      </c>
      <c r="E19" t="s">
        <v>61</v>
      </c>
      <c r="G19" t="s">
        <v>27</v>
      </c>
      <c r="H19" t="s">
        <v>62</v>
      </c>
      <c r="J19" t="s">
        <v>29</v>
      </c>
      <c r="K19">
        <v>0.1700827802993029</v>
      </c>
      <c r="L19">
        <v>0</v>
      </c>
      <c r="M19">
        <v>0.1700827802993029</v>
      </c>
      <c r="N19" t="s">
        <v>17</v>
      </c>
      <c r="O19">
        <v>916</v>
      </c>
      <c r="P19">
        <v>9.5423336664059123E-5</v>
      </c>
      <c r="Q19">
        <v>1E-4</v>
      </c>
      <c r="R19">
        <v>2000</v>
      </c>
      <c r="S19">
        <v>1</v>
      </c>
      <c r="T19">
        <v>1</v>
      </c>
      <c r="U19">
        <v>1</v>
      </c>
      <c r="V19">
        <v>1.030992217936331E-3</v>
      </c>
      <c r="W19">
        <v>9.9966014671545942</v>
      </c>
      <c r="X19">
        <v>0.3143313623168964</v>
      </c>
      <c r="Y19" s="5">
        <v>1.0108712491911479E-2</v>
      </c>
    </row>
    <row r="20" spans="1:25" x14ac:dyDescent="0.3">
      <c r="A20" s="4">
        <v>13</v>
      </c>
      <c r="B20" t="s">
        <v>63</v>
      </c>
      <c r="C20">
        <v>11021.9360953</v>
      </c>
      <c r="D20">
        <v>183.69893492166671</v>
      </c>
      <c r="E20" t="s">
        <v>64</v>
      </c>
      <c r="G20" t="s">
        <v>27</v>
      </c>
      <c r="H20" t="s">
        <v>65</v>
      </c>
      <c r="J20" t="s">
        <v>29</v>
      </c>
      <c r="K20">
        <v>0.19284375444317289</v>
      </c>
      <c r="L20">
        <v>0</v>
      </c>
      <c r="M20">
        <v>0.19284375444317289</v>
      </c>
      <c r="N20" t="s">
        <v>17</v>
      </c>
      <c r="O20">
        <v>2001</v>
      </c>
      <c r="P20">
        <v>1.387033477103426E-3</v>
      </c>
      <c r="Q20">
        <v>1E-4</v>
      </c>
      <c r="R20">
        <v>2000</v>
      </c>
      <c r="S20">
        <v>1</v>
      </c>
      <c r="T20">
        <v>1</v>
      </c>
      <c r="U20">
        <v>1</v>
      </c>
      <c r="V20">
        <v>1.025347386601477E-3</v>
      </c>
      <c r="W20">
        <v>9.9999816460808155</v>
      </c>
      <c r="X20">
        <v>0.28260198691805732</v>
      </c>
      <c r="Y20" s="5">
        <v>1.0658928639979999E-2</v>
      </c>
    </row>
    <row r="21" spans="1:25" ht="15" thickBot="1" x14ac:dyDescent="0.35">
      <c r="A21" s="6">
        <v>10</v>
      </c>
      <c r="B21" s="7" t="s">
        <v>54</v>
      </c>
      <c r="C21" s="7">
        <v>74.244357499999751</v>
      </c>
      <c r="D21" s="7">
        <v>1.237405958333329</v>
      </c>
      <c r="E21" s="7" t="s">
        <v>55</v>
      </c>
      <c r="F21" s="7"/>
      <c r="G21" s="7" t="s">
        <v>27</v>
      </c>
      <c r="H21" s="7" t="s">
        <v>56</v>
      </c>
      <c r="I21" s="7"/>
      <c r="J21" s="7" t="s">
        <v>29</v>
      </c>
      <c r="K21" s="7">
        <v>0.96546457193531521</v>
      </c>
      <c r="L21" s="7">
        <v>0</v>
      </c>
      <c r="M21" s="7">
        <v>0.96546457193531521</v>
      </c>
      <c r="N21" s="7" t="s">
        <v>17</v>
      </c>
      <c r="O21" s="7">
        <v>34</v>
      </c>
      <c r="P21" s="7">
        <v>9.6223146545785398E-5</v>
      </c>
      <c r="Q21" s="7">
        <v>1E-4</v>
      </c>
      <c r="R21" s="7">
        <v>2000</v>
      </c>
      <c r="S21" s="7">
        <v>1</v>
      </c>
      <c r="T21" s="7">
        <v>1</v>
      </c>
      <c r="U21" s="7">
        <v>1</v>
      </c>
      <c r="V21" s="7">
        <v>2.8488999999999999E-4</v>
      </c>
      <c r="W21" s="7">
        <v>23.414200000000001</v>
      </c>
      <c r="X21" s="7">
        <v>0.37391999999999997</v>
      </c>
      <c r="Y21" s="8">
        <v>39.800400000000003</v>
      </c>
    </row>
    <row r="23" spans="1:25" x14ac:dyDescent="0.3">
      <c r="V23">
        <f>AVERAGE(V2:V21)</f>
        <v>6.8148593056139022E-4</v>
      </c>
      <c r="W23">
        <f t="shared" ref="W23:Y23" si="0">AVERAGE(W2:W21)</f>
        <v>21.152285696819636</v>
      </c>
      <c r="X23">
        <f t="shared" si="0"/>
        <v>0.35934074562694585</v>
      </c>
      <c r="Y23">
        <f t="shared" si="0"/>
        <v>29.806122023917368</v>
      </c>
    </row>
    <row r="24" spans="1:25" x14ac:dyDescent="0.3">
      <c r="V24">
        <f>MEDIAN(V2:V21)</f>
        <v>7.3482996934971247E-4</v>
      </c>
      <c r="W24">
        <f t="shared" ref="W24:Y24" si="1">MEDIAN(W2:W21)</f>
        <v>20.310448257131583</v>
      </c>
      <c r="X24">
        <f t="shared" si="1"/>
        <v>0.3715872236384351</v>
      </c>
      <c r="Y24">
        <f t="shared" si="1"/>
        <v>17.268174566317164</v>
      </c>
    </row>
    <row r="25" spans="1:25" x14ac:dyDescent="0.3">
      <c r="V25">
        <f>STDEVA(V2:V21)</f>
        <v>6.3777506162885321E-4</v>
      </c>
      <c r="W25">
        <f t="shared" ref="W25:Y25" si="2">STDEVA(W2:W21)</f>
        <v>8.5631716627075409</v>
      </c>
      <c r="X25">
        <f t="shared" si="2"/>
        <v>3.9531802927071397E-2</v>
      </c>
      <c r="Y25">
        <f t="shared" si="2"/>
        <v>30.113328264384752</v>
      </c>
    </row>
  </sheetData>
  <autoFilter ref="A1:Y1" xr:uid="{4A11A7C9-4824-4804-85BE-15C06315FDC3}">
    <sortState xmlns:xlrd2="http://schemas.microsoft.com/office/spreadsheetml/2017/richdata2" ref="A2:Y21">
      <sortCondition ref="K1"/>
    </sortState>
  </autoFilter>
  <pageMargins left="0.7" right="0.7" top="0.75" bottom="0.75" header="0.3" footer="0.3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EB097E-9600-40C1-9DB3-80343B708190}">
  <dimension ref="A1:Y25"/>
  <sheetViews>
    <sheetView topLeftCell="K1" zoomScale="90" zoomScaleNormal="90" workbookViewId="0">
      <selection activeCell="AA20" sqref="AA20"/>
    </sheetView>
  </sheetViews>
  <sheetFormatPr baseColWidth="10" defaultColWidth="8.88671875" defaultRowHeight="14.4" x14ac:dyDescent="0.3"/>
  <cols>
    <col min="2" max="2" width="18" bestFit="1" customWidth="1"/>
    <col min="5" max="5" width="11.77734375" bestFit="1" customWidth="1"/>
    <col min="22" max="25" width="12.6640625" bestFit="1" customWidth="1"/>
  </cols>
  <sheetData>
    <row r="1" spans="1:25" ht="15" thickBot="1" x14ac:dyDescent="0.3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</row>
    <row r="2" spans="1:25" x14ac:dyDescent="0.3">
      <c r="A2" s="1">
        <v>2</v>
      </c>
      <c r="B2" s="2" t="s">
        <v>30</v>
      </c>
      <c r="C2" s="2">
        <v>2020.8023284999981</v>
      </c>
      <c r="D2" s="2">
        <v>33.6800388083333</v>
      </c>
      <c r="E2" s="2" t="s">
        <v>31</v>
      </c>
      <c r="F2" s="2"/>
      <c r="G2" s="2" t="s">
        <v>27</v>
      </c>
      <c r="H2" s="2" t="s">
        <v>32</v>
      </c>
      <c r="I2" s="2"/>
      <c r="J2" s="2" t="s">
        <v>29</v>
      </c>
      <c r="K2" s="2">
        <v>1.311751439363152E-2</v>
      </c>
      <c r="L2" s="2">
        <v>0</v>
      </c>
      <c r="M2" s="2">
        <v>1.311751439363152E-2</v>
      </c>
      <c r="N2" s="2" t="s">
        <v>17</v>
      </c>
      <c r="O2" s="2">
        <v>303</v>
      </c>
      <c r="P2" s="2">
        <v>7.9679151233725759E-5</v>
      </c>
      <c r="Q2" s="2">
        <v>1E-4</v>
      </c>
      <c r="R2" s="2">
        <v>2000</v>
      </c>
      <c r="S2" s="2">
        <v>1</v>
      </c>
      <c r="T2" s="2">
        <v>1</v>
      </c>
      <c r="U2" s="2">
        <v>1</v>
      </c>
      <c r="V2" s="2">
        <v>3.351535642361703E-4</v>
      </c>
      <c r="W2" s="2">
        <v>27.529498749844979</v>
      </c>
      <c r="X2" s="2">
        <v>0.36403966334085158</v>
      </c>
      <c r="Y2" s="3">
        <v>65.433144660925123</v>
      </c>
    </row>
    <row r="3" spans="1:25" x14ac:dyDescent="0.3">
      <c r="A3" s="4">
        <v>18</v>
      </c>
      <c r="B3" t="s">
        <v>78</v>
      </c>
      <c r="C3">
        <v>14178.406961999999</v>
      </c>
      <c r="D3">
        <v>236.30678270000001</v>
      </c>
      <c r="E3" t="s">
        <v>79</v>
      </c>
      <c r="G3" t="s">
        <v>27</v>
      </c>
      <c r="H3" t="s">
        <v>80</v>
      </c>
      <c r="J3" t="s">
        <v>29</v>
      </c>
      <c r="K3">
        <v>1.8587351559349461E-2</v>
      </c>
      <c r="L3">
        <v>0</v>
      </c>
      <c r="M3">
        <v>1.8587351559349461E-2</v>
      </c>
      <c r="N3" t="s">
        <v>17</v>
      </c>
      <c r="O3">
        <v>3001</v>
      </c>
      <c r="P3">
        <v>3.6184124588156201E-3</v>
      </c>
      <c r="Q3">
        <v>1E-4</v>
      </c>
      <c r="R3">
        <v>3000</v>
      </c>
      <c r="S3">
        <v>1</v>
      </c>
      <c r="T3">
        <v>1</v>
      </c>
      <c r="U3">
        <v>1</v>
      </c>
      <c r="W3">
        <v>19.252693145524649</v>
      </c>
      <c r="X3">
        <v>0.40080816565356953</v>
      </c>
      <c r="Y3" s="5">
        <v>10.6680880074773</v>
      </c>
    </row>
    <row r="4" spans="1:25" x14ac:dyDescent="0.3">
      <c r="A4" s="4">
        <v>1</v>
      </c>
      <c r="B4" t="s">
        <v>25</v>
      </c>
      <c r="C4">
        <v>11425.4872414</v>
      </c>
      <c r="D4">
        <v>190.4247873566666</v>
      </c>
      <c r="E4" t="s">
        <v>26</v>
      </c>
      <c r="G4" t="s">
        <v>27</v>
      </c>
      <c r="H4" t="s">
        <v>28</v>
      </c>
      <c r="J4" t="s">
        <v>29</v>
      </c>
      <c r="K4">
        <v>2.18673103026042E-2</v>
      </c>
      <c r="L4">
        <v>0</v>
      </c>
      <c r="M4">
        <v>2.18673103026042E-2</v>
      </c>
      <c r="N4" t="s">
        <v>17</v>
      </c>
      <c r="O4">
        <v>2001</v>
      </c>
      <c r="P4">
        <v>4.3104489368415337E-4</v>
      </c>
      <c r="Q4">
        <v>1E-4</v>
      </c>
      <c r="R4">
        <v>2000</v>
      </c>
      <c r="S4">
        <v>1</v>
      </c>
      <c r="T4">
        <v>1</v>
      </c>
      <c r="U4">
        <v>1</v>
      </c>
      <c r="V4">
        <v>3.260126563038609E-5</v>
      </c>
      <c r="W4">
        <v>28.102169218284331</v>
      </c>
      <c r="Y4" s="5"/>
    </row>
    <row r="5" spans="1:25" x14ac:dyDescent="0.3">
      <c r="A5" s="4">
        <v>17</v>
      </c>
      <c r="B5" t="s">
        <v>75</v>
      </c>
      <c r="C5">
        <v>17889.761337200001</v>
      </c>
      <c r="D5">
        <v>298.16268895333332</v>
      </c>
      <c r="E5" t="s">
        <v>76</v>
      </c>
      <c r="G5" t="s">
        <v>27</v>
      </c>
      <c r="H5" t="s">
        <v>77</v>
      </c>
      <c r="J5" t="s">
        <v>29</v>
      </c>
      <c r="K5">
        <v>2.3094880861104609E-2</v>
      </c>
      <c r="L5">
        <v>0</v>
      </c>
      <c r="M5">
        <v>2.3094880861104609E-2</v>
      </c>
      <c r="N5" t="s">
        <v>17</v>
      </c>
      <c r="O5">
        <v>3001</v>
      </c>
      <c r="P5">
        <v>1.2644160368509799E-3</v>
      </c>
      <c r="Q5">
        <v>1E-4</v>
      </c>
      <c r="R5">
        <v>3000</v>
      </c>
      <c r="S5">
        <v>1</v>
      </c>
      <c r="T5">
        <v>1</v>
      </c>
      <c r="U5">
        <v>1</v>
      </c>
      <c r="V5">
        <v>1.0008337586269931E-3</v>
      </c>
      <c r="W5">
        <v>19.601667329061218</v>
      </c>
      <c r="X5">
        <v>0.36124594824033468</v>
      </c>
      <c r="Y5" s="5">
        <v>19.60016406926405</v>
      </c>
    </row>
    <row r="6" spans="1:25" ht="15" thickBot="1" x14ac:dyDescent="0.35">
      <c r="A6" s="6">
        <v>9</v>
      </c>
      <c r="B6" s="7" t="s">
        <v>51</v>
      </c>
      <c r="C6" s="7">
        <v>11404.1302452</v>
      </c>
      <c r="D6" s="7">
        <v>190.06883741999999</v>
      </c>
      <c r="E6" s="7" t="s">
        <v>52</v>
      </c>
      <c r="F6" s="7"/>
      <c r="G6" s="7" t="s">
        <v>27</v>
      </c>
      <c r="H6" s="7" t="s">
        <v>53</v>
      </c>
      <c r="I6" s="7"/>
      <c r="J6" s="7" t="s">
        <v>29</v>
      </c>
      <c r="K6" s="7">
        <v>2.7973376622525491E-2</v>
      </c>
      <c r="L6" s="7">
        <v>0</v>
      </c>
      <c r="M6" s="7">
        <v>2.7973376622525491E-2</v>
      </c>
      <c r="N6" s="7" t="s">
        <v>17</v>
      </c>
      <c r="O6" s="7">
        <v>2001</v>
      </c>
      <c r="P6" s="7">
        <v>1.396946249863243E-3</v>
      </c>
      <c r="Q6" s="7">
        <v>1E-4</v>
      </c>
      <c r="R6" s="7">
        <v>2000</v>
      </c>
      <c r="S6" s="7">
        <v>1</v>
      </c>
      <c r="T6" s="7">
        <v>1</v>
      </c>
      <c r="U6" s="7">
        <v>1</v>
      </c>
      <c r="V6" s="7">
        <v>1.8964874766953979E-5</v>
      </c>
      <c r="W6" s="7">
        <v>34.886369485916973</v>
      </c>
      <c r="X6" s="7">
        <v>0.37391981575107031</v>
      </c>
      <c r="Y6" s="8">
        <v>49.352649868139729</v>
      </c>
    </row>
    <row r="7" spans="1:25" x14ac:dyDescent="0.3">
      <c r="A7" s="1">
        <v>8</v>
      </c>
      <c r="B7" s="2" t="s">
        <v>48</v>
      </c>
      <c r="C7" s="2">
        <v>8662.7927846000021</v>
      </c>
      <c r="D7" s="2">
        <v>144.37987974333339</v>
      </c>
      <c r="E7" s="2" t="s">
        <v>49</v>
      </c>
      <c r="F7" s="2"/>
      <c r="G7" s="2" t="s">
        <v>27</v>
      </c>
      <c r="H7" s="2" t="s">
        <v>50</v>
      </c>
      <c r="I7" s="2"/>
      <c r="J7" s="2" t="s">
        <v>29</v>
      </c>
      <c r="K7" s="2">
        <v>2.9675075548963922E-2</v>
      </c>
      <c r="L7" s="2">
        <v>0</v>
      </c>
      <c r="M7" s="2">
        <v>2.9675075548963922E-2</v>
      </c>
      <c r="N7" s="2" t="s">
        <v>17</v>
      </c>
      <c r="O7" s="2">
        <v>2001</v>
      </c>
      <c r="P7" s="2">
        <v>7.8379498508963127E-4</v>
      </c>
      <c r="Q7" s="2">
        <v>1E-4</v>
      </c>
      <c r="R7" s="2">
        <v>2000</v>
      </c>
      <c r="S7" s="2">
        <v>1</v>
      </c>
      <c r="T7" s="2">
        <v>1</v>
      </c>
      <c r="U7" s="2">
        <v>1</v>
      </c>
      <c r="V7" s="2">
        <v>1.000000009139998E-5</v>
      </c>
      <c r="W7" s="2">
        <v>21.019229185201951</v>
      </c>
      <c r="X7" s="2">
        <v>0.39839472531270642</v>
      </c>
      <c r="Y7" s="3">
        <v>39.800429283472369</v>
      </c>
    </row>
    <row r="8" spans="1:25" x14ac:dyDescent="0.3">
      <c r="A8" s="4">
        <v>7</v>
      </c>
      <c r="B8" t="s">
        <v>45</v>
      </c>
      <c r="C8">
        <v>14961.764225499999</v>
      </c>
      <c r="D8">
        <v>249.36273709166659</v>
      </c>
      <c r="E8" t="s">
        <v>46</v>
      </c>
      <c r="G8" t="s">
        <v>27</v>
      </c>
      <c r="H8" t="s">
        <v>47</v>
      </c>
      <c r="J8" t="s">
        <v>29</v>
      </c>
      <c r="K8">
        <v>3.103287414127125E-2</v>
      </c>
      <c r="L8">
        <v>0</v>
      </c>
      <c r="M8">
        <v>3.103287414127125E-2</v>
      </c>
      <c r="N8" t="s">
        <v>17</v>
      </c>
      <c r="O8">
        <v>2001</v>
      </c>
      <c r="P8">
        <v>1.3711088461474509E-2</v>
      </c>
      <c r="Q8">
        <v>1E-4</v>
      </c>
      <c r="R8">
        <v>2000</v>
      </c>
      <c r="S8">
        <v>1</v>
      </c>
      <c r="T8">
        <v>1</v>
      </c>
      <c r="U8">
        <v>1</v>
      </c>
      <c r="V8">
        <v>1.2152871033555519E-5</v>
      </c>
      <c r="W8">
        <v>18.036512433552069</v>
      </c>
      <c r="X8">
        <v>0.3675098433392962</v>
      </c>
      <c r="Y8" s="5">
        <v>6.3086977381197257E-2</v>
      </c>
    </row>
    <row r="9" spans="1:25" x14ac:dyDescent="0.3">
      <c r="A9" s="4">
        <v>3</v>
      </c>
      <c r="B9" t="s">
        <v>33</v>
      </c>
      <c r="C9">
        <v>8929.6685137999993</v>
      </c>
      <c r="D9">
        <v>148.82780856333329</v>
      </c>
      <c r="E9" t="s">
        <v>34</v>
      </c>
      <c r="G9" t="s">
        <v>27</v>
      </c>
      <c r="H9" t="s">
        <v>35</v>
      </c>
      <c r="J9" t="s">
        <v>29</v>
      </c>
      <c r="K9">
        <v>3.3140083109282667E-2</v>
      </c>
      <c r="L9">
        <v>0</v>
      </c>
      <c r="M9">
        <v>3.3140083109282667E-2</v>
      </c>
      <c r="N9" t="s">
        <v>17</v>
      </c>
      <c r="O9">
        <v>2001</v>
      </c>
      <c r="P9">
        <v>2.337283520942173E-3</v>
      </c>
      <c r="Q9">
        <v>1E-4</v>
      </c>
      <c r="R9">
        <v>2000</v>
      </c>
      <c r="S9">
        <v>1</v>
      </c>
      <c r="T9">
        <v>1</v>
      </c>
      <c r="U9">
        <v>1</v>
      </c>
      <c r="V9">
        <v>2.8488590080989127E-4</v>
      </c>
      <c r="W9">
        <v>26.20377447804329</v>
      </c>
      <c r="X9">
        <v>0.39467814669875972</v>
      </c>
      <c r="Y9" s="5">
        <v>51.670543518679743</v>
      </c>
    </row>
    <row r="10" spans="1:25" x14ac:dyDescent="0.3">
      <c r="A10" s="4">
        <v>16</v>
      </c>
      <c r="B10" t="s">
        <v>72</v>
      </c>
      <c r="C10">
        <v>15471.3633562</v>
      </c>
      <c r="D10">
        <v>257.85605593666668</v>
      </c>
      <c r="E10" t="s">
        <v>73</v>
      </c>
      <c r="G10" t="s">
        <v>27</v>
      </c>
      <c r="H10" t="s">
        <v>74</v>
      </c>
      <c r="J10" t="s">
        <v>29</v>
      </c>
      <c r="K10">
        <v>3.4002488435168607E-2</v>
      </c>
      <c r="L10">
        <v>0</v>
      </c>
      <c r="M10">
        <v>3.4002488435168607E-2</v>
      </c>
      <c r="N10" t="s">
        <v>17</v>
      </c>
      <c r="O10">
        <v>3001</v>
      </c>
      <c r="P10">
        <v>1.160065340932191E-4</v>
      </c>
      <c r="Q10">
        <v>1E-4</v>
      </c>
      <c r="R10">
        <v>3000</v>
      </c>
      <c r="S10">
        <v>1</v>
      </c>
      <c r="T10">
        <v>1</v>
      </c>
      <c r="U10">
        <v>1</v>
      </c>
      <c r="V10">
        <v>1.000651355853685E-3</v>
      </c>
      <c r="W10">
        <v>17.682107447162458</v>
      </c>
      <c r="X10">
        <v>0.38841017229671182</v>
      </c>
      <c r="Y10" s="5">
        <v>14.93618506337028</v>
      </c>
    </row>
    <row r="11" spans="1:25" ht="15" thickBot="1" x14ac:dyDescent="0.35">
      <c r="A11" s="6">
        <v>19</v>
      </c>
      <c r="B11" s="7" t="s">
        <v>81</v>
      </c>
      <c r="C11" s="7">
        <v>12841.259337400001</v>
      </c>
      <c r="D11" s="7">
        <v>214.02098895666671</v>
      </c>
      <c r="E11" s="7" t="s">
        <v>82</v>
      </c>
      <c r="F11" s="7"/>
      <c r="G11" s="7" t="s">
        <v>27</v>
      </c>
      <c r="H11" s="7" t="s">
        <v>83</v>
      </c>
      <c r="I11" s="7"/>
      <c r="J11" s="7" t="s">
        <v>29</v>
      </c>
      <c r="K11" s="7">
        <v>3.4816466573594891E-2</v>
      </c>
      <c r="L11" s="7">
        <v>0</v>
      </c>
      <c r="M11" s="7">
        <v>3.4816466573594891E-2</v>
      </c>
      <c r="N11" s="7" t="s">
        <v>17</v>
      </c>
      <c r="O11" s="7">
        <v>3001</v>
      </c>
      <c r="P11" s="7">
        <v>9.1055496747257704E-4</v>
      </c>
      <c r="Q11" s="7">
        <v>1E-4</v>
      </c>
      <c r="R11" s="7">
        <v>3000</v>
      </c>
      <c r="S11" s="7">
        <v>1</v>
      </c>
      <c r="T11" s="7">
        <v>1</v>
      </c>
      <c r="U11" s="7">
        <v>1</v>
      </c>
      <c r="V11" s="7">
        <v>1.0335477701724661E-3</v>
      </c>
      <c r="W11" s="7">
        <v>18.682946752608238</v>
      </c>
      <c r="X11" s="7">
        <v>0.37300020271814849</v>
      </c>
      <c r="Y11" s="8">
        <v>13.75091922923596</v>
      </c>
    </row>
    <row r="12" spans="1:25" x14ac:dyDescent="0.3">
      <c r="A12" s="1">
        <v>20</v>
      </c>
      <c r="B12" s="2" t="s">
        <v>84</v>
      </c>
      <c r="C12" s="2">
        <v>15026.699616899999</v>
      </c>
      <c r="D12" s="2">
        <v>250.44499361499999</v>
      </c>
      <c r="E12" s="2" t="s">
        <v>85</v>
      </c>
      <c r="F12" s="2"/>
      <c r="G12" s="2" t="s">
        <v>27</v>
      </c>
      <c r="H12" s="2" t="s">
        <v>86</v>
      </c>
      <c r="I12" s="2"/>
      <c r="J12" s="2" t="s">
        <v>29</v>
      </c>
      <c r="K12" s="2">
        <v>4.0462251333287368E-2</v>
      </c>
      <c r="L12" s="2">
        <v>0</v>
      </c>
      <c r="M12" s="2">
        <v>4.0462251333287368E-2</v>
      </c>
      <c r="N12" s="2" t="s">
        <v>17</v>
      </c>
      <c r="O12" s="2">
        <v>3001</v>
      </c>
      <c r="P12" s="2">
        <v>1.9559020197923928E-3</v>
      </c>
      <c r="Q12" s="2">
        <v>1E-4</v>
      </c>
      <c r="R12" s="2">
        <v>3000</v>
      </c>
      <c r="S12" s="2">
        <v>1</v>
      </c>
      <c r="T12" s="2">
        <v>1</v>
      </c>
      <c r="U12" s="2">
        <v>1</v>
      </c>
      <c r="V12" s="2">
        <v>1.480080621464585E-3</v>
      </c>
      <c r="W12" s="2">
        <v>23.414167201547048</v>
      </c>
      <c r="X12" s="2">
        <v>0.38070424318982288</v>
      </c>
      <c r="Y12" s="3">
        <v>12.3747262770157</v>
      </c>
    </row>
    <row r="13" spans="1:25" x14ac:dyDescent="0.3">
      <c r="A13" s="4">
        <v>6</v>
      </c>
      <c r="B13" t="s">
        <v>42</v>
      </c>
      <c r="C13">
        <v>10107.442113700001</v>
      </c>
      <c r="D13">
        <v>168.4573685616667</v>
      </c>
      <c r="E13" t="s">
        <v>43</v>
      </c>
      <c r="G13" t="s">
        <v>27</v>
      </c>
      <c r="H13" t="s">
        <v>44</v>
      </c>
      <c r="J13" t="s">
        <v>29</v>
      </c>
      <c r="K13">
        <v>4.2394458675017122E-2</v>
      </c>
      <c r="L13">
        <v>0</v>
      </c>
      <c r="M13">
        <v>4.2394458675017122E-2</v>
      </c>
      <c r="N13" t="s">
        <v>17</v>
      </c>
      <c r="O13">
        <v>2001</v>
      </c>
      <c r="P13">
        <v>1.9531467257387759E-4</v>
      </c>
      <c r="Q13">
        <v>1E-4</v>
      </c>
      <c r="R13">
        <v>2000</v>
      </c>
      <c r="S13">
        <v>1</v>
      </c>
      <c r="T13">
        <v>1</v>
      </c>
      <c r="U13">
        <v>1</v>
      </c>
      <c r="V13">
        <v>2.4155400000542751E-5</v>
      </c>
      <c r="W13">
        <v>25.505232106878822</v>
      </c>
      <c r="X13">
        <v>0.37585832494496452</v>
      </c>
      <c r="Y13" s="5">
        <v>47.227592529172199</v>
      </c>
    </row>
    <row r="14" spans="1:25" x14ac:dyDescent="0.3">
      <c r="A14" s="4">
        <v>5</v>
      </c>
      <c r="B14" t="s">
        <v>39</v>
      </c>
      <c r="C14">
        <v>2724.3366834999979</v>
      </c>
      <c r="D14">
        <v>45.405611391666632</v>
      </c>
      <c r="E14" t="s">
        <v>40</v>
      </c>
      <c r="G14" t="s">
        <v>27</v>
      </c>
      <c r="H14" t="s">
        <v>41</v>
      </c>
      <c r="J14" t="s">
        <v>29</v>
      </c>
      <c r="K14">
        <v>4.3342520554566527E-2</v>
      </c>
      <c r="L14">
        <v>0</v>
      </c>
      <c r="M14">
        <v>4.3342520554566527E-2</v>
      </c>
      <c r="N14" t="s">
        <v>17</v>
      </c>
      <c r="O14">
        <v>600</v>
      </c>
      <c r="P14">
        <v>8.9477182306027151E-5</v>
      </c>
      <c r="Q14">
        <v>1E-4</v>
      </c>
      <c r="R14">
        <v>2000</v>
      </c>
      <c r="S14">
        <v>1</v>
      </c>
      <c r="T14">
        <v>1</v>
      </c>
      <c r="U14">
        <v>1</v>
      </c>
      <c r="V14">
        <v>4.6900858284574008E-4</v>
      </c>
      <c r="X14">
        <v>0.36319152094533358</v>
      </c>
      <c r="Y14" s="5">
        <v>81.811964419272968</v>
      </c>
    </row>
    <row r="15" spans="1:25" x14ac:dyDescent="0.3">
      <c r="A15" s="4">
        <v>4</v>
      </c>
      <c r="B15" t="s">
        <v>36</v>
      </c>
      <c r="C15">
        <v>9338.5440009000013</v>
      </c>
      <c r="D15">
        <v>155.64240001499999</v>
      </c>
      <c r="E15" t="s">
        <v>37</v>
      </c>
      <c r="G15" t="s">
        <v>27</v>
      </c>
      <c r="H15" t="s">
        <v>38</v>
      </c>
      <c r="J15" t="s">
        <v>29</v>
      </c>
      <c r="K15">
        <v>4.3786216137261899E-2</v>
      </c>
      <c r="L15">
        <v>0</v>
      </c>
      <c r="M15">
        <v>4.3786216137261899E-2</v>
      </c>
      <c r="N15" t="s">
        <v>17</v>
      </c>
      <c r="O15">
        <v>2001</v>
      </c>
      <c r="P15">
        <v>2.9923830094214748E-3</v>
      </c>
      <c r="Q15">
        <v>1E-4</v>
      </c>
      <c r="R15">
        <v>2000</v>
      </c>
      <c r="S15">
        <v>1</v>
      </c>
      <c r="T15">
        <v>1</v>
      </c>
      <c r="U15">
        <v>1</v>
      </c>
      <c r="V15">
        <v>2.2423638817534172E-5</v>
      </c>
      <c r="W15">
        <v>31.02966681033983</v>
      </c>
      <c r="X15">
        <v>0.37017424455872178</v>
      </c>
      <c r="Y15" s="5">
        <v>49.555432437358789</v>
      </c>
    </row>
    <row r="16" spans="1:25" ht="15" thickBot="1" x14ac:dyDescent="0.35">
      <c r="A16" s="6">
        <v>11</v>
      </c>
      <c r="B16" s="7" t="s">
        <v>57</v>
      </c>
      <c r="C16" s="7">
        <v>9867.2006258000001</v>
      </c>
      <c r="D16" s="7">
        <v>164.45334376333329</v>
      </c>
      <c r="E16" s="7" t="s">
        <v>58</v>
      </c>
      <c r="F16" s="7"/>
      <c r="G16" s="7" t="s">
        <v>27</v>
      </c>
      <c r="H16" s="7" t="s">
        <v>59</v>
      </c>
      <c r="I16" s="7"/>
      <c r="J16" s="7" t="s">
        <v>29</v>
      </c>
      <c r="K16" s="7">
        <v>9.2561523597760972E-2</v>
      </c>
      <c r="L16" s="7">
        <v>0</v>
      </c>
      <c r="M16" s="7">
        <v>9.2561523597760972E-2</v>
      </c>
      <c r="N16" s="7" t="s">
        <v>17</v>
      </c>
      <c r="O16" s="7">
        <v>2001</v>
      </c>
      <c r="P16" s="7">
        <v>1.713036197733583E-4</v>
      </c>
      <c r="Q16" s="7">
        <v>1E-4</v>
      </c>
      <c r="R16" s="7">
        <v>2000</v>
      </c>
      <c r="S16" s="7">
        <v>1</v>
      </c>
      <c r="T16" s="7">
        <v>1</v>
      </c>
      <c r="U16" s="7">
        <v>1</v>
      </c>
      <c r="V16" s="7"/>
      <c r="W16" s="7"/>
      <c r="X16" s="7"/>
      <c r="Y16" s="8"/>
    </row>
    <row r="17" spans="1:25" x14ac:dyDescent="0.3">
      <c r="A17" s="1">
        <v>14</v>
      </c>
      <c r="B17" s="2" t="s">
        <v>66</v>
      </c>
      <c r="C17" s="2">
        <v>2667.4435393999988</v>
      </c>
      <c r="D17" s="2">
        <v>44.457392323333323</v>
      </c>
      <c r="E17" s="2" t="s">
        <v>67</v>
      </c>
      <c r="F17" s="2"/>
      <c r="G17" s="2" t="s">
        <v>27</v>
      </c>
      <c r="H17" s="2" t="s">
        <v>68</v>
      </c>
      <c r="I17" s="2"/>
      <c r="J17" s="2" t="s">
        <v>29</v>
      </c>
      <c r="K17" s="2">
        <v>0.1518043303059517</v>
      </c>
      <c r="L17" s="2">
        <v>0</v>
      </c>
      <c r="M17" s="2">
        <v>0.1518043303059517</v>
      </c>
      <c r="N17" s="2" t="s">
        <v>17</v>
      </c>
      <c r="O17" s="2">
        <v>380</v>
      </c>
      <c r="P17" s="2">
        <v>9.9895639855102447E-5</v>
      </c>
      <c r="Q17" s="2">
        <v>1E-4</v>
      </c>
      <c r="R17" s="2">
        <v>2000</v>
      </c>
      <c r="S17" s="2">
        <v>1</v>
      </c>
      <c r="T17" s="2">
        <v>1</v>
      </c>
      <c r="U17" s="2">
        <v>1</v>
      </c>
      <c r="V17" s="2"/>
      <c r="W17" s="2"/>
      <c r="X17" s="2"/>
      <c r="Y17" s="3"/>
    </row>
    <row r="18" spans="1:25" x14ac:dyDescent="0.3">
      <c r="A18" s="4">
        <v>15</v>
      </c>
      <c r="B18" t="s">
        <v>69</v>
      </c>
      <c r="C18">
        <v>3407.1815898</v>
      </c>
      <c r="D18">
        <v>56.786359830000009</v>
      </c>
      <c r="E18" t="s">
        <v>70</v>
      </c>
      <c r="G18" t="s">
        <v>27</v>
      </c>
      <c r="H18" t="s">
        <v>71</v>
      </c>
      <c r="J18" t="s">
        <v>29</v>
      </c>
      <c r="K18">
        <v>0.15216373392657459</v>
      </c>
      <c r="L18">
        <v>0</v>
      </c>
      <c r="M18">
        <v>0.15216373392657459</v>
      </c>
      <c r="N18" t="s">
        <v>17</v>
      </c>
      <c r="O18">
        <v>613</v>
      </c>
      <c r="P18">
        <v>9.8950665860574014E-5</v>
      </c>
      <c r="Q18">
        <v>1E-4</v>
      </c>
      <c r="R18">
        <v>2000</v>
      </c>
      <c r="S18">
        <v>1</v>
      </c>
      <c r="T18">
        <v>1</v>
      </c>
      <c r="U18">
        <v>1</v>
      </c>
      <c r="Y18" s="5"/>
    </row>
    <row r="19" spans="1:25" x14ac:dyDescent="0.3">
      <c r="A19" s="4">
        <v>12</v>
      </c>
      <c r="B19" t="s">
        <v>60</v>
      </c>
      <c r="C19">
        <v>5495.7031031000006</v>
      </c>
      <c r="D19">
        <v>91.595051718333337</v>
      </c>
      <c r="E19" t="s">
        <v>61</v>
      </c>
      <c r="G19" t="s">
        <v>27</v>
      </c>
      <c r="H19" t="s">
        <v>62</v>
      </c>
      <c r="J19" t="s">
        <v>29</v>
      </c>
      <c r="K19">
        <v>0.1700827802993029</v>
      </c>
      <c r="L19">
        <v>0</v>
      </c>
      <c r="M19">
        <v>0.1700827802993029</v>
      </c>
      <c r="N19" t="s">
        <v>17</v>
      </c>
      <c r="O19">
        <v>916</v>
      </c>
      <c r="P19">
        <v>9.5423336664059123E-5</v>
      </c>
      <c r="Q19">
        <v>1E-4</v>
      </c>
      <c r="R19">
        <v>2000</v>
      </c>
      <c r="S19">
        <v>1</v>
      </c>
      <c r="T19">
        <v>1</v>
      </c>
      <c r="U19">
        <v>1</v>
      </c>
      <c r="Y19" s="5"/>
    </row>
    <row r="20" spans="1:25" x14ac:dyDescent="0.3">
      <c r="A20" s="4">
        <v>13</v>
      </c>
      <c r="B20" t="s">
        <v>63</v>
      </c>
      <c r="C20">
        <v>11021.9360953</v>
      </c>
      <c r="D20">
        <v>183.69893492166671</v>
      </c>
      <c r="E20" t="s">
        <v>64</v>
      </c>
      <c r="G20" t="s">
        <v>27</v>
      </c>
      <c r="H20" t="s">
        <v>65</v>
      </c>
      <c r="J20" t="s">
        <v>29</v>
      </c>
      <c r="K20">
        <v>0.19284375444317289</v>
      </c>
      <c r="L20">
        <v>0</v>
      </c>
      <c r="M20">
        <v>0.19284375444317289</v>
      </c>
      <c r="N20" t="s">
        <v>17</v>
      </c>
      <c r="O20">
        <v>2001</v>
      </c>
      <c r="P20">
        <v>1.387033477103426E-3</v>
      </c>
      <c r="Q20">
        <v>1E-4</v>
      </c>
      <c r="R20">
        <v>2000</v>
      </c>
      <c r="S20">
        <v>1</v>
      </c>
      <c r="T20">
        <v>1</v>
      </c>
      <c r="U20">
        <v>1</v>
      </c>
      <c r="Y20" s="5"/>
    </row>
    <row r="21" spans="1:25" ht="15" thickBot="1" x14ac:dyDescent="0.35">
      <c r="A21" s="6">
        <v>10</v>
      </c>
      <c r="B21" s="7" t="s">
        <v>54</v>
      </c>
      <c r="C21" s="7">
        <v>74.244357499999751</v>
      </c>
      <c r="D21" s="7">
        <v>1.237405958333329</v>
      </c>
      <c r="E21" s="7" t="s">
        <v>55</v>
      </c>
      <c r="F21" s="7"/>
      <c r="G21" s="7" t="s">
        <v>27</v>
      </c>
      <c r="H21" s="7" t="s">
        <v>56</v>
      </c>
      <c r="I21" s="7"/>
      <c r="J21" s="7" t="s">
        <v>29</v>
      </c>
      <c r="K21" s="7">
        <v>0.96546457193531521</v>
      </c>
      <c r="L21" s="7">
        <v>0</v>
      </c>
      <c r="M21" s="7">
        <v>0.96546457193531521</v>
      </c>
      <c r="N21" s="7" t="s">
        <v>17</v>
      </c>
      <c r="O21" s="7">
        <v>34</v>
      </c>
      <c r="P21" s="7">
        <v>9.6223146545785398E-5</v>
      </c>
      <c r="Q21" s="7">
        <v>1E-4</v>
      </c>
      <c r="R21" s="7">
        <v>2000</v>
      </c>
      <c r="S21" s="7">
        <v>1</v>
      </c>
      <c r="T21" s="7">
        <v>1</v>
      </c>
      <c r="U21" s="7">
        <v>1</v>
      </c>
      <c r="V21" s="7"/>
      <c r="W21" s="7"/>
      <c r="X21" s="7"/>
      <c r="Y21" s="8"/>
    </row>
    <row r="22" spans="1:25" x14ac:dyDescent="0.3">
      <c r="V22">
        <f>COUNT(V2:V21)</f>
        <v>13</v>
      </c>
      <c r="W22">
        <f t="shared" ref="W22:Y22" si="0">COUNT(W2:W21)</f>
        <v>13</v>
      </c>
      <c r="X22">
        <f t="shared" si="0"/>
        <v>13</v>
      </c>
      <c r="Y22">
        <f t="shared" si="0"/>
        <v>13</v>
      </c>
    </row>
    <row r="23" spans="1:25" x14ac:dyDescent="0.3">
      <c r="V23">
        <f>AVERAGE(V2:V21)</f>
        <v>4.4034304648845409E-4</v>
      </c>
      <c r="W23">
        <f t="shared" ref="W23:Y23" si="1">AVERAGE(W2:W21)</f>
        <v>23.918925718766609</v>
      </c>
      <c r="X23">
        <f t="shared" si="1"/>
        <v>0.37784115515309935</v>
      </c>
      <c r="Y23">
        <f t="shared" si="1"/>
        <v>35.095763564674265</v>
      </c>
    </row>
    <row r="24" spans="1:25" x14ac:dyDescent="0.3">
      <c r="V24" s="9">
        <f>MEDIAN(V2:V21)</f>
        <v>2.8488590080989127E-4</v>
      </c>
      <c r="W24" s="9">
        <f t="shared" ref="W24:Y24" si="2">MEDIAN(W2:W21)</f>
        <v>23.414167201547048</v>
      </c>
      <c r="X24" s="10">
        <f t="shared" si="2"/>
        <v>0.37391981575107031</v>
      </c>
      <c r="Y24" s="9">
        <f t="shared" si="2"/>
        <v>39.800429283472369</v>
      </c>
    </row>
    <row r="25" spans="1:25" x14ac:dyDescent="0.3">
      <c r="V25">
        <f>STDEVA(V2:V21)</f>
        <v>5.1294236591822677E-4</v>
      </c>
      <c r="W25">
        <f t="shared" ref="W25:Y25" si="3">STDEVA(W2:W21)</f>
        <v>5.4704643220008426</v>
      </c>
      <c r="X25">
        <f t="shared" si="3"/>
        <v>1.3668922202839847E-2</v>
      </c>
      <c r="Y25">
        <f t="shared" si="3"/>
        <v>24.835306379088568</v>
      </c>
    </row>
  </sheetData>
  <autoFilter ref="A1:Y1" xr:uid="{4A11A7C9-4824-4804-85BE-15C06315FDC3}">
    <sortState xmlns:xlrd2="http://schemas.microsoft.com/office/spreadsheetml/2017/richdata2" ref="A2:Y21">
      <sortCondition ref="M1"/>
    </sortState>
  </autoFilter>
  <conditionalFormatting sqref="V2:V15">
    <cfRule type="top10" dxfId="3" priority="4" rank="2"/>
  </conditionalFormatting>
  <conditionalFormatting sqref="W2:W15">
    <cfRule type="top10" dxfId="2" priority="3" rank="2"/>
  </conditionalFormatting>
  <conditionalFormatting sqref="X2:X15">
    <cfRule type="top10" dxfId="1" priority="1" rank="2"/>
  </conditionalFormatting>
  <conditionalFormatting sqref="Y2:Y15">
    <cfRule type="top10" dxfId="0" priority="2" rank="2"/>
  </conditionalFormatting>
  <pageMargins left="0.7" right="0.7" top="0.75" bottom="0.75" header="0.3" footer="0.3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Hoja1</vt:lpstr>
      <vt:lpstr>Hoja1 (3)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MARIA FERNANDA FOLCH</dc:creator>
  <cp:lastModifiedBy>MARIA FERNANDA FOLCH</cp:lastModifiedBy>
  <dcterms:created xsi:type="dcterms:W3CDTF">2015-06-05T18:19:34Z</dcterms:created>
  <dcterms:modified xsi:type="dcterms:W3CDTF">2026-05-26T15:55:37Z</dcterms:modified>
</cp:coreProperties>
</file>