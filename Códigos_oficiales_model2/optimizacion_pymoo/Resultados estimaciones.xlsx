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_model2\optimizacion_pymoo\"/>
    </mc:Choice>
  </mc:AlternateContent>
  <xr:revisionPtr revIDLastSave="0" documentId="13_ncr:1_{B1F24242-2168-4729-8AF9-BCA6ECED501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Hoja1" sheetId="1" r:id="rId1"/>
    <sheet name="Hoja1 (2)" sheetId="2" r:id="rId2"/>
    <sheet name="Hoja1 (3)" sheetId="4" r:id="rId3"/>
    <sheet name="Prueba" sheetId="5" r:id="rId4"/>
  </sheets>
  <definedNames>
    <definedName name="_xlnm._FilterDatabase" localSheetId="1" hidden="1">'Hoja1 (2)'!$A$1:$Y$1</definedName>
    <definedName name="_xlnm._FilterDatabase" localSheetId="2" hidden="1">'Hoja1 (3)'!$A$1:$Y$1</definedName>
    <definedName name="_xlnm._FilterDatabase" localSheetId="3" hidden="1">Prueba!$A$1:$Y$1</definedName>
    <definedName name="_xlchart.v1.0" hidden="1">'Hoja1 (2)'!$V$2:$V$21</definedName>
    <definedName name="_xlchart.v1.1" hidden="1">'Hoja1 (2)'!$X$1</definedName>
    <definedName name="_xlchart.v1.10" hidden="1">'Hoja1 (2)'!$V$2:$V$21</definedName>
    <definedName name="_xlchart.v1.11" hidden="1">'Hoja1 (2)'!$V$1</definedName>
    <definedName name="_xlchart.v1.12" hidden="1">'Hoja1 (2)'!$V$2:$V$21</definedName>
    <definedName name="_xlchart.v1.13" hidden="1">'Hoja1 (2)'!$W$1</definedName>
    <definedName name="_xlchart.v1.14" hidden="1">'Hoja1 (2)'!$W$2:$W$21</definedName>
    <definedName name="_xlchart.v1.15" hidden="1">'Hoja1 (2)'!$W$1</definedName>
    <definedName name="_xlchart.v1.16" hidden="1">'Hoja1 (2)'!$W$2:$W$21</definedName>
    <definedName name="_xlchart.v1.17" hidden="1">'Hoja1 (2)'!$X$1</definedName>
    <definedName name="_xlchart.v1.18" hidden="1">'Hoja1 (2)'!$X$2:$X$21</definedName>
    <definedName name="_xlchart.v1.19" hidden="1">'Hoja1 (2)'!$W$1</definedName>
    <definedName name="_xlchart.v1.2" hidden="1">'Hoja1 (2)'!$X$2:$X$21</definedName>
    <definedName name="_xlchart.v1.20" hidden="1">'Hoja1 (2)'!$W$2:$W$21</definedName>
    <definedName name="_xlchart.v1.21" hidden="1">'Hoja1 (2)'!$X$1</definedName>
    <definedName name="_xlchart.v1.22" hidden="1">'Hoja1 (2)'!$X$2:$X$21</definedName>
    <definedName name="_xlchart.v1.23" hidden="1">'Hoja1 (2)'!$X$1</definedName>
    <definedName name="_xlchart.v1.24" hidden="1">'Hoja1 (2)'!$X$2:$X$21</definedName>
    <definedName name="_xlchart.v1.25" hidden="1">'Hoja1 (2)'!$Y$1</definedName>
    <definedName name="_xlchart.v1.26" hidden="1">'Hoja1 (2)'!$Y$2:$Y$21</definedName>
    <definedName name="_xlchart.v1.27" hidden="1">'Hoja1 (2)'!$W$1</definedName>
    <definedName name="_xlchart.v1.28" hidden="1">'Hoja1 (2)'!$W$2:$W$21</definedName>
    <definedName name="_xlchart.v1.29" hidden="1">'Hoja1 (2)'!$X$1</definedName>
    <definedName name="_xlchart.v1.3" hidden="1">'Hoja1 (2)'!$Y$1</definedName>
    <definedName name="_xlchart.v1.30" hidden="1">'Hoja1 (2)'!$X$2:$X$21</definedName>
    <definedName name="_xlchart.v1.31" hidden="1">'Hoja1 (3)'!$W$1</definedName>
    <definedName name="_xlchart.v1.32" hidden="1">'Hoja1 (3)'!$W$2:$W$21</definedName>
    <definedName name="_xlchart.v1.33" hidden="1">'Hoja1 (3)'!$W$1</definedName>
    <definedName name="_xlchart.v1.34" hidden="1">'Hoja1 (3)'!$W$2:$W$21</definedName>
    <definedName name="_xlchart.v1.35" hidden="1">'Hoja1 (3)'!$Y$1</definedName>
    <definedName name="_xlchart.v1.36" hidden="1">'Hoja1 (3)'!$Y$2:$Y$21</definedName>
    <definedName name="_xlchart.v1.37" hidden="1">'Hoja1 (3)'!$Y$1</definedName>
    <definedName name="_xlchart.v1.38" hidden="1">'Hoja1 (3)'!$Y$2:$Y$21</definedName>
    <definedName name="_xlchart.v1.39" hidden="1">'Hoja1 (3)'!$X$1</definedName>
    <definedName name="_xlchart.v1.4" hidden="1">'Hoja1 (2)'!$Y$2:$Y$21</definedName>
    <definedName name="_xlchart.v1.40" hidden="1">'Hoja1 (3)'!$X$2:$X$21</definedName>
    <definedName name="_xlchart.v1.41" hidden="1">'Hoja1 (3)'!$X$1</definedName>
    <definedName name="_xlchart.v1.42" hidden="1">'Hoja1 (3)'!$X$2:$X$21</definedName>
    <definedName name="_xlchart.v1.43" hidden="1">'Hoja1 (3)'!$V$2:$V$21</definedName>
    <definedName name="_xlchart.v1.44" hidden="1">'Hoja1 (3)'!$V$1</definedName>
    <definedName name="_xlchart.v1.45" hidden="1">'Hoja1 (3)'!$V$2:$V$21</definedName>
    <definedName name="_xlchart.v1.46" hidden="1">Prueba!$X$1</definedName>
    <definedName name="_xlchart.v1.47" hidden="1">Prueba!$X$2:$X$21</definedName>
    <definedName name="_xlchart.v1.48" hidden="1">Prueba!$Y$1</definedName>
    <definedName name="_xlchart.v1.49" hidden="1">Prueba!$Y$2:$Y$21</definedName>
    <definedName name="_xlchart.v1.5" hidden="1">'Hoja1 (2)'!$V$2:$V$21</definedName>
    <definedName name="_xlchart.v1.50" hidden="1">Prueba!$V$2:$V$21</definedName>
    <definedName name="_xlchart.v1.51" hidden="1">Prueba!$V$1</definedName>
    <definedName name="_xlchart.v1.52" hidden="1">Prueba!$V$2:$V$21</definedName>
    <definedName name="_xlchart.v1.53" hidden="1">Prueba!$Y$1</definedName>
    <definedName name="_xlchart.v1.54" hidden="1">Prueba!$Y$2:$Y$21</definedName>
    <definedName name="_xlchart.v1.55" hidden="1">Prueba!$X$1</definedName>
    <definedName name="_xlchart.v1.56" hidden="1">Prueba!$X$2:$X$21</definedName>
    <definedName name="_xlchart.v1.57" hidden="1">Prueba!$W$1</definedName>
    <definedName name="_xlchart.v1.58" hidden="1">Prueba!$W$2:$W$21</definedName>
    <definedName name="_xlchart.v1.59" hidden="1">Prueba!$W$1</definedName>
    <definedName name="_xlchart.v1.6" hidden="1">'Hoja1 (2)'!$W$1</definedName>
    <definedName name="_xlchart.v1.60" hidden="1">Prueba!$W$2:$W$21</definedName>
    <definedName name="_xlchart.v1.7" hidden="1">'Hoja1 (2)'!$W$2:$W$21</definedName>
    <definedName name="_xlchart.v1.8" hidden="1">'Hoja1 (2)'!$R$43</definedName>
    <definedName name="_xlchart.v1.9" hidden="1">'Hoja1 (2)'!$V$1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5" l="1"/>
  <c r="Y25" i="5"/>
  <c r="X25" i="5"/>
  <c r="W25" i="5"/>
  <c r="V25" i="5"/>
  <c r="Y24" i="5"/>
  <c r="X24" i="5"/>
  <c r="W24" i="5"/>
  <c r="Y23" i="5"/>
  <c r="X23" i="5"/>
  <c r="W23" i="5"/>
  <c r="W22" i="4"/>
  <c r="X22" i="4"/>
  <c r="Y22" i="4"/>
  <c r="V22" i="4"/>
  <c r="Y25" i="4"/>
  <c r="X25" i="4"/>
  <c r="W25" i="4"/>
  <c r="V25" i="4"/>
  <c r="Y24" i="4"/>
  <c r="X24" i="4"/>
  <c r="W24" i="4"/>
  <c r="V24" i="4"/>
  <c r="Y23" i="4"/>
  <c r="X23" i="4"/>
  <c r="W23" i="4"/>
  <c r="V23" i="4"/>
  <c r="W23" i="2"/>
  <c r="X23" i="2"/>
  <c r="Y23" i="2"/>
  <c r="W24" i="2"/>
  <c r="X24" i="2"/>
  <c r="Y24" i="2"/>
  <c r="W25" i="2"/>
  <c r="X25" i="2"/>
  <c r="Y25" i="2"/>
  <c r="V24" i="2"/>
  <c r="V25" i="2"/>
  <c r="V23" i="2"/>
  <c r="X23" i="1"/>
  <c r="Y23" i="1"/>
  <c r="Z23" i="1"/>
  <c r="X24" i="1"/>
  <c r="Y24" i="1"/>
  <c r="Z24" i="1"/>
  <c r="X25" i="1"/>
  <c r="Y25" i="1"/>
  <c r="Z25" i="1"/>
  <c r="W25" i="1"/>
  <c r="W24" i="1"/>
  <c r="W23" i="1"/>
  <c r="V23" i="5" l="1"/>
</calcChain>
</file>

<file path=xl/sharedStrings.xml><?xml version="1.0" encoding="utf-8"?>
<sst xmlns="http://schemas.openxmlformats.org/spreadsheetml/2006/main" count="580" uniqueCount="87">
  <si>
    <t>iteracion</t>
  </si>
  <si>
    <t>hora_fin</t>
  </si>
  <si>
    <t>duracion_s</t>
  </si>
  <si>
    <t>duracion_min</t>
  </si>
  <si>
    <t>ids_ajuste</t>
  </si>
  <si>
    <t>ids_validacion</t>
  </si>
  <si>
    <t>ids_separados</t>
  </si>
  <si>
    <t>nombres_ajuste</t>
  </si>
  <si>
    <t>nombres_validacion</t>
  </si>
  <si>
    <t>nombres_separados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</si>
  <si>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</si>
  <si>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</si>
  <si>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</si>
  <si>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</si>
  <si>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</si>
  <si>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</si>
  <si>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</si>
  <si>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</si>
  <si>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</si>
  <si>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kd0</t>
  </si>
  <si>
    <t>betaS0</t>
  </si>
  <si>
    <t>Kn</t>
  </si>
  <si>
    <t>Yxn</t>
  </si>
  <si>
    <t>Yes</t>
  </si>
  <si>
    <t>Ks</t>
  </si>
  <si>
    <t>2026-05-15 20:00:34</t>
  </si>
  <si>
    <t>2,5,6,7,9</t>
  </si>
  <si>
    <t>3,4,11,14</t>
  </si>
  <si>
    <t>Data CS 24 LOU estanque 54.xlsx | Data SY 24 LOU+VAL+FN estanque 36.xlsx | Data SY 24 VAL+STARAQ estanque 56.xlsx | Data SY 24 LOU estanque 62.xlsx | Data ME 25 Q. AGUA estanque 85.xlsx</t>
  </si>
  <si>
    <t>Data CS 25 EL BOLDO estanque 55.xlsx | Data CS 25 LOU estanque 61.xlsx | Data ME 25 AURORA + STA MARTA estanque 57.xlsx | Data CA 24 VAL estanque 59.xlsx</t>
  </si>
  <si>
    <t>2026-05-15 17:23:50</t>
  </si>
  <si>
    <t>1,5,10,13,15</t>
  </si>
  <si>
    <t>Data CS 24 EL BOLDO estanque 30.xlsx | Data SY 24 LOU+VAL+FN estanque 36.xlsx | Data ME 24 QAGUA estanque 54.xlsx | Data CA 24 VAL estanque 31.xlsx | Data CA 24 VAL estanque 62.xlsx</t>
  </si>
  <si>
    <t>2026-05-15 19:18:58</t>
  </si>
  <si>
    <t>5,6,9,13,16</t>
  </si>
  <si>
    <t>Data SY 24 LOU+VAL+FN estanque 36.xlsx | Data SY 24 VAL+STARAQ estanque 56.xlsx | Data ME 25 Q. AGUA estanque 85.xlsx | Data CA 24 VAL estanque 31.xlsx | Data CA 25 F.N. estanque 68.xlsx</t>
  </si>
  <si>
    <t>2026-05-15 19:25:47</t>
  </si>
  <si>
    <t>1,8,12,15,16</t>
  </si>
  <si>
    <t>Data CS 24 EL BOLDO estanque 30.xlsx | Data SY 25 LOU estanque 30.xlsx | Data ME 25 STA MARTA estanque 62.xlsx | Data CA 24 VAL estanque 62.xlsx | Data CA 25 F.N. estanque 68.xlsx</t>
  </si>
  <si>
    <t>2026-05-15 17:35:33</t>
  </si>
  <si>
    <t>1,5,6,8,12</t>
  </si>
  <si>
    <t>Data CS 24 EL BOLDO estanque 30.xlsx | Data SY 24 LOU+VAL+FN estanque 36.xlsx | Data SY 24 VAL+STARAQ estanque 56.xlsx | Data SY 25 LOU estanque 30.xlsx | Data ME 25 STA MARTA estanque 62.xlsx</t>
  </si>
  <si>
    <t>2026-05-15 23:59:21</t>
  </si>
  <si>
    <t>7,8,9,10,15</t>
  </si>
  <si>
    <t>Data SY 24 LOU estanque 62.xlsx | Data SY 25 LOU estanque 30.xlsx | Data ME 25 Q. AGUA estanque 85.xlsx | Data ME 24 QAGUA estanque 54.xlsx | Data CA 24 VAL estanque 62.xlsx</t>
  </si>
  <si>
    <t>2026-05-16 01:20:16</t>
  </si>
  <si>
    <t>1,6,7,12,13</t>
  </si>
  <si>
    <t>Data CS 24 EL BOLDO estanque 30.xlsx | Data SY 24 VAL+STARAQ estanque 56.xlsx | Data SY 24 LOU estanque 62.xlsx | Data ME 25 STA MARTA estanque 62.xlsx | Data CA 24 VAL estanque 31.xlsx</t>
  </si>
  <si>
    <t>2026-05-15 23:35:17</t>
  </si>
  <si>
    <t>1,7,9,12,16</t>
  </si>
  <si>
    <t>Data CS 24 EL BOLDO estanque 30.xlsx | Data SY 24 LOU estanque 62.xlsx | Data ME 25 Q. AGUA estanque 85.xlsx | Data ME 25 STA MARTA estanque 62.xlsx | Data CA 25 F.N. estanque 68.xlsx</t>
  </si>
  <si>
    <t>2026-05-16 00:20:58</t>
  </si>
  <si>
    <t>5,6,8,10,13</t>
  </si>
  <si>
    <t>Data SY 24 LOU+VAL+FN estanque 36.xlsx | Data SY 24 VAL+STARAQ estanque 56.xlsx | Data SY 25 LOU estanque 30.xlsx | Data ME 24 QAGUA estanque 54.xlsx | Data CA 24 VAL estanque 31.xlsx</t>
  </si>
  <si>
    <t>2026-05-15 21:12:08</t>
  </si>
  <si>
    <t>8,9,10,13,16</t>
  </si>
  <si>
    <t>Data SY 25 LOU estanque 30.xlsx | Data ME 25 Q. AGUA estanque 85.xlsx | Data ME 24 QAGUA estanque 54.xlsx | Data CA 24 VAL estanque 31.xlsx | Data CA 25 F.N. estanque 68.xlsx</t>
  </si>
  <si>
    <t>2026-05-25 15:11:51</t>
  </si>
  <si>
    <t>1,5,9,10,12</t>
  </si>
  <si>
    <t>Data CS 24 EL BOLDO estanque 30.xlsx | Data SY 24 LOU+VAL+FN estanque 36.xlsx | Data ME 25 Q. AGUA estanque 85.xlsx | Data ME 24 QAGUA estanque 54.xlsx | Data ME 25 STA MARTA estanque 62.xlsx</t>
  </si>
  <si>
    <t>2026-05-25 13:59:00</t>
  </si>
  <si>
    <t>5,6,7,8,10</t>
  </si>
  <si>
    <t>Data SY 24 LOU+VAL+FN estanque 36.xlsx | Data SY 24 VAL+STARAQ estanque 56.xlsx | Data SY 24 LOU estanque 62.xlsx | Data SY 25 LOU estanque 30.xlsx | Data ME 24 QAGUA estanque 54.xlsx</t>
  </si>
  <si>
    <t>2026-05-25 15:31:06</t>
  </si>
  <si>
    <t>2,6,8,10,13</t>
  </si>
  <si>
    <t>Data CS 24 LOU estanque 54.xlsx | Data SY 24 VAL+STARAQ estanque 56.xlsx | Data SY 25 LOU estanque 30.xlsx | Data ME 24 QAGUA estanque 54.xlsx | Data CA 24 VAL estanque 31.xlsx</t>
  </si>
  <si>
    <t>2026-05-25 13:11:51</t>
  </si>
  <si>
    <t>6,7,10,13,16</t>
  </si>
  <si>
    <t>Data SY 24 VAL+STARAQ estanque 56.xlsx | Data SY 24 LOU estanque 62.xlsx | Data ME 24 QAGUA estanque 54.xlsx | Data CA 24 VAL estanque 31.xlsx | Data CA 25 F.N. estanque 68.xlsx</t>
  </si>
  <si>
    <t>2026-05-25 13:24:11</t>
  </si>
  <si>
    <t>1,8,13,15,16</t>
  </si>
  <si>
    <t>Data CS 24 EL BOLDO estanque 30.xlsx | Data SY 25 LOU estanque 30.xlsx | Data CA 24 VAL estanque 31.xlsx | Data CA 24 VAL estanque 62.xlsx | Data CA 25 F.N. estanque 68.xlsx</t>
  </si>
  <si>
    <t>2026-05-25 19:53:35</t>
  </si>
  <si>
    <t>2,6,7,9,12</t>
  </si>
  <si>
    <t>Data CS 24 LOU estanque 54.xlsx | Data SY 24 VAL+STARAQ estanque 56.xlsx | Data SY 24 LOU estanque 62.xlsx | Data ME 25 Q. AGUA estanque 85.xlsx | Data ME 25 STA MARTA estanque 62.xlsx</t>
  </si>
  <si>
    <t>2026-05-25 20:33:53</t>
  </si>
  <si>
    <t>1,2,6,10,15</t>
  </si>
  <si>
    <t>Data CS 24 EL BOLDO estanque 30.xlsx | Data CS 24 LOU estanque 54.xlsx | Data SY 24 VAL+STARAQ estanque 56.xlsx | Data ME 24 QAGUA estanque 54.xlsx | Data CA 24 VAL estanque 62.xlsx</t>
  </si>
  <si>
    <t>2026-05-25 19:32:02</t>
  </si>
  <si>
    <t>5,7,13,15,16</t>
  </si>
  <si>
    <t>Data SY 24 LOU+VAL+FN estanque 36.xlsx | Data SY 24 LOU estanque 62.xlsx | Data CA 24 VAL estanque 31.xlsx | Data CA 24 VAL estanque 62.xlsx | Data CA 25 F.N. estanque 68.xlsx</t>
  </si>
  <si>
    <t>2026-05-25 19:09:45</t>
  </si>
  <si>
    <t>9,12,13,15,16</t>
  </si>
  <si>
    <t>Data ME 25 Q. AGUA estanque 85.xlsx | Data ME 25 STA MARTA estanque 62.xlsx | Data CA 24 VAL estanque 31.xlsx | Data CA 24 VAL estanque 62.xlsx | Data CA 25 F.N. estanque 68.xlsx</t>
  </si>
  <si>
    <t>2026-05-25 19:46:10</t>
  </si>
  <si>
    <t>1,6,8,10,16</t>
  </si>
  <si>
    <t>Data CS 24 EL BOLDO estanque 30.xlsx | Data SY 24 VAL+STARAQ estanque 56.xlsx | Data SY 25 LOU estanque 30.xlsx | Data ME 24 QAGUA estanque 54.xlsx | Data CA 25 F.N. estanque 68.xlsx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</si>
</sst>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0"/>
    <numFmt numFmtId="167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Kn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Kn</a:t>
          </a:r>
        </a:p>
      </cx:txPr>
    </cx:title>
    <cx:plotArea>
      <cx:plotAreaRegion>
        <cx:series layoutId="boxWhisker" uniqueId="{C6BD7690-477A-45D1-867D-425763C210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plotArea>
      <cx:plotAreaRegion>
        <cx:series layoutId="clusteredColumn" uniqueId="{00000001-BC7E-4971-A06E-D207053F9DAB}">
          <cx:tx>
            <cx:txData>
              <cx:f>_xlchart.v1.9</cx:f>
              <cx:v>Kn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F116D08-654B-4473-A6FE-BF660B39F4C3}">
          <cx:tx>
            <cx:txData>
              <cx:f>_xlchart.v1.6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plotArea>
      <cx:plotAreaRegion>
        <cx:series layoutId="clusteredColumn" uniqueId="{E326187D-54D7-4466-ACB4-35ABCDAD8652}">
          <cx:tx>
            <cx:txData>
              <cx:f>_xlchart.v1.13</cx:f>
              <cx:v>Yxn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Yes</a:t>
          </a:r>
        </a:p>
      </cx:txPr>
    </cx:title>
    <cx:plotArea>
      <cx:plotAreaRegion>
        <cx:series layoutId="boxWhisker" uniqueId="{81576D69-9D5A-4D7E-BAF0-D74822440E08}">
          <cx:tx>
            <cx:txData>
              <cx:f>_xlchart.v1.17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5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plotArea>
      <cx:plotAreaRegion>
        <cx:series layoutId="clusteredColumn" uniqueId="{B7A9DC36-E507-4C9C-9C7A-E7D5B042F55A}">
          <cx:tx>
            <cx:txData>
              <cx:f>_xlchart.v1.21</cx:f>
              <cx:v>Yes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Ks</a:t>
          </a:r>
        </a:p>
      </cx:txPr>
    </cx:title>
    <cx:plotArea>
      <cx:plotAreaRegion>
        <cx:series layoutId="boxWhisker" uniqueId="{45E274BE-57DD-456B-BB92-E707190C011F}">
          <cx:tx>
            <cx:txData>
              <cx:f>_xlchart.v1.3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plotArea>
      <cx:plotAreaRegion>
        <cx:series layoutId="clusteredColumn" uniqueId="{6A3144A3-5D7D-4603-8BC6-AB23FF9069ED}">
          <cx:tx>
            <cx:txData>
              <cx:f>_xlchart.v1.25</cx:f>
              <cx:v>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</cx:chartData>
  <cx:chart>
    <cx:title pos="t" align="ctr" overlay="0">
      <cx:tx>
        <cx:txData>
          <cx:v>Kn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Kn</a:t>
          </a:r>
        </a:p>
      </cx:txPr>
    </cx:title>
    <cx:plotArea>
      <cx:plotAreaRegion>
        <cx:series layoutId="boxWhisker" uniqueId="{C6BD7690-477A-45D1-867D-425763C210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plotArea>
      <cx:plotAreaRegion>
        <cx:series layoutId="clusteredColumn" uniqueId="{00000001-BC7E-4971-A06E-D207053F9DAB}">
          <cx:tx>
            <cx:txData>
              <cx:f>_xlchart.v1.44</cx:f>
              <cx:v>Kn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F116D08-654B-4473-A6FE-BF660B39F4C3}">
          <cx:tx>
            <cx:txData>
              <cx:f>_xlchart.v1.31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plotArea>
      <cx:plotAreaRegion>
        <cx:series layoutId="clusteredColumn" uniqueId="{E326187D-54D7-4466-ACB4-35ABCDAD8652}">
          <cx:tx>
            <cx:txData>
              <cx:f>_xlchart.v1.33</cx:f>
              <cx:v>Yxn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title pos="t" align="ctr" overlay="0">
      <cx:tx>
        <cx:txData>
          <cx:v>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Yes</a:t>
          </a:r>
        </a:p>
      </cx:txPr>
    </cx:title>
    <cx:plotArea>
      <cx:plotAreaRegion>
        <cx:series layoutId="boxWhisker" uniqueId="{81576D69-9D5A-4D7E-BAF0-D74822440E08}">
          <cx:tx>
            <cx:txData>
              <cx:f>_xlchart.v1.39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5"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plotArea>
      <cx:plotAreaRegion>
        <cx:series layoutId="clusteredColumn" uniqueId="{B7A9DC36-E507-4C9C-9C7A-E7D5B042F55A}">
          <cx:tx>
            <cx:txData>
              <cx:f>_xlchart.v1.41</cx:f>
              <cx:v>Yes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title pos="t" align="ctr" overlay="0">
      <cx:tx>
        <cx:txData>
          <cx:v>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Ks</a:t>
          </a:r>
        </a:p>
      </cx:txPr>
    </cx:title>
    <cx:plotArea>
      <cx:plotAreaRegion>
        <cx:series layoutId="boxWhisker" uniqueId="{45E274BE-57DD-456B-BB92-E707190C011F}">
          <cx:tx>
            <cx:txData>
              <cx:f>_xlchart.v1.35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plotArea>
      <cx:plotAreaRegion>
        <cx:series layoutId="clusteredColumn" uniqueId="{6A3144A3-5D7D-4603-8BC6-AB23FF9069ED}">
          <cx:tx>
            <cx:txData>
              <cx:f>_xlchart.v1.37</cx:f>
              <cx:v>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</cx:chartData>
  <cx:chart>
    <cx:title pos="t" align="ctr" overlay="0">
      <cx:tx>
        <cx:txData>
          <cx:v>Kn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Kn</a:t>
          </a:r>
        </a:p>
      </cx:txPr>
    </cx:title>
    <cx:plotArea>
      <cx:plotAreaRegion>
        <cx:series layoutId="boxWhisker" uniqueId="{C6BD7690-477A-45D1-867D-425763C210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_xlchart.v1.52</cx:f>
      </cx:numDim>
    </cx:data>
  </cx:chartData>
  <cx:chart>
    <cx:plotArea>
      <cx:plotAreaRegion>
        <cx:series layoutId="clusteredColumn" uniqueId="{00000001-BC7E-4971-A06E-D207053F9DAB}">
          <cx:tx>
            <cx:txData>
              <cx:f>_xlchart.v1.51</cx:f>
              <cx:v>Kn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F116D08-654B-4473-A6FE-BF660B39F4C3}">
          <cx:tx>
            <cx:txData>
              <cx:f>_xlchart.v1.59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</cx:chartData>
  <cx:chart>
    <cx:plotArea>
      <cx:plotAreaRegion>
        <cx:series layoutId="clusteredColumn" uniqueId="{E326187D-54D7-4466-ACB4-35ABCDAD8652}">
          <cx:tx>
            <cx:txData>
              <cx:f>_xlchart.v1.57</cx:f>
              <cx:v>Yxn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_xlchart.v1.56</cx:f>
      </cx:numDim>
    </cx:data>
  </cx:chartData>
  <cx:chart>
    <cx:title pos="t" align="ctr" overlay="0">
      <cx:tx>
        <cx:txData>
          <cx:v>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Yes</a:t>
          </a:r>
        </a:p>
      </cx:txPr>
    </cx:title>
    <cx:plotArea>
      <cx:plotAreaRegion>
        <cx:series layoutId="boxWhisker" uniqueId="{81576D69-9D5A-4D7E-BAF0-D74822440E08}">
          <cx:tx>
            <cx:txData>
              <cx:f>_xlchart.v1.55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5"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plotArea>
      <cx:plotAreaRegion>
        <cx:series layoutId="clusteredColumn" uniqueId="{B7A9DC36-E507-4C9C-9C7A-E7D5B042F55A}">
          <cx:tx>
            <cx:txData>
              <cx:f>_xlchart.v1.46</cx:f>
              <cx:v>Yes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title pos="t" align="ctr" overlay="0">
      <cx:tx>
        <cx:txData>
          <cx:v>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Ks</a:t>
          </a:r>
        </a:p>
      </cx:txPr>
    </cx:title>
    <cx:plotArea>
      <cx:plotAreaRegion>
        <cx:series layoutId="boxWhisker" uniqueId="{45E274BE-57DD-456B-BB92-E707190C011F}">
          <cx:tx>
            <cx:txData>
              <cx:f>_xlchart.v1.48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</cx:chartData>
  <cx:chart>
    <cx:plotArea>
      <cx:plotAreaRegion>
        <cx:series layoutId="clusteredColumn" uniqueId="{6A3144A3-5D7D-4603-8BC6-AB23FF9069ED}">
          <cx:tx>
            <cx:txData>
              <cx:f>_xlchart.v1.53</cx:f>
              <cx:v>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6.xml"/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24.xml"/><Relationship Id="rId3" Type="http://schemas.microsoft.com/office/2014/relationships/chartEx" Target="../charts/chartEx19.xml"/><Relationship Id="rId7" Type="http://schemas.microsoft.com/office/2014/relationships/chartEx" Target="../charts/chartEx23.xml"/><Relationship Id="rId2" Type="http://schemas.microsoft.com/office/2014/relationships/chartEx" Target="../charts/chartEx18.xml"/><Relationship Id="rId1" Type="http://schemas.microsoft.com/office/2014/relationships/chartEx" Target="../charts/chartEx17.xml"/><Relationship Id="rId6" Type="http://schemas.microsoft.com/office/2014/relationships/chartEx" Target="../charts/chartEx22.xml"/><Relationship Id="rId5" Type="http://schemas.microsoft.com/office/2014/relationships/chartEx" Target="../charts/chartEx21.xml"/><Relationship Id="rId4" Type="http://schemas.microsoft.com/office/2014/relationships/chartEx" Target="../charts/chartEx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411480</xdr:colOff>
      <xdr:row>25</xdr:row>
      <xdr:rowOff>171450</xdr:rowOff>
    </xdr:from>
    <xdr:to>
      <xdr:col>21</xdr:col>
      <xdr:colOff>228600</xdr:colOff>
      <xdr:row>40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9A40DDE-C37A-4A26-99BB-8EBE84CCC5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423291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419100</xdr:colOff>
      <xdr:row>41</xdr:row>
      <xdr:rowOff>64770</xdr:rowOff>
    </xdr:from>
    <xdr:to>
      <xdr:col>21</xdr:col>
      <xdr:colOff>312420</xdr:colOff>
      <xdr:row>56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5B6029B-530A-75CE-0010-F074DE1EFC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705231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502920</xdr:colOff>
      <xdr:row>26</xdr:row>
      <xdr:rowOff>22860</xdr:rowOff>
    </xdr:from>
    <xdr:to>
      <xdr:col>25</xdr:col>
      <xdr:colOff>320040</xdr:colOff>
      <xdr:row>41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CEB8FBC-C718-4A79-BEDE-CA866B360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7480" y="426720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449580</xdr:colOff>
      <xdr:row>41</xdr:row>
      <xdr:rowOff>106680</xdr:rowOff>
    </xdr:from>
    <xdr:to>
      <xdr:col>25</xdr:col>
      <xdr:colOff>342900</xdr:colOff>
      <xdr:row>56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97D9851-FB98-4154-9CD4-A6A06DBD30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4140" y="709422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381000</xdr:colOff>
      <xdr:row>26</xdr:row>
      <xdr:rowOff>30480</xdr:rowOff>
    </xdr:from>
    <xdr:to>
      <xdr:col>29</xdr:col>
      <xdr:colOff>198120</xdr:colOff>
      <xdr:row>41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41D68DC-0317-4926-A633-3A827A6AE6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43960" y="427482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449580</xdr:colOff>
      <xdr:row>41</xdr:row>
      <xdr:rowOff>160020</xdr:rowOff>
    </xdr:from>
    <xdr:to>
      <xdr:col>29</xdr:col>
      <xdr:colOff>342900</xdr:colOff>
      <xdr:row>56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46CC28E-9011-41EA-AC4A-ECD23A3CD9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2540" y="714756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411480</xdr:colOff>
      <xdr:row>26</xdr:row>
      <xdr:rowOff>15240</xdr:rowOff>
    </xdr:from>
    <xdr:to>
      <xdr:col>33</xdr:col>
      <xdr:colOff>228600</xdr:colOff>
      <xdr:row>41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4D4B3AEB-0932-4C54-80E3-17B78319B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12840" y="425958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457200</xdr:colOff>
      <xdr:row>41</xdr:row>
      <xdr:rowOff>167640</xdr:rowOff>
    </xdr:from>
    <xdr:to>
      <xdr:col>33</xdr:col>
      <xdr:colOff>350520</xdr:colOff>
      <xdr:row>56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BA9A20D-7E16-4697-83CA-49C8F7340E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8560" y="715518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411480</xdr:colOff>
      <xdr:row>25</xdr:row>
      <xdr:rowOff>171450</xdr:rowOff>
    </xdr:from>
    <xdr:to>
      <xdr:col>21</xdr:col>
      <xdr:colOff>228600</xdr:colOff>
      <xdr:row>40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666F37-483C-4334-AA85-B7D549F189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478155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419100</xdr:colOff>
      <xdr:row>41</xdr:row>
      <xdr:rowOff>64770</xdr:rowOff>
    </xdr:from>
    <xdr:to>
      <xdr:col>21</xdr:col>
      <xdr:colOff>312420</xdr:colOff>
      <xdr:row>56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DF2B0CE-482A-4CFC-8A4E-E857CD0A37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760095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502920</xdr:colOff>
      <xdr:row>26</xdr:row>
      <xdr:rowOff>22860</xdr:rowOff>
    </xdr:from>
    <xdr:to>
      <xdr:col>25</xdr:col>
      <xdr:colOff>320040</xdr:colOff>
      <xdr:row>41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BAEFD0A-0BE9-41C4-B4E8-14FD49E7C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7480" y="481584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449580</xdr:colOff>
      <xdr:row>41</xdr:row>
      <xdr:rowOff>106680</xdr:rowOff>
    </xdr:from>
    <xdr:to>
      <xdr:col>25</xdr:col>
      <xdr:colOff>342900</xdr:colOff>
      <xdr:row>56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10F30A0-D3CA-4D8D-9414-580708AEFD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4140" y="764286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381000</xdr:colOff>
      <xdr:row>26</xdr:row>
      <xdr:rowOff>30480</xdr:rowOff>
    </xdr:from>
    <xdr:to>
      <xdr:col>29</xdr:col>
      <xdr:colOff>198120</xdr:colOff>
      <xdr:row>41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0D9416D-DC88-49CC-96AE-6FFA53422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43960" y="482346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449580</xdr:colOff>
      <xdr:row>41</xdr:row>
      <xdr:rowOff>160020</xdr:rowOff>
    </xdr:from>
    <xdr:to>
      <xdr:col>29</xdr:col>
      <xdr:colOff>342900</xdr:colOff>
      <xdr:row>56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A0B25451-6537-4051-A568-E400BE7AC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2540" y="769620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411480</xdr:colOff>
      <xdr:row>26</xdr:row>
      <xdr:rowOff>15240</xdr:rowOff>
    </xdr:from>
    <xdr:to>
      <xdr:col>33</xdr:col>
      <xdr:colOff>228600</xdr:colOff>
      <xdr:row>41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0A26E3BA-3A54-437F-8787-61B9AEC77C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12840" y="480822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457200</xdr:colOff>
      <xdr:row>41</xdr:row>
      <xdr:rowOff>167640</xdr:rowOff>
    </xdr:from>
    <xdr:to>
      <xdr:col>33</xdr:col>
      <xdr:colOff>350520</xdr:colOff>
      <xdr:row>56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66DC1DC-8A53-4AC2-8DAD-4AFAE198A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8560" y="770382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411480</xdr:colOff>
      <xdr:row>25</xdr:row>
      <xdr:rowOff>171450</xdr:rowOff>
    </xdr:from>
    <xdr:to>
      <xdr:col>21</xdr:col>
      <xdr:colOff>228600</xdr:colOff>
      <xdr:row>40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2A9CF91-3D92-4FC0-A220-31B6FBCA44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478155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419100</xdr:colOff>
      <xdr:row>41</xdr:row>
      <xdr:rowOff>64770</xdr:rowOff>
    </xdr:from>
    <xdr:to>
      <xdr:col>21</xdr:col>
      <xdr:colOff>312420</xdr:colOff>
      <xdr:row>56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99430F8-2159-4EC3-808E-AB2E7CC2D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760095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502920</xdr:colOff>
      <xdr:row>26</xdr:row>
      <xdr:rowOff>22860</xdr:rowOff>
    </xdr:from>
    <xdr:to>
      <xdr:col>25</xdr:col>
      <xdr:colOff>320040</xdr:colOff>
      <xdr:row>41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47BB0D2-38F9-48E9-8540-EC6D4E718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7480" y="481584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449580</xdr:colOff>
      <xdr:row>41</xdr:row>
      <xdr:rowOff>106680</xdr:rowOff>
    </xdr:from>
    <xdr:to>
      <xdr:col>25</xdr:col>
      <xdr:colOff>342900</xdr:colOff>
      <xdr:row>56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7656673C-D3D5-4F4A-A61F-B77B29643C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4140" y="764286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381000</xdr:colOff>
      <xdr:row>26</xdr:row>
      <xdr:rowOff>30480</xdr:rowOff>
    </xdr:from>
    <xdr:to>
      <xdr:col>29</xdr:col>
      <xdr:colOff>198120</xdr:colOff>
      <xdr:row>41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167DB4F-8E86-4ECB-BDC3-16BB723BA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43960" y="482346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449580</xdr:colOff>
      <xdr:row>41</xdr:row>
      <xdr:rowOff>160020</xdr:rowOff>
    </xdr:from>
    <xdr:to>
      <xdr:col>29</xdr:col>
      <xdr:colOff>342900</xdr:colOff>
      <xdr:row>56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71D87FB-D961-4939-BA01-10B84A85AD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2540" y="769620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411480</xdr:colOff>
      <xdr:row>26</xdr:row>
      <xdr:rowOff>15240</xdr:rowOff>
    </xdr:from>
    <xdr:to>
      <xdr:col>33</xdr:col>
      <xdr:colOff>228600</xdr:colOff>
      <xdr:row>41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7B66A60-0146-4FF4-ADC3-0EB69F7DED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12840" y="480822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457200</xdr:colOff>
      <xdr:row>41</xdr:row>
      <xdr:rowOff>167640</xdr:rowOff>
    </xdr:from>
    <xdr:to>
      <xdr:col>33</xdr:col>
      <xdr:colOff>350520</xdr:colOff>
      <xdr:row>56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479C0B8-2743-4CD9-84FA-0269520F29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8560" y="770382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zoomScale="80" zoomScaleNormal="80" workbookViewId="0">
      <selection activeCell="W11" sqref="W11:Z11"/>
    </sheetView>
  </sheetViews>
  <sheetFormatPr baseColWidth="10" defaultColWidth="8.88671875" defaultRowHeight="14.4" x14ac:dyDescent="0.3"/>
  <cols>
    <col min="3" max="3" width="18" bestFit="1" customWidth="1"/>
    <col min="6" max="6" width="11.77734375" bestFit="1" customWidth="1"/>
  </cols>
  <sheetData>
    <row r="1" spans="1:26" ht="15" thickBot="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1</v>
      </c>
      <c r="B2" s="1">
        <v>1</v>
      </c>
      <c r="C2" s="2" t="s">
        <v>25</v>
      </c>
      <c r="D2" s="2">
        <v>11425.4872414</v>
      </c>
      <c r="E2" s="2">
        <v>190.4247873566666</v>
      </c>
      <c r="F2" s="2" t="s">
        <v>26</v>
      </c>
      <c r="G2" s="2"/>
      <c r="H2" s="2" t="s">
        <v>27</v>
      </c>
      <c r="I2" s="2" t="s">
        <v>28</v>
      </c>
      <c r="J2" s="2"/>
      <c r="K2" s="2" t="s">
        <v>29</v>
      </c>
      <c r="L2" s="2">
        <v>2.18673103026042E-2</v>
      </c>
      <c r="M2" s="2">
        <v>0</v>
      </c>
      <c r="N2" s="2">
        <v>2.18673103026042E-2</v>
      </c>
      <c r="O2" s="2" t="s">
        <v>17</v>
      </c>
      <c r="P2" s="2">
        <v>2001</v>
      </c>
      <c r="Q2" s="2">
        <v>4.3104489368415337E-4</v>
      </c>
      <c r="R2" s="2">
        <v>1E-4</v>
      </c>
      <c r="S2" s="2">
        <v>2000</v>
      </c>
      <c r="T2" s="2">
        <v>1</v>
      </c>
      <c r="U2" s="2">
        <v>1</v>
      </c>
      <c r="V2" s="2">
        <v>1</v>
      </c>
      <c r="W2" s="2">
        <v>3.260126563038609E-5</v>
      </c>
      <c r="X2" s="2">
        <v>28.102169218284331</v>
      </c>
      <c r="Y2" s="2">
        <v>0.41440658523273038</v>
      </c>
      <c r="Z2" s="3">
        <v>99.998448778700308</v>
      </c>
    </row>
    <row r="3" spans="1:26" x14ac:dyDescent="0.3">
      <c r="A3">
        <v>2</v>
      </c>
      <c r="B3" s="4">
        <v>2</v>
      </c>
      <c r="C3" s="5" t="s">
        <v>30</v>
      </c>
      <c r="D3" s="5">
        <v>2020.8023284999981</v>
      </c>
      <c r="E3" s="5">
        <v>33.6800388083333</v>
      </c>
      <c r="F3" s="5" t="s">
        <v>31</v>
      </c>
      <c r="G3" s="5"/>
      <c r="H3" s="5" t="s">
        <v>27</v>
      </c>
      <c r="I3" s="5" t="s">
        <v>32</v>
      </c>
      <c r="J3" s="5"/>
      <c r="K3" s="5" t="s">
        <v>29</v>
      </c>
      <c r="L3" s="5">
        <v>1.311751439363152E-2</v>
      </c>
      <c r="M3" s="5">
        <v>0</v>
      </c>
      <c r="N3" s="5">
        <v>1.311751439363152E-2</v>
      </c>
      <c r="O3" s="5" t="s">
        <v>17</v>
      </c>
      <c r="P3" s="5">
        <v>303</v>
      </c>
      <c r="Q3" s="5">
        <v>7.9679151233725759E-5</v>
      </c>
      <c r="R3" s="5">
        <v>1E-4</v>
      </c>
      <c r="S3" s="5">
        <v>2000</v>
      </c>
      <c r="T3" s="5">
        <v>1</v>
      </c>
      <c r="U3" s="5">
        <v>1</v>
      </c>
      <c r="V3" s="5">
        <v>1</v>
      </c>
      <c r="W3" s="5">
        <v>3.351535642361703E-4</v>
      </c>
      <c r="X3" s="5">
        <v>27.529498749844979</v>
      </c>
      <c r="Y3" s="5">
        <v>0.36403966334085158</v>
      </c>
      <c r="Z3" s="6">
        <v>65.433144660925123</v>
      </c>
    </row>
    <row r="4" spans="1:26" x14ac:dyDescent="0.3">
      <c r="A4">
        <v>3</v>
      </c>
      <c r="B4" s="4">
        <v>3</v>
      </c>
      <c r="C4" s="5" t="s">
        <v>33</v>
      </c>
      <c r="D4" s="5">
        <v>8929.6685137999993</v>
      </c>
      <c r="E4" s="5">
        <v>148.82780856333329</v>
      </c>
      <c r="F4" s="5" t="s">
        <v>34</v>
      </c>
      <c r="G4" s="5"/>
      <c r="H4" s="5" t="s">
        <v>27</v>
      </c>
      <c r="I4" s="5" t="s">
        <v>35</v>
      </c>
      <c r="J4" s="5"/>
      <c r="K4" s="5" t="s">
        <v>29</v>
      </c>
      <c r="L4" s="5">
        <v>3.3140083109282667E-2</v>
      </c>
      <c r="M4" s="5">
        <v>0</v>
      </c>
      <c r="N4" s="5">
        <v>3.3140083109282667E-2</v>
      </c>
      <c r="O4" s="5" t="s">
        <v>17</v>
      </c>
      <c r="P4" s="5">
        <v>2001</v>
      </c>
      <c r="Q4" s="5">
        <v>2.337283520942173E-3</v>
      </c>
      <c r="R4" s="5">
        <v>1E-4</v>
      </c>
      <c r="S4" s="5">
        <v>2000</v>
      </c>
      <c r="T4" s="5">
        <v>1</v>
      </c>
      <c r="U4" s="5">
        <v>1</v>
      </c>
      <c r="V4" s="5">
        <v>1</v>
      </c>
      <c r="W4" s="5">
        <v>2.8488590080989127E-4</v>
      </c>
      <c r="X4" s="5">
        <v>26.20377447804329</v>
      </c>
      <c r="Y4" s="5">
        <v>0.39467814669875972</v>
      </c>
      <c r="Z4" s="6">
        <v>51.670543518679743</v>
      </c>
    </row>
    <row r="5" spans="1:26" x14ac:dyDescent="0.3">
      <c r="A5">
        <v>4</v>
      </c>
      <c r="B5" s="4">
        <v>4</v>
      </c>
      <c r="C5" s="5" t="s">
        <v>36</v>
      </c>
      <c r="D5" s="5">
        <v>9338.5440009000013</v>
      </c>
      <c r="E5" s="5">
        <v>155.64240001499999</v>
      </c>
      <c r="F5" s="5" t="s">
        <v>37</v>
      </c>
      <c r="G5" s="5"/>
      <c r="H5" s="5" t="s">
        <v>27</v>
      </c>
      <c r="I5" s="5" t="s">
        <v>38</v>
      </c>
      <c r="J5" s="5"/>
      <c r="K5" s="5" t="s">
        <v>29</v>
      </c>
      <c r="L5" s="5">
        <v>4.3786216137261899E-2</v>
      </c>
      <c r="M5" s="5">
        <v>0</v>
      </c>
      <c r="N5" s="5">
        <v>4.3786216137261899E-2</v>
      </c>
      <c r="O5" s="5" t="s">
        <v>17</v>
      </c>
      <c r="P5" s="5">
        <v>2001</v>
      </c>
      <c r="Q5" s="5">
        <v>2.9923830094214748E-3</v>
      </c>
      <c r="R5" s="5">
        <v>1E-4</v>
      </c>
      <c r="S5" s="5">
        <v>2000</v>
      </c>
      <c r="T5" s="5">
        <v>1</v>
      </c>
      <c r="U5" s="5">
        <v>1</v>
      </c>
      <c r="V5" s="5">
        <v>1</v>
      </c>
      <c r="W5" s="5">
        <v>2.2423638817534172E-5</v>
      </c>
      <c r="X5" s="5">
        <v>31.02966681033983</v>
      </c>
      <c r="Y5" s="5">
        <v>0.37017424455872178</v>
      </c>
      <c r="Z5" s="6">
        <v>49.555432437358789</v>
      </c>
    </row>
    <row r="6" spans="1:26" ht="15" thickBot="1" x14ac:dyDescent="0.35">
      <c r="A6">
        <v>5</v>
      </c>
      <c r="B6" s="7">
        <v>5</v>
      </c>
      <c r="C6" s="8" t="s">
        <v>39</v>
      </c>
      <c r="D6" s="8">
        <v>2724.3366834999979</v>
      </c>
      <c r="E6" s="8">
        <v>45.405611391666632</v>
      </c>
      <c r="F6" s="8" t="s">
        <v>40</v>
      </c>
      <c r="G6" s="8"/>
      <c r="H6" s="8" t="s">
        <v>27</v>
      </c>
      <c r="I6" s="8" t="s">
        <v>41</v>
      </c>
      <c r="J6" s="8"/>
      <c r="K6" s="8" t="s">
        <v>29</v>
      </c>
      <c r="L6" s="8">
        <v>4.3342520554566527E-2</v>
      </c>
      <c r="M6" s="8">
        <v>0</v>
      </c>
      <c r="N6" s="8">
        <v>4.3342520554566527E-2</v>
      </c>
      <c r="O6" s="8" t="s">
        <v>17</v>
      </c>
      <c r="P6" s="8">
        <v>600</v>
      </c>
      <c r="Q6" s="8">
        <v>8.9477182306027151E-5</v>
      </c>
      <c r="R6" s="8">
        <v>1E-4</v>
      </c>
      <c r="S6" s="8">
        <v>2000</v>
      </c>
      <c r="T6" s="8">
        <v>1</v>
      </c>
      <c r="U6" s="8">
        <v>1</v>
      </c>
      <c r="V6" s="8">
        <v>1</v>
      </c>
      <c r="W6" s="8">
        <v>4.6900858284574008E-4</v>
      </c>
      <c r="X6" s="8">
        <v>38.689246272275007</v>
      </c>
      <c r="Y6" s="8">
        <v>0.36319152094533358</v>
      </c>
      <c r="Z6" s="9">
        <v>81.811964419272968</v>
      </c>
    </row>
    <row r="7" spans="1:26" x14ac:dyDescent="0.3">
      <c r="A7">
        <v>6</v>
      </c>
      <c r="B7" s="1">
        <v>1</v>
      </c>
      <c r="C7" s="2" t="s">
        <v>42</v>
      </c>
      <c r="D7" s="2">
        <v>10107.442113700001</v>
      </c>
      <c r="E7" s="2">
        <v>168.4573685616667</v>
      </c>
      <c r="F7" s="2" t="s">
        <v>43</v>
      </c>
      <c r="G7" s="2"/>
      <c r="H7" s="2" t="s">
        <v>27</v>
      </c>
      <c r="I7" s="2" t="s">
        <v>44</v>
      </c>
      <c r="J7" s="2"/>
      <c r="K7" s="2" t="s">
        <v>29</v>
      </c>
      <c r="L7" s="2">
        <v>4.2394458675017122E-2</v>
      </c>
      <c r="M7" s="2">
        <v>0</v>
      </c>
      <c r="N7" s="2">
        <v>4.2394458675017122E-2</v>
      </c>
      <c r="O7" s="2" t="s">
        <v>17</v>
      </c>
      <c r="P7" s="2">
        <v>2001</v>
      </c>
      <c r="Q7" s="2">
        <v>1.9531467257387759E-4</v>
      </c>
      <c r="R7" s="2">
        <v>1E-4</v>
      </c>
      <c r="S7" s="2">
        <v>2000</v>
      </c>
      <c r="T7" s="2">
        <v>1</v>
      </c>
      <c r="U7" s="2">
        <v>1</v>
      </c>
      <c r="V7" s="2">
        <v>1</v>
      </c>
      <c r="W7" s="2">
        <v>2.4155400000542751E-5</v>
      </c>
      <c r="X7" s="2">
        <v>25.505232106878822</v>
      </c>
      <c r="Y7" s="2">
        <v>0.37585832494496452</v>
      </c>
      <c r="Z7" s="3">
        <v>47.227592529172199</v>
      </c>
    </row>
    <row r="8" spans="1:26" x14ac:dyDescent="0.3">
      <c r="A8">
        <v>7</v>
      </c>
      <c r="B8" s="4">
        <v>2</v>
      </c>
      <c r="C8" s="5" t="s">
        <v>45</v>
      </c>
      <c r="D8" s="5">
        <v>14961.764225499999</v>
      </c>
      <c r="E8" s="5">
        <v>249.36273709166659</v>
      </c>
      <c r="F8" s="5" t="s">
        <v>46</v>
      </c>
      <c r="G8" s="5"/>
      <c r="H8" s="5" t="s">
        <v>27</v>
      </c>
      <c r="I8" s="5" t="s">
        <v>47</v>
      </c>
      <c r="J8" s="5"/>
      <c r="K8" s="5" t="s">
        <v>29</v>
      </c>
      <c r="L8" s="5">
        <v>3.103287414127125E-2</v>
      </c>
      <c r="M8" s="5">
        <v>0</v>
      </c>
      <c r="N8" s="5">
        <v>3.103287414127125E-2</v>
      </c>
      <c r="O8" s="5" t="s">
        <v>17</v>
      </c>
      <c r="P8" s="5">
        <v>2001</v>
      </c>
      <c r="Q8" s="5">
        <v>1.3711088461474509E-2</v>
      </c>
      <c r="R8" s="5">
        <v>1E-4</v>
      </c>
      <c r="S8" s="5">
        <v>2000</v>
      </c>
      <c r="T8" s="5">
        <v>1</v>
      </c>
      <c r="U8" s="5">
        <v>1</v>
      </c>
      <c r="V8" s="5">
        <v>1</v>
      </c>
      <c r="W8" s="5">
        <v>1.2152871033555519E-5</v>
      </c>
      <c r="X8" s="5">
        <v>18.036512433552069</v>
      </c>
      <c r="Y8" s="5">
        <v>0.3675098433392962</v>
      </c>
      <c r="Z8" s="6">
        <v>6.3086977381197257E-2</v>
      </c>
    </row>
    <row r="9" spans="1:26" x14ac:dyDescent="0.3">
      <c r="A9">
        <v>8</v>
      </c>
      <c r="B9" s="4">
        <v>3</v>
      </c>
      <c r="C9" s="5" t="s">
        <v>48</v>
      </c>
      <c r="D9" s="5">
        <v>8662.7927846000021</v>
      </c>
      <c r="E9" s="5">
        <v>144.37987974333339</v>
      </c>
      <c r="F9" s="5" t="s">
        <v>49</v>
      </c>
      <c r="G9" s="5"/>
      <c r="H9" s="5" t="s">
        <v>27</v>
      </c>
      <c r="I9" s="5" t="s">
        <v>50</v>
      </c>
      <c r="J9" s="5"/>
      <c r="K9" s="5" t="s">
        <v>29</v>
      </c>
      <c r="L9" s="5">
        <v>2.9675075548963922E-2</v>
      </c>
      <c r="M9" s="5">
        <v>0</v>
      </c>
      <c r="N9" s="5">
        <v>2.9675075548963922E-2</v>
      </c>
      <c r="O9" s="5" t="s">
        <v>17</v>
      </c>
      <c r="P9" s="5">
        <v>2001</v>
      </c>
      <c r="Q9" s="5">
        <v>7.8379498508963127E-4</v>
      </c>
      <c r="R9" s="5">
        <v>1E-4</v>
      </c>
      <c r="S9" s="5">
        <v>2000</v>
      </c>
      <c r="T9" s="5">
        <v>1</v>
      </c>
      <c r="U9" s="5">
        <v>1</v>
      </c>
      <c r="V9" s="5">
        <v>1</v>
      </c>
      <c r="W9" s="5">
        <v>1.000000009139998E-5</v>
      </c>
      <c r="X9" s="5">
        <v>21.019229185201951</v>
      </c>
      <c r="Y9" s="5">
        <v>0.39839472531270642</v>
      </c>
      <c r="Z9" s="6">
        <v>39.800429283472369</v>
      </c>
    </row>
    <row r="10" spans="1:26" x14ac:dyDescent="0.3">
      <c r="A10">
        <v>9</v>
      </c>
      <c r="B10" s="4">
        <v>4</v>
      </c>
      <c r="C10" s="5" t="s">
        <v>51</v>
      </c>
      <c r="D10" s="5">
        <v>11404.1302452</v>
      </c>
      <c r="E10" s="5">
        <v>190.06883741999999</v>
      </c>
      <c r="F10" s="5" t="s">
        <v>52</v>
      </c>
      <c r="G10" s="5"/>
      <c r="H10" s="5" t="s">
        <v>27</v>
      </c>
      <c r="I10" s="5" t="s">
        <v>53</v>
      </c>
      <c r="J10" s="5"/>
      <c r="K10" s="5" t="s">
        <v>29</v>
      </c>
      <c r="L10" s="5">
        <v>2.7973376622525491E-2</v>
      </c>
      <c r="M10" s="5">
        <v>0</v>
      </c>
      <c r="N10" s="5">
        <v>2.7973376622525491E-2</v>
      </c>
      <c r="O10" s="5" t="s">
        <v>17</v>
      </c>
      <c r="P10" s="5">
        <v>2001</v>
      </c>
      <c r="Q10" s="5">
        <v>1.396946249863243E-3</v>
      </c>
      <c r="R10" s="5">
        <v>1E-4</v>
      </c>
      <c r="S10" s="5">
        <v>2000</v>
      </c>
      <c r="T10" s="5">
        <v>1</v>
      </c>
      <c r="U10" s="5">
        <v>1</v>
      </c>
      <c r="V10" s="5">
        <v>1</v>
      </c>
      <c r="W10" s="5">
        <v>1.8964874766953979E-5</v>
      </c>
      <c r="X10" s="5">
        <v>34.886369485916973</v>
      </c>
      <c r="Y10" s="5">
        <v>0.37391981575107031</v>
      </c>
      <c r="Z10" s="6">
        <v>49.352649868139729</v>
      </c>
    </row>
    <row r="11" spans="1:26" ht="15" thickBot="1" x14ac:dyDescent="0.35">
      <c r="A11">
        <v>10</v>
      </c>
      <c r="B11" s="7">
        <v>5</v>
      </c>
      <c r="C11" s="8" t="s">
        <v>54</v>
      </c>
      <c r="D11" s="8">
        <v>74.244357499999751</v>
      </c>
      <c r="E11" s="8">
        <v>1.237405958333329</v>
      </c>
      <c r="F11" s="8" t="s">
        <v>55</v>
      </c>
      <c r="G11" s="8"/>
      <c r="H11" s="8" t="s">
        <v>27</v>
      </c>
      <c r="I11" s="8" t="s">
        <v>56</v>
      </c>
      <c r="J11" s="8"/>
      <c r="K11" s="8" t="s">
        <v>29</v>
      </c>
      <c r="L11" s="8">
        <v>0.96546457193531521</v>
      </c>
      <c r="M11" s="8">
        <v>0</v>
      </c>
      <c r="N11" s="8">
        <v>0.96546457193531521</v>
      </c>
      <c r="O11" s="8" t="s">
        <v>17</v>
      </c>
      <c r="P11" s="8">
        <v>34</v>
      </c>
      <c r="Q11" s="8">
        <v>9.6223146545785398E-5</v>
      </c>
      <c r="R11" s="8">
        <v>1E-4</v>
      </c>
      <c r="S11" s="8">
        <v>2000</v>
      </c>
      <c r="T11" s="8">
        <v>1</v>
      </c>
      <c r="U11" s="8">
        <v>1</v>
      </c>
      <c r="V11" s="8">
        <v>1</v>
      </c>
      <c r="W11" s="8">
        <v>64.656599036219106</v>
      </c>
      <c r="X11" s="8">
        <v>65.025607533257912</v>
      </c>
      <c r="Y11" s="8">
        <v>1.3108260234550769E-2</v>
      </c>
      <c r="Z11" s="9">
        <v>5.637987223008771E-2</v>
      </c>
    </row>
    <row r="12" spans="1:26" x14ac:dyDescent="0.3">
      <c r="A12">
        <v>11</v>
      </c>
      <c r="B12" s="1">
        <v>1</v>
      </c>
      <c r="C12" s="2" t="s">
        <v>57</v>
      </c>
      <c r="D12" s="2">
        <v>9867.2006258000001</v>
      </c>
      <c r="E12" s="2">
        <v>164.45334376333329</v>
      </c>
      <c r="F12" s="2" t="s">
        <v>58</v>
      </c>
      <c r="G12" s="2"/>
      <c r="H12" s="2" t="s">
        <v>27</v>
      </c>
      <c r="I12" s="2" t="s">
        <v>59</v>
      </c>
      <c r="J12" s="2"/>
      <c r="K12" s="2" t="s">
        <v>29</v>
      </c>
      <c r="L12" s="2">
        <v>9.2561523597760972E-2</v>
      </c>
      <c r="M12" s="2">
        <v>0</v>
      </c>
      <c r="N12" s="2">
        <v>9.2561523597760972E-2</v>
      </c>
      <c r="O12" s="2" t="s">
        <v>17</v>
      </c>
      <c r="P12" s="2">
        <v>2001</v>
      </c>
      <c r="Q12" s="2">
        <v>1.713036197733583E-4</v>
      </c>
      <c r="R12" s="2">
        <v>1E-4</v>
      </c>
      <c r="S12" s="2">
        <v>2000</v>
      </c>
      <c r="T12" s="2">
        <v>1</v>
      </c>
      <c r="U12" s="2">
        <v>1</v>
      </c>
      <c r="V12" s="2">
        <v>1</v>
      </c>
      <c r="W12" s="2">
        <v>1.005548457583035E-3</v>
      </c>
      <c r="X12" s="2">
        <v>9.9997832473379322</v>
      </c>
      <c r="Y12" s="2">
        <v>0.2990811044445793</v>
      </c>
      <c r="Z12" s="3">
        <v>2.6957544461899709E-2</v>
      </c>
    </row>
    <row r="13" spans="1:26" x14ac:dyDescent="0.3">
      <c r="A13">
        <v>12</v>
      </c>
      <c r="B13" s="4">
        <v>2</v>
      </c>
      <c r="C13" s="5" t="s">
        <v>60</v>
      </c>
      <c r="D13" s="5">
        <v>5495.7031031000006</v>
      </c>
      <c r="E13" s="5">
        <v>91.595051718333337</v>
      </c>
      <c r="F13" s="5" t="s">
        <v>61</v>
      </c>
      <c r="G13" s="5"/>
      <c r="H13" s="5" t="s">
        <v>27</v>
      </c>
      <c r="I13" s="5" t="s">
        <v>62</v>
      </c>
      <c r="J13" s="5"/>
      <c r="K13" s="5" t="s">
        <v>29</v>
      </c>
      <c r="L13" s="5">
        <v>0.1700827802993029</v>
      </c>
      <c r="M13" s="5">
        <v>0</v>
      </c>
      <c r="N13" s="5">
        <v>0.1700827802993029</v>
      </c>
      <c r="O13" s="5" t="s">
        <v>17</v>
      </c>
      <c r="P13" s="5">
        <v>916</v>
      </c>
      <c r="Q13" s="5">
        <v>9.5423336664059123E-5</v>
      </c>
      <c r="R13" s="5">
        <v>1E-4</v>
      </c>
      <c r="S13" s="5">
        <v>2000</v>
      </c>
      <c r="T13" s="5">
        <v>1</v>
      </c>
      <c r="U13" s="5">
        <v>1</v>
      </c>
      <c r="V13" s="5">
        <v>1</v>
      </c>
      <c r="W13" s="5">
        <v>1.030992217936331E-3</v>
      </c>
      <c r="X13" s="5">
        <v>9.9966014671545942</v>
      </c>
      <c r="Y13" s="5">
        <v>0.3143313623168964</v>
      </c>
      <c r="Z13" s="6">
        <v>1.0108712491911479E-2</v>
      </c>
    </row>
    <row r="14" spans="1:26" x14ac:dyDescent="0.3">
      <c r="A14">
        <v>13</v>
      </c>
      <c r="B14" s="4">
        <v>3</v>
      </c>
      <c r="C14" s="5" t="s">
        <v>63</v>
      </c>
      <c r="D14" s="5">
        <v>11021.9360953</v>
      </c>
      <c r="E14" s="5">
        <v>183.69893492166671</v>
      </c>
      <c r="F14" s="5" t="s">
        <v>64</v>
      </c>
      <c r="G14" s="5"/>
      <c r="H14" s="5" t="s">
        <v>27</v>
      </c>
      <c r="I14" s="5" t="s">
        <v>65</v>
      </c>
      <c r="J14" s="5"/>
      <c r="K14" s="5" t="s">
        <v>29</v>
      </c>
      <c r="L14" s="5">
        <v>0.19284375444317289</v>
      </c>
      <c r="M14" s="5">
        <v>0</v>
      </c>
      <c r="N14" s="5">
        <v>0.19284375444317289</v>
      </c>
      <c r="O14" s="5" t="s">
        <v>17</v>
      </c>
      <c r="P14" s="5">
        <v>2001</v>
      </c>
      <c r="Q14" s="5">
        <v>1.387033477103426E-3</v>
      </c>
      <c r="R14" s="5">
        <v>1E-4</v>
      </c>
      <c r="S14" s="5">
        <v>2000</v>
      </c>
      <c r="T14" s="5">
        <v>1</v>
      </c>
      <c r="U14" s="5">
        <v>1</v>
      </c>
      <c r="V14" s="5">
        <v>1</v>
      </c>
      <c r="W14" s="5">
        <v>1.025347386601477E-3</v>
      </c>
      <c r="X14" s="5">
        <v>9.9999816460808155</v>
      </c>
      <c r="Y14" s="5">
        <v>0.28260198691805732</v>
      </c>
      <c r="Z14" s="6">
        <v>1.0658928639979999E-2</v>
      </c>
    </row>
    <row r="15" spans="1:26" x14ac:dyDescent="0.3">
      <c r="A15">
        <v>14</v>
      </c>
      <c r="B15" s="4">
        <v>4</v>
      </c>
      <c r="C15" s="5" t="s">
        <v>66</v>
      </c>
      <c r="D15" s="5">
        <v>2667.4435393999988</v>
      </c>
      <c r="E15" s="5">
        <v>44.457392323333323</v>
      </c>
      <c r="F15" s="5" t="s">
        <v>67</v>
      </c>
      <c r="G15" s="5"/>
      <c r="H15" s="5" t="s">
        <v>27</v>
      </c>
      <c r="I15" s="5" t="s">
        <v>68</v>
      </c>
      <c r="J15" s="5"/>
      <c r="K15" s="5" t="s">
        <v>29</v>
      </c>
      <c r="L15" s="5">
        <v>0.1518043303059517</v>
      </c>
      <c r="M15" s="5">
        <v>0</v>
      </c>
      <c r="N15" s="5">
        <v>0.1518043303059517</v>
      </c>
      <c r="O15" s="5" t="s">
        <v>17</v>
      </c>
      <c r="P15" s="5">
        <v>380</v>
      </c>
      <c r="Q15" s="5">
        <v>9.9895639855102447E-5</v>
      </c>
      <c r="R15" s="5">
        <v>1E-4</v>
      </c>
      <c r="S15" s="5">
        <v>2000</v>
      </c>
      <c r="T15" s="5">
        <v>1</v>
      </c>
      <c r="U15" s="5">
        <v>1</v>
      </c>
      <c r="V15" s="5">
        <v>1</v>
      </c>
      <c r="W15" s="5">
        <v>1.003159881153951E-3</v>
      </c>
      <c r="X15" s="5">
        <v>9.999867119204275</v>
      </c>
      <c r="Y15" s="5">
        <v>0.2951972007664545</v>
      </c>
      <c r="Z15" s="6">
        <v>2.041420830888898E-2</v>
      </c>
    </row>
    <row r="16" spans="1:26" ht="15" thickBot="1" x14ac:dyDescent="0.35">
      <c r="A16">
        <v>15</v>
      </c>
      <c r="B16" s="7">
        <v>5</v>
      </c>
      <c r="C16" s="8" t="s">
        <v>69</v>
      </c>
      <c r="D16" s="8">
        <v>3407.1815898</v>
      </c>
      <c r="E16" s="8">
        <v>56.786359830000009</v>
      </c>
      <c r="F16" s="8" t="s">
        <v>70</v>
      </c>
      <c r="G16" s="8"/>
      <c r="H16" s="8" t="s">
        <v>27</v>
      </c>
      <c r="I16" s="8" t="s">
        <v>71</v>
      </c>
      <c r="J16" s="8"/>
      <c r="K16" s="8" t="s">
        <v>29</v>
      </c>
      <c r="L16" s="8">
        <v>0.15216373392657459</v>
      </c>
      <c r="M16" s="8">
        <v>0</v>
      </c>
      <c r="N16" s="8">
        <v>0.15216373392657459</v>
      </c>
      <c r="O16" s="8" t="s">
        <v>17</v>
      </c>
      <c r="P16" s="8">
        <v>613</v>
      </c>
      <c r="Q16" s="8">
        <v>9.8950665860574014E-5</v>
      </c>
      <c r="R16" s="8">
        <v>1E-4</v>
      </c>
      <c r="S16" s="8">
        <v>2000</v>
      </c>
      <c r="T16" s="8">
        <v>1</v>
      </c>
      <c r="U16" s="8">
        <v>1</v>
      </c>
      <c r="V16" s="8">
        <v>1</v>
      </c>
      <c r="W16" s="8">
        <v>1.1429382749421409E-3</v>
      </c>
      <c r="X16" s="8">
        <v>9.9999998403741674</v>
      </c>
      <c r="Y16" s="8">
        <v>0.2953416558699074</v>
      </c>
      <c r="Z16" s="9">
        <v>1.052596497902596E-2</v>
      </c>
    </row>
    <row r="17" spans="1:26" x14ac:dyDescent="0.3">
      <c r="A17">
        <v>16</v>
      </c>
      <c r="B17" s="1">
        <v>1</v>
      </c>
      <c r="C17" s="2" t="s">
        <v>72</v>
      </c>
      <c r="D17" s="2">
        <v>15471.3633562</v>
      </c>
      <c r="E17" s="2">
        <v>257.85605593666668</v>
      </c>
      <c r="F17" s="2" t="s">
        <v>73</v>
      </c>
      <c r="G17" s="2"/>
      <c r="H17" s="2" t="s">
        <v>27</v>
      </c>
      <c r="I17" s="2" t="s">
        <v>74</v>
      </c>
      <c r="J17" s="2"/>
      <c r="K17" s="2" t="s">
        <v>29</v>
      </c>
      <c r="L17" s="2">
        <v>3.4002488435168607E-2</v>
      </c>
      <c r="M17" s="2">
        <v>0</v>
      </c>
      <c r="N17" s="2">
        <v>3.4002488435168607E-2</v>
      </c>
      <c r="O17" s="2" t="s">
        <v>17</v>
      </c>
      <c r="P17" s="2">
        <v>3001</v>
      </c>
      <c r="Q17" s="2">
        <v>1.160065340932191E-4</v>
      </c>
      <c r="R17" s="2">
        <v>1E-4</v>
      </c>
      <c r="S17" s="2">
        <v>3000</v>
      </c>
      <c r="T17" s="2">
        <v>1</v>
      </c>
      <c r="U17" s="2">
        <v>1</v>
      </c>
      <c r="V17" s="2">
        <v>1</v>
      </c>
      <c r="W17" s="2">
        <v>1.000651355853685E-3</v>
      </c>
      <c r="X17" s="2">
        <v>17.682107447162458</v>
      </c>
      <c r="Y17" s="2">
        <v>0.38841017229671182</v>
      </c>
      <c r="Z17" s="3">
        <v>14.93618506337028</v>
      </c>
    </row>
    <row r="18" spans="1:26" x14ac:dyDescent="0.3">
      <c r="A18">
        <v>17</v>
      </c>
      <c r="B18" s="4">
        <v>2</v>
      </c>
      <c r="C18" s="5" t="s">
        <v>75</v>
      </c>
      <c r="D18" s="5">
        <v>17889.761337200001</v>
      </c>
      <c r="E18" s="5">
        <v>298.16268895333332</v>
      </c>
      <c r="F18" s="5" t="s">
        <v>76</v>
      </c>
      <c r="G18" s="5"/>
      <c r="H18" s="5" t="s">
        <v>27</v>
      </c>
      <c r="I18" s="5" t="s">
        <v>77</v>
      </c>
      <c r="J18" s="5"/>
      <c r="K18" s="5" t="s">
        <v>29</v>
      </c>
      <c r="L18" s="5">
        <v>2.3094880861104609E-2</v>
      </c>
      <c r="M18" s="5">
        <v>0</v>
      </c>
      <c r="N18" s="5">
        <v>2.3094880861104609E-2</v>
      </c>
      <c r="O18" s="5" t="s">
        <v>17</v>
      </c>
      <c r="P18" s="5">
        <v>3001</v>
      </c>
      <c r="Q18" s="5">
        <v>1.2644160368509799E-3</v>
      </c>
      <c r="R18" s="5">
        <v>1E-4</v>
      </c>
      <c r="S18" s="5">
        <v>3000</v>
      </c>
      <c r="T18" s="5">
        <v>1</v>
      </c>
      <c r="U18" s="5">
        <v>1</v>
      </c>
      <c r="V18" s="5">
        <v>1</v>
      </c>
      <c r="W18" s="5">
        <v>1.0008337586269931E-3</v>
      </c>
      <c r="X18" s="5">
        <v>19.601667329061218</v>
      </c>
      <c r="Y18" s="5">
        <v>0.36124594824033468</v>
      </c>
      <c r="Z18" s="6">
        <v>19.60016406926405</v>
      </c>
    </row>
    <row r="19" spans="1:26" x14ac:dyDescent="0.3">
      <c r="A19">
        <v>18</v>
      </c>
      <c r="B19" s="4">
        <v>3</v>
      </c>
      <c r="C19" s="5" t="s">
        <v>78</v>
      </c>
      <c r="D19" s="5">
        <v>14178.406961999999</v>
      </c>
      <c r="E19" s="5">
        <v>236.30678270000001</v>
      </c>
      <c r="F19" s="5" t="s">
        <v>79</v>
      </c>
      <c r="G19" s="5"/>
      <c r="H19" s="5" t="s">
        <v>27</v>
      </c>
      <c r="I19" s="5" t="s">
        <v>80</v>
      </c>
      <c r="J19" s="5"/>
      <c r="K19" s="5" t="s">
        <v>29</v>
      </c>
      <c r="L19" s="5">
        <v>1.8587351559349461E-2</v>
      </c>
      <c r="M19" s="5">
        <v>0</v>
      </c>
      <c r="N19" s="5">
        <v>1.8587351559349461E-2</v>
      </c>
      <c r="O19" s="5" t="s">
        <v>17</v>
      </c>
      <c r="P19" s="5">
        <v>3001</v>
      </c>
      <c r="Q19" s="5">
        <v>3.6184124588156201E-3</v>
      </c>
      <c r="R19" s="5">
        <v>1E-4</v>
      </c>
      <c r="S19" s="5">
        <v>3000</v>
      </c>
      <c r="T19" s="5">
        <v>1</v>
      </c>
      <c r="U19" s="5">
        <v>1</v>
      </c>
      <c r="V19" s="5">
        <v>1</v>
      </c>
      <c r="W19" s="5">
        <v>2.4123827886609662E-3</v>
      </c>
      <c r="X19" s="5">
        <v>19.252693145524649</v>
      </c>
      <c r="Y19" s="5">
        <v>0.40080816565356953</v>
      </c>
      <c r="Z19" s="6">
        <v>10.6680880074773</v>
      </c>
    </row>
    <row r="20" spans="1:26" x14ac:dyDescent="0.3">
      <c r="A20">
        <v>19</v>
      </c>
      <c r="B20" s="4">
        <v>4</v>
      </c>
      <c r="C20" s="5" t="s">
        <v>81</v>
      </c>
      <c r="D20" s="5">
        <v>12841.259337400001</v>
      </c>
      <c r="E20" s="5">
        <v>214.02098895666671</v>
      </c>
      <c r="F20" s="5" t="s">
        <v>82</v>
      </c>
      <c r="G20" s="5"/>
      <c r="H20" s="5" t="s">
        <v>27</v>
      </c>
      <c r="I20" s="5" t="s">
        <v>83</v>
      </c>
      <c r="J20" s="5"/>
      <c r="K20" s="5" t="s">
        <v>29</v>
      </c>
      <c r="L20" s="5">
        <v>3.4816466573594891E-2</v>
      </c>
      <c r="M20" s="5">
        <v>0</v>
      </c>
      <c r="N20" s="5">
        <v>3.4816466573594891E-2</v>
      </c>
      <c r="O20" s="5" t="s">
        <v>17</v>
      </c>
      <c r="P20" s="5">
        <v>3001</v>
      </c>
      <c r="Q20" s="5">
        <v>9.1055496747257704E-4</v>
      </c>
      <c r="R20" s="5">
        <v>1E-4</v>
      </c>
      <c r="S20" s="5">
        <v>3000</v>
      </c>
      <c r="T20" s="5">
        <v>1</v>
      </c>
      <c r="U20" s="5">
        <v>1</v>
      </c>
      <c r="V20" s="5">
        <v>1</v>
      </c>
      <c r="W20" s="5">
        <v>1.0335477701724661E-3</v>
      </c>
      <c r="X20" s="5">
        <v>18.682946752608238</v>
      </c>
      <c r="Y20" s="5">
        <v>0.37300020271814849</v>
      </c>
      <c r="Z20" s="6">
        <v>13.75091922923596</v>
      </c>
    </row>
    <row r="21" spans="1:26" ht="15" thickBot="1" x14ac:dyDescent="0.35">
      <c r="A21">
        <v>20</v>
      </c>
      <c r="B21" s="7">
        <v>5</v>
      </c>
      <c r="C21" s="8" t="s">
        <v>84</v>
      </c>
      <c r="D21" s="8">
        <v>15026.699616899999</v>
      </c>
      <c r="E21" s="8">
        <v>250.44499361499999</v>
      </c>
      <c r="F21" s="8" t="s">
        <v>85</v>
      </c>
      <c r="G21" s="8"/>
      <c r="H21" s="8" t="s">
        <v>27</v>
      </c>
      <c r="I21" s="8" t="s">
        <v>86</v>
      </c>
      <c r="J21" s="8"/>
      <c r="K21" s="8" t="s">
        <v>29</v>
      </c>
      <c r="L21" s="8">
        <v>4.0462251333287368E-2</v>
      </c>
      <c r="M21" s="8">
        <v>0</v>
      </c>
      <c r="N21" s="8">
        <v>4.0462251333287368E-2</v>
      </c>
      <c r="O21" s="8" t="s">
        <v>17</v>
      </c>
      <c r="P21" s="8">
        <v>3001</v>
      </c>
      <c r="Q21" s="8">
        <v>1.9559020197923928E-3</v>
      </c>
      <c r="R21" s="8">
        <v>1E-4</v>
      </c>
      <c r="S21" s="8">
        <v>3000</v>
      </c>
      <c r="T21" s="8">
        <v>1</v>
      </c>
      <c r="U21" s="8">
        <v>1</v>
      </c>
      <c r="V21" s="8">
        <v>1</v>
      </c>
      <c r="W21" s="8">
        <v>1.480080621464585E-3</v>
      </c>
      <c r="X21" s="8">
        <v>23.414167201547048</v>
      </c>
      <c r="Y21" s="8">
        <v>0.38070424318982288</v>
      </c>
      <c r="Z21" s="9">
        <v>12.3747262770157</v>
      </c>
    </row>
    <row r="23" spans="1:26" x14ac:dyDescent="0.3">
      <c r="W23">
        <f>AVERAGE(W2:W21)</f>
        <v>3.2334971932415164</v>
      </c>
      <c r="X23">
        <f t="shared" ref="X23:Z23" si="0">AVERAGE(X2:X21)</f>
        <v>23.23285607348253</v>
      </c>
      <c r="Y23">
        <f t="shared" si="0"/>
        <v>0.3413001586386733</v>
      </c>
      <c r="Z23">
        <f t="shared" si="0"/>
        <v>27.818921017528872</v>
      </c>
    </row>
    <row r="24" spans="1:26" x14ac:dyDescent="0.3">
      <c r="W24">
        <f>MEDIAN(W2:W21)</f>
        <v>1.0007425572403392E-3</v>
      </c>
      <c r="X24">
        <f t="shared" ref="X24:Z24" si="1">MEDIAN(X2:X21)</f>
        <v>20.310448257131583</v>
      </c>
      <c r="Y24">
        <f t="shared" si="1"/>
        <v>0.36884204394900899</v>
      </c>
      <c r="Z24">
        <f t="shared" si="1"/>
        <v>14.34355214630312</v>
      </c>
    </row>
    <row r="25" spans="1:26" x14ac:dyDescent="0.3">
      <c r="W25">
        <f>STDEVA(W2:W21)</f>
        <v>14.457498025322868</v>
      </c>
      <c r="X25">
        <f t="shared" ref="X25:Z25" si="2">STDEVA(X2:X21)</f>
        <v>13.031150775977187</v>
      </c>
      <c r="Y25">
        <f t="shared" si="2"/>
        <v>8.6708109593388996E-2</v>
      </c>
      <c r="Z25">
        <f t="shared" si="2"/>
        <v>30.724257905513888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A7C9-4824-4804-85BE-15C06315FDC3}">
  <dimension ref="A1:Y25"/>
  <sheetViews>
    <sheetView topLeftCell="M1" zoomScale="90" zoomScaleNormal="90" workbookViewId="0">
      <selection activeCell="V2" sqref="V2:Y21"/>
    </sheetView>
  </sheetViews>
  <sheetFormatPr baseColWidth="10" defaultColWidth="8.88671875" defaultRowHeight="14.4" x14ac:dyDescent="0.3"/>
  <cols>
    <col min="2" max="2" width="18" bestFit="1" customWidth="1"/>
    <col min="5" max="5" width="11.77734375" bestFit="1" customWidth="1"/>
  </cols>
  <sheetData>
    <row r="1" spans="1:2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</v>
      </c>
      <c r="B2" s="2" t="s">
        <v>30</v>
      </c>
      <c r="C2" s="2">
        <v>2020.8023284999981</v>
      </c>
      <c r="D2" s="2">
        <v>33.6800388083333</v>
      </c>
      <c r="E2" s="2" t="s">
        <v>31</v>
      </c>
      <c r="F2" s="2"/>
      <c r="G2" s="2" t="s">
        <v>27</v>
      </c>
      <c r="H2" s="2" t="s">
        <v>32</v>
      </c>
      <c r="I2" s="2"/>
      <c r="J2" s="2" t="s">
        <v>29</v>
      </c>
      <c r="K2" s="2">
        <v>1.311751439363152E-2</v>
      </c>
      <c r="L2" s="2">
        <v>0</v>
      </c>
      <c r="M2" s="2">
        <v>1.311751439363152E-2</v>
      </c>
      <c r="N2" s="2" t="s">
        <v>17</v>
      </c>
      <c r="O2" s="2">
        <v>303</v>
      </c>
      <c r="P2" s="2">
        <v>7.9679151233725759E-5</v>
      </c>
      <c r="Q2" s="2">
        <v>1E-4</v>
      </c>
      <c r="R2" s="2">
        <v>2000</v>
      </c>
      <c r="S2" s="2">
        <v>1</v>
      </c>
      <c r="T2" s="2">
        <v>1</v>
      </c>
      <c r="U2" s="2">
        <v>1</v>
      </c>
      <c r="V2" s="2">
        <v>3.351535642361703E-4</v>
      </c>
      <c r="W2" s="2">
        <v>27.529498749844979</v>
      </c>
      <c r="X2" s="2">
        <v>0.36403966334085158</v>
      </c>
      <c r="Y2" s="3">
        <v>65.433144660925123</v>
      </c>
    </row>
    <row r="3" spans="1:25" x14ac:dyDescent="0.3">
      <c r="A3" s="4">
        <v>18</v>
      </c>
      <c r="B3" s="5" t="s">
        <v>78</v>
      </c>
      <c r="C3" s="5">
        <v>14178.406961999999</v>
      </c>
      <c r="D3" s="5">
        <v>236.30678270000001</v>
      </c>
      <c r="E3" s="5" t="s">
        <v>79</v>
      </c>
      <c r="F3" s="5"/>
      <c r="G3" s="5" t="s">
        <v>27</v>
      </c>
      <c r="H3" s="5" t="s">
        <v>80</v>
      </c>
      <c r="I3" s="5"/>
      <c r="J3" s="5" t="s">
        <v>29</v>
      </c>
      <c r="K3" s="5">
        <v>1.8587351559349461E-2</v>
      </c>
      <c r="L3" s="5">
        <v>0</v>
      </c>
      <c r="M3" s="5">
        <v>1.8587351559349461E-2</v>
      </c>
      <c r="N3" s="5" t="s">
        <v>17</v>
      </c>
      <c r="O3" s="5">
        <v>3001</v>
      </c>
      <c r="P3" s="5">
        <v>3.6184124588156201E-3</v>
      </c>
      <c r="Q3" s="5">
        <v>1E-4</v>
      </c>
      <c r="R3" s="5">
        <v>3000</v>
      </c>
      <c r="S3" s="5">
        <v>1</v>
      </c>
      <c r="T3" s="5">
        <v>1</v>
      </c>
      <c r="U3" s="5">
        <v>1</v>
      </c>
      <c r="V3" s="5">
        <v>2.4123827886609662E-3</v>
      </c>
      <c r="W3" s="5">
        <v>19.252693145524649</v>
      </c>
      <c r="X3" s="5">
        <v>0.40080816565356953</v>
      </c>
      <c r="Y3" s="6">
        <v>10.6680880074773</v>
      </c>
    </row>
    <row r="4" spans="1:25" x14ac:dyDescent="0.3">
      <c r="A4" s="4">
        <v>1</v>
      </c>
      <c r="B4" s="5" t="s">
        <v>25</v>
      </c>
      <c r="C4" s="5">
        <v>11425.4872414</v>
      </c>
      <c r="D4" s="5">
        <v>190.4247873566666</v>
      </c>
      <c r="E4" s="5" t="s">
        <v>26</v>
      </c>
      <c r="F4" s="5"/>
      <c r="G4" s="5" t="s">
        <v>27</v>
      </c>
      <c r="H4" s="5" t="s">
        <v>28</v>
      </c>
      <c r="I4" s="5"/>
      <c r="J4" s="5" t="s">
        <v>29</v>
      </c>
      <c r="K4" s="5">
        <v>2.18673103026042E-2</v>
      </c>
      <c r="L4" s="5">
        <v>0</v>
      </c>
      <c r="M4" s="5">
        <v>2.18673103026042E-2</v>
      </c>
      <c r="N4" s="5" t="s">
        <v>17</v>
      </c>
      <c r="O4" s="5">
        <v>2001</v>
      </c>
      <c r="P4" s="5">
        <v>4.3104489368415337E-4</v>
      </c>
      <c r="Q4" s="5">
        <v>1E-4</v>
      </c>
      <c r="R4" s="5">
        <v>2000</v>
      </c>
      <c r="S4" s="5">
        <v>1</v>
      </c>
      <c r="T4" s="5">
        <v>1</v>
      </c>
      <c r="U4" s="5">
        <v>1</v>
      </c>
      <c r="V4" s="5">
        <v>3.260126563038609E-5</v>
      </c>
      <c r="W4" s="5">
        <v>28.102169218284331</v>
      </c>
      <c r="X4" s="5">
        <v>0.41440658523273038</v>
      </c>
      <c r="Y4" s="6">
        <v>99.998448778700308</v>
      </c>
    </row>
    <row r="5" spans="1:25" x14ac:dyDescent="0.3">
      <c r="A5" s="4">
        <v>17</v>
      </c>
      <c r="B5" s="5" t="s">
        <v>75</v>
      </c>
      <c r="C5" s="5">
        <v>17889.761337200001</v>
      </c>
      <c r="D5" s="5">
        <v>298.16268895333332</v>
      </c>
      <c r="E5" s="5" t="s">
        <v>76</v>
      </c>
      <c r="F5" s="5"/>
      <c r="G5" s="5" t="s">
        <v>27</v>
      </c>
      <c r="H5" s="5" t="s">
        <v>77</v>
      </c>
      <c r="I5" s="5"/>
      <c r="J5" s="5" t="s">
        <v>29</v>
      </c>
      <c r="K5" s="5">
        <v>2.3094880861104609E-2</v>
      </c>
      <c r="L5" s="5">
        <v>0</v>
      </c>
      <c r="M5" s="5">
        <v>2.3094880861104609E-2</v>
      </c>
      <c r="N5" s="5" t="s">
        <v>17</v>
      </c>
      <c r="O5" s="5">
        <v>3001</v>
      </c>
      <c r="P5" s="5">
        <v>1.2644160368509799E-3</v>
      </c>
      <c r="Q5" s="5">
        <v>1E-4</v>
      </c>
      <c r="R5" s="5">
        <v>3000</v>
      </c>
      <c r="S5" s="5">
        <v>1</v>
      </c>
      <c r="T5" s="5">
        <v>1</v>
      </c>
      <c r="U5" s="5">
        <v>1</v>
      </c>
      <c r="V5" s="5">
        <v>1.0008337586269931E-3</v>
      </c>
      <c r="W5" s="5">
        <v>19.601667329061218</v>
      </c>
      <c r="X5" s="5">
        <v>0.36124594824033468</v>
      </c>
      <c r="Y5" s="6">
        <v>19.60016406926405</v>
      </c>
    </row>
    <row r="6" spans="1:25" ht="15" thickBot="1" x14ac:dyDescent="0.35">
      <c r="A6" s="7">
        <v>9</v>
      </c>
      <c r="B6" s="8" t="s">
        <v>51</v>
      </c>
      <c r="C6" s="8">
        <v>11404.1302452</v>
      </c>
      <c r="D6" s="8">
        <v>190.06883741999999</v>
      </c>
      <c r="E6" s="8" t="s">
        <v>52</v>
      </c>
      <c r="F6" s="8"/>
      <c r="G6" s="8" t="s">
        <v>27</v>
      </c>
      <c r="H6" s="8" t="s">
        <v>53</v>
      </c>
      <c r="I6" s="8"/>
      <c r="J6" s="8" t="s">
        <v>29</v>
      </c>
      <c r="K6" s="8">
        <v>2.7973376622525491E-2</v>
      </c>
      <c r="L6" s="8">
        <v>0</v>
      </c>
      <c r="M6" s="8">
        <v>2.7973376622525491E-2</v>
      </c>
      <c r="N6" s="8" t="s">
        <v>17</v>
      </c>
      <c r="O6" s="8">
        <v>2001</v>
      </c>
      <c r="P6" s="8">
        <v>1.396946249863243E-3</v>
      </c>
      <c r="Q6" s="8">
        <v>1E-4</v>
      </c>
      <c r="R6" s="8">
        <v>2000</v>
      </c>
      <c r="S6" s="8">
        <v>1</v>
      </c>
      <c r="T6" s="8">
        <v>1</v>
      </c>
      <c r="U6" s="8">
        <v>1</v>
      </c>
      <c r="V6" s="8">
        <v>1.8964874766953979E-5</v>
      </c>
      <c r="W6" s="8">
        <v>34.886369485916973</v>
      </c>
      <c r="X6" s="8">
        <v>0.37391981575107031</v>
      </c>
      <c r="Y6" s="9">
        <v>49.352649868139729</v>
      </c>
    </row>
    <row r="7" spans="1:25" x14ac:dyDescent="0.3">
      <c r="A7" s="1">
        <v>8</v>
      </c>
      <c r="B7" s="2" t="s">
        <v>48</v>
      </c>
      <c r="C7" s="2">
        <v>8662.7927846000021</v>
      </c>
      <c r="D7" s="2">
        <v>144.37987974333339</v>
      </c>
      <c r="E7" s="2" t="s">
        <v>49</v>
      </c>
      <c r="F7" s="2"/>
      <c r="G7" s="2" t="s">
        <v>27</v>
      </c>
      <c r="H7" s="2" t="s">
        <v>50</v>
      </c>
      <c r="I7" s="2"/>
      <c r="J7" s="2" t="s">
        <v>29</v>
      </c>
      <c r="K7" s="2">
        <v>2.9675075548963922E-2</v>
      </c>
      <c r="L7" s="2">
        <v>0</v>
      </c>
      <c r="M7" s="2">
        <v>2.9675075548963922E-2</v>
      </c>
      <c r="N7" s="2" t="s">
        <v>17</v>
      </c>
      <c r="O7" s="2">
        <v>2001</v>
      </c>
      <c r="P7" s="2">
        <v>7.8379498508963127E-4</v>
      </c>
      <c r="Q7" s="2">
        <v>1E-4</v>
      </c>
      <c r="R7" s="2">
        <v>2000</v>
      </c>
      <c r="S7" s="2">
        <v>1</v>
      </c>
      <c r="T7" s="2">
        <v>1</v>
      </c>
      <c r="U7" s="2">
        <v>1</v>
      </c>
      <c r="V7" s="2">
        <v>1.000000009139998E-5</v>
      </c>
      <c r="W7" s="2">
        <v>21.019229185201951</v>
      </c>
      <c r="X7" s="2">
        <v>0.39839472531270642</v>
      </c>
      <c r="Y7" s="3">
        <v>39.800429283472369</v>
      </c>
    </row>
    <row r="8" spans="1:25" x14ac:dyDescent="0.3">
      <c r="A8" s="4">
        <v>7</v>
      </c>
      <c r="B8" s="5" t="s">
        <v>45</v>
      </c>
      <c r="C8" s="5">
        <v>14961.764225499999</v>
      </c>
      <c r="D8" s="5">
        <v>249.36273709166659</v>
      </c>
      <c r="E8" s="5" t="s">
        <v>46</v>
      </c>
      <c r="F8" s="5"/>
      <c r="G8" s="5" t="s">
        <v>27</v>
      </c>
      <c r="H8" s="5" t="s">
        <v>47</v>
      </c>
      <c r="I8" s="5"/>
      <c r="J8" s="5" t="s">
        <v>29</v>
      </c>
      <c r="K8" s="5">
        <v>3.103287414127125E-2</v>
      </c>
      <c r="L8" s="5">
        <v>0</v>
      </c>
      <c r="M8" s="5">
        <v>3.103287414127125E-2</v>
      </c>
      <c r="N8" s="5" t="s">
        <v>17</v>
      </c>
      <c r="O8" s="5">
        <v>2001</v>
      </c>
      <c r="P8" s="5">
        <v>1.3711088461474509E-2</v>
      </c>
      <c r="Q8" s="5">
        <v>1E-4</v>
      </c>
      <c r="R8" s="5">
        <v>2000</v>
      </c>
      <c r="S8" s="5">
        <v>1</v>
      </c>
      <c r="T8" s="5">
        <v>1</v>
      </c>
      <c r="U8" s="5">
        <v>1</v>
      </c>
      <c r="V8" s="5">
        <v>1.2152871033555519E-5</v>
      </c>
      <c r="W8" s="5">
        <v>18.036512433552069</v>
      </c>
      <c r="X8" s="5">
        <v>0.3675098433392962</v>
      </c>
      <c r="Y8" s="6">
        <v>6.3086977381197257E-2</v>
      </c>
    </row>
    <row r="9" spans="1:25" x14ac:dyDescent="0.3">
      <c r="A9" s="4">
        <v>3</v>
      </c>
      <c r="B9" s="5" t="s">
        <v>33</v>
      </c>
      <c r="C9" s="5">
        <v>8929.6685137999993</v>
      </c>
      <c r="D9" s="5">
        <v>148.82780856333329</v>
      </c>
      <c r="E9" s="5" t="s">
        <v>34</v>
      </c>
      <c r="F9" s="5"/>
      <c r="G9" s="5" t="s">
        <v>27</v>
      </c>
      <c r="H9" s="5" t="s">
        <v>35</v>
      </c>
      <c r="I9" s="5"/>
      <c r="J9" s="5" t="s">
        <v>29</v>
      </c>
      <c r="K9" s="5">
        <v>3.3140083109282667E-2</v>
      </c>
      <c r="L9" s="5">
        <v>0</v>
      </c>
      <c r="M9" s="5">
        <v>3.3140083109282667E-2</v>
      </c>
      <c r="N9" s="5" t="s">
        <v>17</v>
      </c>
      <c r="O9" s="5">
        <v>2001</v>
      </c>
      <c r="P9" s="5">
        <v>2.337283520942173E-3</v>
      </c>
      <c r="Q9" s="5">
        <v>1E-4</v>
      </c>
      <c r="R9" s="5">
        <v>2000</v>
      </c>
      <c r="S9" s="5">
        <v>1</v>
      </c>
      <c r="T9" s="5">
        <v>1</v>
      </c>
      <c r="U9" s="5">
        <v>1</v>
      </c>
      <c r="V9" s="5">
        <v>2.8488590080989127E-4</v>
      </c>
      <c r="W9" s="5">
        <v>26.20377447804329</v>
      </c>
      <c r="X9" s="5">
        <v>0.39467814669875972</v>
      </c>
      <c r="Y9" s="6">
        <v>51.670543518679743</v>
      </c>
    </row>
    <row r="10" spans="1:25" x14ac:dyDescent="0.3">
      <c r="A10" s="4">
        <v>16</v>
      </c>
      <c r="B10" s="5" t="s">
        <v>72</v>
      </c>
      <c r="C10" s="5">
        <v>15471.3633562</v>
      </c>
      <c r="D10" s="5">
        <v>257.85605593666668</v>
      </c>
      <c r="E10" s="5" t="s">
        <v>73</v>
      </c>
      <c r="F10" s="5"/>
      <c r="G10" s="5" t="s">
        <v>27</v>
      </c>
      <c r="H10" s="5" t="s">
        <v>74</v>
      </c>
      <c r="I10" s="5"/>
      <c r="J10" s="5" t="s">
        <v>29</v>
      </c>
      <c r="K10" s="5">
        <v>3.4002488435168607E-2</v>
      </c>
      <c r="L10" s="5">
        <v>0</v>
      </c>
      <c r="M10" s="5">
        <v>3.4002488435168607E-2</v>
      </c>
      <c r="N10" s="5" t="s">
        <v>17</v>
      </c>
      <c r="O10" s="5">
        <v>3001</v>
      </c>
      <c r="P10" s="5">
        <v>1.160065340932191E-4</v>
      </c>
      <c r="Q10" s="5">
        <v>1E-4</v>
      </c>
      <c r="R10" s="5">
        <v>3000</v>
      </c>
      <c r="S10" s="5">
        <v>1</v>
      </c>
      <c r="T10" s="5">
        <v>1</v>
      </c>
      <c r="U10" s="5">
        <v>1</v>
      </c>
      <c r="V10" s="5">
        <v>1.000651355853685E-3</v>
      </c>
      <c r="W10" s="5">
        <v>17.682107447162458</v>
      </c>
      <c r="X10" s="5">
        <v>0.38841017229671182</v>
      </c>
      <c r="Y10" s="6">
        <v>14.93618506337028</v>
      </c>
    </row>
    <row r="11" spans="1:25" ht="15" thickBot="1" x14ac:dyDescent="0.35">
      <c r="A11" s="7">
        <v>19</v>
      </c>
      <c r="B11" s="8" t="s">
        <v>81</v>
      </c>
      <c r="C11" s="8">
        <v>12841.259337400001</v>
      </c>
      <c r="D11" s="8">
        <v>214.02098895666671</v>
      </c>
      <c r="E11" s="8" t="s">
        <v>82</v>
      </c>
      <c r="F11" s="8"/>
      <c r="G11" s="8" t="s">
        <v>27</v>
      </c>
      <c r="H11" s="8" t="s">
        <v>83</v>
      </c>
      <c r="I11" s="8"/>
      <c r="J11" s="8" t="s">
        <v>29</v>
      </c>
      <c r="K11" s="8">
        <v>3.4816466573594891E-2</v>
      </c>
      <c r="L11" s="8">
        <v>0</v>
      </c>
      <c r="M11" s="8">
        <v>3.4816466573594891E-2</v>
      </c>
      <c r="N11" s="8" t="s">
        <v>17</v>
      </c>
      <c r="O11" s="8">
        <v>3001</v>
      </c>
      <c r="P11" s="8">
        <v>9.1055496747257704E-4</v>
      </c>
      <c r="Q11" s="8">
        <v>1E-4</v>
      </c>
      <c r="R11" s="8">
        <v>3000</v>
      </c>
      <c r="S11" s="8">
        <v>1</v>
      </c>
      <c r="T11" s="8">
        <v>1</v>
      </c>
      <c r="U11" s="8">
        <v>1</v>
      </c>
      <c r="V11" s="8">
        <v>1.0335477701724661E-3</v>
      </c>
      <c r="W11" s="8">
        <v>18.682946752608238</v>
      </c>
      <c r="X11" s="8">
        <v>0.37300020271814849</v>
      </c>
      <c r="Y11" s="9">
        <v>13.75091922923596</v>
      </c>
    </row>
    <row r="12" spans="1:25" x14ac:dyDescent="0.3">
      <c r="A12" s="1">
        <v>20</v>
      </c>
      <c r="B12" s="2" t="s">
        <v>84</v>
      </c>
      <c r="C12" s="2">
        <v>15026.699616899999</v>
      </c>
      <c r="D12" s="2">
        <v>250.44499361499999</v>
      </c>
      <c r="E12" s="2" t="s">
        <v>85</v>
      </c>
      <c r="F12" s="2"/>
      <c r="G12" s="2" t="s">
        <v>27</v>
      </c>
      <c r="H12" s="2" t="s">
        <v>86</v>
      </c>
      <c r="I12" s="2"/>
      <c r="J12" s="2" t="s">
        <v>29</v>
      </c>
      <c r="K12" s="2">
        <v>4.0462251333287368E-2</v>
      </c>
      <c r="L12" s="2">
        <v>0</v>
      </c>
      <c r="M12" s="2">
        <v>4.0462251333287368E-2</v>
      </c>
      <c r="N12" s="2" t="s">
        <v>17</v>
      </c>
      <c r="O12" s="2">
        <v>3001</v>
      </c>
      <c r="P12" s="2">
        <v>1.9559020197923928E-3</v>
      </c>
      <c r="Q12" s="2">
        <v>1E-4</v>
      </c>
      <c r="R12" s="2">
        <v>3000</v>
      </c>
      <c r="S12" s="2">
        <v>1</v>
      </c>
      <c r="T12" s="2">
        <v>1</v>
      </c>
      <c r="U12" s="2">
        <v>1</v>
      </c>
      <c r="V12" s="2">
        <v>1.480080621464585E-3</v>
      </c>
      <c r="W12" s="2">
        <v>23.414167201547048</v>
      </c>
      <c r="X12" s="2">
        <v>0.38070424318982288</v>
      </c>
      <c r="Y12" s="3">
        <v>12.3747262770157</v>
      </c>
    </row>
    <row r="13" spans="1:25" x14ac:dyDescent="0.3">
      <c r="A13" s="4">
        <v>6</v>
      </c>
      <c r="B13" s="5" t="s">
        <v>42</v>
      </c>
      <c r="C13" s="5">
        <v>10107.442113700001</v>
      </c>
      <c r="D13" s="5">
        <v>168.4573685616667</v>
      </c>
      <c r="E13" s="5" t="s">
        <v>43</v>
      </c>
      <c r="F13" s="5"/>
      <c r="G13" s="5" t="s">
        <v>27</v>
      </c>
      <c r="H13" s="5" t="s">
        <v>44</v>
      </c>
      <c r="I13" s="5"/>
      <c r="J13" s="5" t="s">
        <v>29</v>
      </c>
      <c r="K13" s="5">
        <v>4.2394458675017122E-2</v>
      </c>
      <c r="L13" s="5">
        <v>0</v>
      </c>
      <c r="M13" s="5">
        <v>4.2394458675017122E-2</v>
      </c>
      <c r="N13" s="5" t="s">
        <v>17</v>
      </c>
      <c r="O13" s="5">
        <v>2001</v>
      </c>
      <c r="P13" s="5">
        <v>1.9531467257387759E-4</v>
      </c>
      <c r="Q13" s="5">
        <v>1E-4</v>
      </c>
      <c r="R13" s="5">
        <v>2000</v>
      </c>
      <c r="S13" s="5">
        <v>1</v>
      </c>
      <c r="T13" s="5">
        <v>1</v>
      </c>
      <c r="U13" s="5">
        <v>1</v>
      </c>
      <c r="V13" s="5">
        <v>2.4155400000542751E-5</v>
      </c>
      <c r="W13" s="5">
        <v>25.505232106878822</v>
      </c>
      <c r="X13" s="5">
        <v>0.37585832494496452</v>
      </c>
      <c r="Y13" s="6">
        <v>47.227592529172199</v>
      </c>
    </row>
    <row r="14" spans="1:25" x14ac:dyDescent="0.3">
      <c r="A14" s="4">
        <v>5</v>
      </c>
      <c r="B14" s="5" t="s">
        <v>39</v>
      </c>
      <c r="C14" s="5">
        <v>2724.3366834999979</v>
      </c>
      <c r="D14" s="5">
        <v>45.405611391666632</v>
      </c>
      <c r="E14" s="5" t="s">
        <v>40</v>
      </c>
      <c r="F14" s="5"/>
      <c r="G14" s="5" t="s">
        <v>27</v>
      </c>
      <c r="H14" s="5" t="s">
        <v>41</v>
      </c>
      <c r="I14" s="5"/>
      <c r="J14" s="5" t="s">
        <v>29</v>
      </c>
      <c r="K14" s="5">
        <v>4.3342520554566527E-2</v>
      </c>
      <c r="L14" s="5">
        <v>0</v>
      </c>
      <c r="M14" s="5">
        <v>4.3342520554566527E-2</v>
      </c>
      <c r="N14" s="5" t="s">
        <v>17</v>
      </c>
      <c r="O14" s="5">
        <v>600</v>
      </c>
      <c r="P14" s="5">
        <v>8.9477182306027151E-5</v>
      </c>
      <c r="Q14" s="5">
        <v>1E-4</v>
      </c>
      <c r="R14" s="5">
        <v>2000</v>
      </c>
      <c r="S14" s="5">
        <v>1</v>
      </c>
      <c r="T14" s="5">
        <v>1</v>
      </c>
      <c r="U14" s="5">
        <v>1</v>
      </c>
      <c r="V14" s="5">
        <v>4.6900858284574008E-4</v>
      </c>
      <c r="W14" s="5">
        <v>38.689246272275007</v>
      </c>
      <c r="X14" s="5">
        <v>0.36319152094533358</v>
      </c>
      <c r="Y14" s="6">
        <v>81.811964419272968</v>
      </c>
    </row>
    <row r="15" spans="1:25" x14ac:dyDescent="0.3">
      <c r="A15" s="4">
        <v>4</v>
      </c>
      <c r="B15" s="5" t="s">
        <v>36</v>
      </c>
      <c r="C15" s="5">
        <v>9338.5440009000013</v>
      </c>
      <c r="D15" s="5">
        <v>155.64240001499999</v>
      </c>
      <c r="E15" s="5" t="s">
        <v>37</v>
      </c>
      <c r="F15" s="5"/>
      <c r="G15" s="5" t="s">
        <v>27</v>
      </c>
      <c r="H15" s="5" t="s">
        <v>38</v>
      </c>
      <c r="I15" s="5"/>
      <c r="J15" s="5" t="s">
        <v>29</v>
      </c>
      <c r="K15" s="5">
        <v>4.3786216137261899E-2</v>
      </c>
      <c r="L15" s="5">
        <v>0</v>
      </c>
      <c r="M15" s="5">
        <v>4.3786216137261899E-2</v>
      </c>
      <c r="N15" s="5" t="s">
        <v>17</v>
      </c>
      <c r="O15" s="5">
        <v>2001</v>
      </c>
      <c r="P15" s="5">
        <v>2.9923830094214748E-3</v>
      </c>
      <c r="Q15" s="5">
        <v>1E-4</v>
      </c>
      <c r="R15" s="5">
        <v>2000</v>
      </c>
      <c r="S15" s="5">
        <v>1</v>
      </c>
      <c r="T15" s="5">
        <v>1</v>
      </c>
      <c r="U15" s="5">
        <v>1</v>
      </c>
      <c r="V15" s="5">
        <v>2.2423638817534172E-5</v>
      </c>
      <c r="W15" s="5">
        <v>31.02966681033983</v>
      </c>
      <c r="X15" s="5">
        <v>0.37017424455872178</v>
      </c>
      <c r="Y15" s="6">
        <v>49.555432437358789</v>
      </c>
    </row>
    <row r="16" spans="1:25" ht="15" thickBot="1" x14ac:dyDescent="0.35">
      <c r="A16" s="7">
        <v>11</v>
      </c>
      <c r="B16" s="8" t="s">
        <v>57</v>
      </c>
      <c r="C16" s="8">
        <v>9867.2006258000001</v>
      </c>
      <c r="D16" s="8">
        <v>164.45334376333329</v>
      </c>
      <c r="E16" s="8" t="s">
        <v>58</v>
      </c>
      <c r="F16" s="8"/>
      <c r="G16" s="8" t="s">
        <v>27</v>
      </c>
      <c r="H16" s="8" t="s">
        <v>59</v>
      </c>
      <c r="I16" s="8"/>
      <c r="J16" s="8" t="s">
        <v>29</v>
      </c>
      <c r="K16" s="8">
        <v>9.2561523597760972E-2</v>
      </c>
      <c r="L16" s="8">
        <v>0</v>
      </c>
      <c r="M16" s="8">
        <v>9.2561523597760972E-2</v>
      </c>
      <c r="N16" s="8" t="s">
        <v>17</v>
      </c>
      <c r="O16" s="8">
        <v>2001</v>
      </c>
      <c r="P16" s="8">
        <v>1.713036197733583E-4</v>
      </c>
      <c r="Q16" s="8">
        <v>1E-4</v>
      </c>
      <c r="R16" s="8">
        <v>2000</v>
      </c>
      <c r="S16" s="8">
        <v>1</v>
      </c>
      <c r="T16" s="8">
        <v>1</v>
      </c>
      <c r="U16" s="8">
        <v>1</v>
      </c>
      <c r="V16" s="8">
        <v>1.005548457583035E-3</v>
      </c>
      <c r="W16" s="8">
        <v>9.9997832473379322</v>
      </c>
      <c r="X16" s="8">
        <v>0.2990811044445793</v>
      </c>
      <c r="Y16" s="9">
        <v>2.6957544461899709E-2</v>
      </c>
    </row>
    <row r="17" spans="1:25" x14ac:dyDescent="0.3">
      <c r="A17" s="1">
        <v>14</v>
      </c>
      <c r="B17" s="2" t="s">
        <v>66</v>
      </c>
      <c r="C17" s="2">
        <v>2667.4435393999988</v>
      </c>
      <c r="D17" s="2">
        <v>44.457392323333323</v>
      </c>
      <c r="E17" s="2" t="s">
        <v>67</v>
      </c>
      <c r="F17" s="2"/>
      <c r="G17" s="2" t="s">
        <v>27</v>
      </c>
      <c r="H17" s="2" t="s">
        <v>68</v>
      </c>
      <c r="I17" s="2"/>
      <c r="J17" s="2" t="s">
        <v>29</v>
      </c>
      <c r="K17" s="2">
        <v>0.1518043303059517</v>
      </c>
      <c r="L17" s="2">
        <v>0</v>
      </c>
      <c r="M17" s="2">
        <v>0.1518043303059517</v>
      </c>
      <c r="N17" s="2" t="s">
        <v>17</v>
      </c>
      <c r="O17" s="2">
        <v>380</v>
      </c>
      <c r="P17" s="2">
        <v>9.9895639855102447E-5</v>
      </c>
      <c r="Q17" s="2">
        <v>1E-4</v>
      </c>
      <c r="R17" s="2">
        <v>2000</v>
      </c>
      <c r="S17" s="2">
        <v>1</v>
      </c>
      <c r="T17" s="2">
        <v>1</v>
      </c>
      <c r="U17" s="2">
        <v>1</v>
      </c>
      <c r="V17" s="2">
        <v>1.003159881153951E-3</v>
      </c>
      <c r="W17" s="2">
        <v>9.999867119204275</v>
      </c>
      <c r="X17" s="2">
        <v>0.2951972007664545</v>
      </c>
      <c r="Y17" s="3">
        <v>2.041420830888898E-2</v>
      </c>
    </row>
    <row r="18" spans="1:25" x14ac:dyDescent="0.3">
      <c r="A18" s="4">
        <v>15</v>
      </c>
      <c r="B18" s="5" t="s">
        <v>69</v>
      </c>
      <c r="C18" s="5">
        <v>3407.1815898</v>
      </c>
      <c r="D18" s="5">
        <v>56.786359830000009</v>
      </c>
      <c r="E18" s="5" t="s">
        <v>70</v>
      </c>
      <c r="F18" s="5"/>
      <c r="G18" s="5" t="s">
        <v>27</v>
      </c>
      <c r="H18" s="5" t="s">
        <v>71</v>
      </c>
      <c r="I18" s="5"/>
      <c r="J18" s="5" t="s">
        <v>29</v>
      </c>
      <c r="K18" s="5">
        <v>0.15216373392657459</v>
      </c>
      <c r="L18" s="5">
        <v>0</v>
      </c>
      <c r="M18" s="5">
        <v>0.15216373392657459</v>
      </c>
      <c r="N18" s="5" t="s">
        <v>17</v>
      </c>
      <c r="O18" s="5">
        <v>613</v>
      </c>
      <c r="P18" s="5">
        <v>9.8950665860574014E-5</v>
      </c>
      <c r="Q18" s="5">
        <v>1E-4</v>
      </c>
      <c r="R18" s="5">
        <v>2000</v>
      </c>
      <c r="S18" s="5">
        <v>1</v>
      </c>
      <c r="T18" s="5">
        <v>1</v>
      </c>
      <c r="U18" s="5">
        <v>1</v>
      </c>
      <c r="V18" s="5">
        <v>1.1429382749421409E-3</v>
      </c>
      <c r="W18" s="5">
        <v>9.9999998403741674</v>
      </c>
      <c r="X18" s="5">
        <v>0.2953416558699074</v>
      </c>
      <c r="Y18" s="6">
        <v>1.052596497902596E-2</v>
      </c>
    </row>
    <row r="19" spans="1:25" x14ac:dyDescent="0.3">
      <c r="A19" s="4">
        <v>12</v>
      </c>
      <c r="B19" s="5" t="s">
        <v>60</v>
      </c>
      <c r="C19" s="5">
        <v>5495.7031031000006</v>
      </c>
      <c r="D19" s="5">
        <v>91.595051718333337</v>
      </c>
      <c r="E19" s="5" t="s">
        <v>61</v>
      </c>
      <c r="F19" s="5"/>
      <c r="G19" s="5" t="s">
        <v>27</v>
      </c>
      <c r="H19" s="5" t="s">
        <v>62</v>
      </c>
      <c r="I19" s="5"/>
      <c r="J19" s="5" t="s">
        <v>29</v>
      </c>
      <c r="K19" s="5">
        <v>0.1700827802993029</v>
      </c>
      <c r="L19" s="5">
        <v>0</v>
      </c>
      <c r="M19" s="5">
        <v>0.1700827802993029</v>
      </c>
      <c r="N19" s="5" t="s">
        <v>17</v>
      </c>
      <c r="O19" s="5">
        <v>916</v>
      </c>
      <c r="P19" s="5">
        <v>9.5423336664059123E-5</v>
      </c>
      <c r="Q19" s="5">
        <v>1E-4</v>
      </c>
      <c r="R19" s="5">
        <v>2000</v>
      </c>
      <c r="S19" s="5">
        <v>1</v>
      </c>
      <c r="T19" s="5">
        <v>1</v>
      </c>
      <c r="U19" s="5">
        <v>1</v>
      </c>
      <c r="V19" s="5">
        <v>1.030992217936331E-3</v>
      </c>
      <c r="W19" s="5">
        <v>9.9966014671545942</v>
      </c>
      <c r="X19" s="5">
        <v>0.3143313623168964</v>
      </c>
      <c r="Y19" s="6">
        <v>1.0108712491911479E-2</v>
      </c>
    </row>
    <row r="20" spans="1:25" x14ac:dyDescent="0.3">
      <c r="A20" s="4">
        <v>13</v>
      </c>
      <c r="B20" s="5" t="s">
        <v>63</v>
      </c>
      <c r="C20" s="5">
        <v>11021.9360953</v>
      </c>
      <c r="D20" s="5">
        <v>183.69893492166671</v>
      </c>
      <c r="E20" s="5" t="s">
        <v>64</v>
      </c>
      <c r="F20" s="5"/>
      <c r="G20" s="5" t="s">
        <v>27</v>
      </c>
      <c r="H20" s="5" t="s">
        <v>65</v>
      </c>
      <c r="I20" s="5"/>
      <c r="J20" s="5" t="s">
        <v>29</v>
      </c>
      <c r="K20" s="5">
        <v>0.19284375444317289</v>
      </c>
      <c r="L20" s="5">
        <v>0</v>
      </c>
      <c r="M20" s="5">
        <v>0.19284375444317289</v>
      </c>
      <c r="N20" s="5" t="s">
        <v>17</v>
      </c>
      <c r="O20" s="5">
        <v>2001</v>
      </c>
      <c r="P20" s="5">
        <v>1.387033477103426E-3</v>
      </c>
      <c r="Q20" s="5">
        <v>1E-4</v>
      </c>
      <c r="R20" s="5">
        <v>2000</v>
      </c>
      <c r="S20" s="5">
        <v>1</v>
      </c>
      <c r="T20" s="5">
        <v>1</v>
      </c>
      <c r="U20" s="5">
        <v>1</v>
      </c>
      <c r="V20" s="5">
        <v>1.025347386601477E-3</v>
      </c>
      <c r="W20" s="5">
        <v>9.9999816460808155</v>
      </c>
      <c r="X20" s="5">
        <v>0.28260198691805732</v>
      </c>
      <c r="Y20" s="6">
        <v>1.0658928639979999E-2</v>
      </c>
    </row>
    <row r="21" spans="1:25" ht="15" thickBot="1" x14ac:dyDescent="0.35">
      <c r="A21" s="7">
        <v>10</v>
      </c>
      <c r="B21" s="8" t="s">
        <v>54</v>
      </c>
      <c r="C21" s="8">
        <v>74.244357499999751</v>
      </c>
      <c r="D21" s="8">
        <v>1.237405958333329</v>
      </c>
      <c r="E21" s="8" t="s">
        <v>55</v>
      </c>
      <c r="F21" s="8"/>
      <c r="G21" s="8" t="s">
        <v>27</v>
      </c>
      <c r="H21" s="8" t="s">
        <v>56</v>
      </c>
      <c r="I21" s="8"/>
      <c r="J21" s="8" t="s">
        <v>29</v>
      </c>
      <c r="K21" s="8">
        <v>0.96546457193531521</v>
      </c>
      <c r="L21" s="8">
        <v>0</v>
      </c>
      <c r="M21" s="8">
        <v>0.96546457193531521</v>
      </c>
      <c r="N21" s="8" t="s">
        <v>17</v>
      </c>
      <c r="O21" s="8">
        <v>34</v>
      </c>
      <c r="P21" s="8">
        <v>9.6223146545785398E-5</v>
      </c>
      <c r="Q21" s="8">
        <v>1E-4</v>
      </c>
      <c r="R21" s="8">
        <v>2000</v>
      </c>
      <c r="S21" s="8">
        <v>1</v>
      </c>
      <c r="T21" s="8">
        <v>1</v>
      </c>
      <c r="U21" s="8">
        <v>1</v>
      </c>
      <c r="V21" s="8">
        <v>64.656599036219106</v>
      </c>
      <c r="W21" s="8">
        <v>65.025607533257912</v>
      </c>
      <c r="X21" s="8">
        <v>1.3108260234550769E-2</v>
      </c>
      <c r="Y21" s="9">
        <v>5.637987223008771E-2</v>
      </c>
    </row>
    <row r="23" spans="1:25" x14ac:dyDescent="0.3">
      <c r="V23">
        <f>AVERAGE(V2:V21)</f>
        <v>3.2334971932415164</v>
      </c>
      <c r="W23">
        <f t="shared" ref="W23:Y23" si="0">AVERAGE(W2:W21)</f>
        <v>23.23285607348253</v>
      </c>
      <c r="X23">
        <f t="shared" si="0"/>
        <v>0.34130015863867336</v>
      </c>
      <c r="Y23">
        <f t="shared" si="0"/>
        <v>27.818921017528872</v>
      </c>
    </row>
    <row r="24" spans="1:25" x14ac:dyDescent="0.3">
      <c r="V24">
        <f>MEDIAN(V2:V21)</f>
        <v>1.0007425572403392E-3</v>
      </c>
      <c r="W24">
        <f t="shared" ref="W24:Y24" si="1">MEDIAN(W2:W21)</f>
        <v>20.310448257131583</v>
      </c>
      <c r="X24">
        <f t="shared" si="1"/>
        <v>0.36884204394900899</v>
      </c>
      <c r="Y24">
        <f t="shared" si="1"/>
        <v>14.34355214630312</v>
      </c>
    </row>
    <row r="25" spans="1:25" x14ac:dyDescent="0.3">
      <c r="V25">
        <f>STDEVA(V2:V21)</f>
        <v>14.457498025322867</v>
      </c>
      <c r="W25">
        <f t="shared" ref="W25:Y25" si="2">STDEVA(W2:W21)</f>
        <v>13.031150775977187</v>
      </c>
      <c r="X25">
        <f t="shared" si="2"/>
        <v>8.6708109593388719E-2</v>
      </c>
      <c r="Y25">
        <f t="shared" si="2"/>
        <v>30.72425790551388</v>
      </c>
    </row>
  </sheetData>
  <autoFilter ref="A1:Y1" xr:uid="{4A11A7C9-4824-4804-85BE-15C06315FDC3}">
    <sortState xmlns:xlrd2="http://schemas.microsoft.com/office/spreadsheetml/2017/richdata2" ref="A2:Y21">
      <sortCondition ref="K1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097E-9600-40C1-9DB3-80343B708190}">
  <dimension ref="A1:Y25"/>
  <sheetViews>
    <sheetView topLeftCell="K3" zoomScale="90" zoomScaleNormal="90" workbookViewId="0">
      <selection activeCell="AA20" sqref="AA20"/>
    </sheetView>
  </sheetViews>
  <sheetFormatPr baseColWidth="10" defaultColWidth="8.88671875" defaultRowHeight="14.4" x14ac:dyDescent="0.3"/>
  <cols>
    <col min="2" max="2" width="18" bestFit="1" customWidth="1"/>
    <col min="5" max="5" width="11.77734375" bestFit="1" customWidth="1"/>
    <col min="22" max="25" width="12.6640625" bestFit="1" customWidth="1"/>
  </cols>
  <sheetData>
    <row r="1" spans="1:2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</v>
      </c>
      <c r="B2" s="2" t="s">
        <v>30</v>
      </c>
      <c r="C2" s="2">
        <v>2020.8023284999981</v>
      </c>
      <c r="D2" s="2">
        <v>33.6800388083333</v>
      </c>
      <c r="E2" s="2" t="s">
        <v>31</v>
      </c>
      <c r="F2" s="2"/>
      <c r="G2" s="2" t="s">
        <v>27</v>
      </c>
      <c r="H2" s="2" t="s">
        <v>32</v>
      </c>
      <c r="I2" s="2"/>
      <c r="J2" s="2" t="s">
        <v>29</v>
      </c>
      <c r="K2" s="2">
        <v>1.311751439363152E-2</v>
      </c>
      <c r="L2" s="2">
        <v>0</v>
      </c>
      <c r="M2" s="2">
        <v>1.311751439363152E-2</v>
      </c>
      <c r="N2" s="2" t="s">
        <v>17</v>
      </c>
      <c r="O2" s="2">
        <v>303</v>
      </c>
      <c r="P2" s="2">
        <v>7.9679151233725759E-5</v>
      </c>
      <c r="Q2" s="2">
        <v>1E-4</v>
      </c>
      <c r="R2" s="2">
        <v>2000</v>
      </c>
      <c r="S2" s="2">
        <v>1</v>
      </c>
      <c r="T2" s="2">
        <v>1</v>
      </c>
      <c r="U2" s="2">
        <v>1</v>
      </c>
      <c r="V2" s="2">
        <v>3.351535642361703E-4</v>
      </c>
      <c r="W2" s="2">
        <v>27.529498749844979</v>
      </c>
      <c r="X2" s="2">
        <v>0.36403966334085158</v>
      </c>
      <c r="Y2" s="3">
        <v>65.433144660925123</v>
      </c>
    </row>
    <row r="3" spans="1:25" x14ac:dyDescent="0.3">
      <c r="A3" s="4">
        <v>18</v>
      </c>
      <c r="B3" s="5" t="s">
        <v>78</v>
      </c>
      <c r="C3" s="5">
        <v>14178.406961999999</v>
      </c>
      <c r="D3" s="5">
        <v>236.30678270000001</v>
      </c>
      <c r="E3" s="5" t="s">
        <v>79</v>
      </c>
      <c r="F3" s="5"/>
      <c r="G3" s="5" t="s">
        <v>27</v>
      </c>
      <c r="H3" s="5" t="s">
        <v>80</v>
      </c>
      <c r="I3" s="5"/>
      <c r="J3" s="5" t="s">
        <v>29</v>
      </c>
      <c r="K3" s="5">
        <v>1.8587351559349461E-2</v>
      </c>
      <c r="L3" s="5">
        <v>0</v>
      </c>
      <c r="M3" s="5">
        <v>1.8587351559349461E-2</v>
      </c>
      <c r="N3" s="5" t="s">
        <v>17</v>
      </c>
      <c r="O3" s="5">
        <v>3001</v>
      </c>
      <c r="P3" s="5">
        <v>3.6184124588156201E-3</v>
      </c>
      <c r="Q3" s="5">
        <v>1E-4</v>
      </c>
      <c r="R3" s="5">
        <v>3000</v>
      </c>
      <c r="S3" s="5">
        <v>1</v>
      </c>
      <c r="T3" s="5">
        <v>1</v>
      </c>
      <c r="U3" s="5">
        <v>1</v>
      </c>
      <c r="V3" s="5"/>
      <c r="W3" s="5">
        <v>19.252693145524649</v>
      </c>
      <c r="X3" s="5">
        <v>0.40080816565356953</v>
      </c>
      <c r="Y3" s="6">
        <v>10.6680880074773</v>
      </c>
    </row>
    <row r="4" spans="1:25" x14ac:dyDescent="0.3">
      <c r="A4" s="4">
        <v>1</v>
      </c>
      <c r="B4" s="5" t="s">
        <v>25</v>
      </c>
      <c r="C4" s="5">
        <v>11425.4872414</v>
      </c>
      <c r="D4" s="5">
        <v>190.4247873566666</v>
      </c>
      <c r="E4" s="5" t="s">
        <v>26</v>
      </c>
      <c r="F4" s="5"/>
      <c r="G4" s="5" t="s">
        <v>27</v>
      </c>
      <c r="H4" s="5" t="s">
        <v>28</v>
      </c>
      <c r="I4" s="5"/>
      <c r="J4" s="5" t="s">
        <v>29</v>
      </c>
      <c r="K4" s="5">
        <v>2.18673103026042E-2</v>
      </c>
      <c r="L4" s="5">
        <v>0</v>
      </c>
      <c r="M4" s="5">
        <v>2.18673103026042E-2</v>
      </c>
      <c r="N4" s="5" t="s">
        <v>17</v>
      </c>
      <c r="O4" s="5">
        <v>2001</v>
      </c>
      <c r="P4" s="5">
        <v>4.3104489368415337E-4</v>
      </c>
      <c r="Q4" s="5">
        <v>1E-4</v>
      </c>
      <c r="R4" s="5">
        <v>2000</v>
      </c>
      <c r="S4" s="5">
        <v>1</v>
      </c>
      <c r="T4" s="5">
        <v>1</v>
      </c>
      <c r="U4" s="5">
        <v>1</v>
      </c>
      <c r="V4" s="5">
        <v>3.260126563038609E-5</v>
      </c>
      <c r="W4" s="5">
        <v>28.102169218284331</v>
      </c>
      <c r="X4" s="5"/>
      <c r="Y4" s="6"/>
    </row>
    <row r="5" spans="1:25" x14ac:dyDescent="0.3">
      <c r="A5" s="4">
        <v>17</v>
      </c>
      <c r="B5" s="5" t="s">
        <v>75</v>
      </c>
      <c r="C5" s="5">
        <v>17889.761337200001</v>
      </c>
      <c r="D5" s="5">
        <v>298.16268895333332</v>
      </c>
      <c r="E5" s="5" t="s">
        <v>76</v>
      </c>
      <c r="F5" s="5"/>
      <c r="G5" s="5" t="s">
        <v>27</v>
      </c>
      <c r="H5" s="5" t="s">
        <v>77</v>
      </c>
      <c r="I5" s="5"/>
      <c r="J5" s="5" t="s">
        <v>29</v>
      </c>
      <c r="K5" s="5">
        <v>2.3094880861104609E-2</v>
      </c>
      <c r="L5" s="5">
        <v>0</v>
      </c>
      <c r="M5" s="5">
        <v>2.3094880861104609E-2</v>
      </c>
      <c r="N5" s="5" t="s">
        <v>17</v>
      </c>
      <c r="O5" s="5">
        <v>3001</v>
      </c>
      <c r="P5" s="5">
        <v>1.2644160368509799E-3</v>
      </c>
      <c r="Q5" s="5">
        <v>1E-4</v>
      </c>
      <c r="R5" s="5">
        <v>3000</v>
      </c>
      <c r="S5" s="5">
        <v>1</v>
      </c>
      <c r="T5" s="5">
        <v>1</v>
      </c>
      <c r="U5" s="5">
        <v>1</v>
      </c>
      <c r="V5" s="5">
        <v>1.0008337586269931E-3</v>
      </c>
      <c r="W5" s="5">
        <v>19.601667329061218</v>
      </c>
      <c r="X5" s="5">
        <v>0.36124594824033468</v>
      </c>
      <c r="Y5" s="6">
        <v>19.60016406926405</v>
      </c>
    </row>
    <row r="6" spans="1:25" ht="15" thickBot="1" x14ac:dyDescent="0.35">
      <c r="A6" s="7">
        <v>9</v>
      </c>
      <c r="B6" s="8" t="s">
        <v>51</v>
      </c>
      <c r="C6" s="8">
        <v>11404.1302452</v>
      </c>
      <c r="D6" s="8">
        <v>190.06883741999999</v>
      </c>
      <c r="E6" s="8" t="s">
        <v>52</v>
      </c>
      <c r="F6" s="8"/>
      <c r="G6" s="8" t="s">
        <v>27</v>
      </c>
      <c r="H6" s="8" t="s">
        <v>53</v>
      </c>
      <c r="I6" s="8"/>
      <c r="J6" s="8" t="s">
        <v>29</v>
      </c>
      <c r="K6" s="8">
        <v>2.7973376622525491E-2</v>
      </c>
      <c r="L6" s="8">
        <v>0</v>
      </c>
      <c r="M6" s="8">
        <v>2.7973376622525491E-2</v>
      </c>
      <c r="N6" s="8" t="s">
        <v>17</v>
      </c>
      <c r="O6" s="8">
        <v>2001</v>
      </c>
      <c r="P6" s="8">
        <v>1.396946249863243E-3</v>
      </c>
      <c r="Q6" s="8">
        <v>1E-4</v>
      </c>
      <c r="R6" s="8">
        <v>2000</v>
      </c>
      <c r="S6" s="8">
        <v>1</v>
      </c>
      <c r="T6" s="8">
        <v>1</v>
      </c>
      <c r="U6" s="8">
        <v>1</v>
      </c>
      <c r="V6" s="8">
        <v>1.8964874766953979E-5</v>
      </c>
      <c r="W6" s="8">
        <v>34.886369485916973</v>
      </c>
      <c r="X6" s="8">
        <v>0.37391981575107031</v>
      </c>
      <c r="Y6" s="9">
        <v>49.352649868139729</v>
      </c>
    </row>
    <row r="7" spans="1:25" x14ac:dyDescent="0.3">
      <c r="A7" s="1">
        <v>8</v>
      </c>
      <c r="B7" s="2" t="s">
        <v>48</v>
      </c>
      <c r="C7" s="2">
        <v>8662.7927846000021</v>
      </c>
      <c r="D7" s="2">
        <v>144.37987974333339</v>
      </c>
      <c r="E7" s="2" t="s">
        <v>49</v>
      </c>
      <c r="F7" s="2"/>
      <c r="G7" s="2" t="s">
        <v>27</v>
      </c>
      <c r="H7" s="2" t="s">
        <v>50</v>
      </c>
      <c r="I7" s="2"/>
      <c r="J7" s="2" t="s">
        <v>29</v>
      </c>
      <c r="K7" s="2">
        <v>2.9675075548963922E-2</v>
      </c>
      <c r="L7" s="2">
        <v>0</v>
      </c>
      <c r="M7" s="2">
        <v>2.9675075548963922E-2</v>
      </c>
      <c r="N7" s="2" t="s">
        <v>17</v>
      </c>
      <c r="O7" s="2">
        <v>2001</v>
      </c>
      <c r="P7" s="2">
        <v>7.8379498508963127E-4</v>
      </c>
      <c r="Q7" s="2">
        <v>1E-4</v>
      </c>
      <c r="R7" s="2">
        <v>2000</v>
      </c>
      <c r="S7" s="2">
        <v>1</v>
      </c>
      <c r="T7" s="2">
        <v>1</v>
      </c>
      <c r="U7" s="2">
        <v>1</v>
      </c>
      <c r="V7" s="2">
        <v>1.000000009139998E-5</v>
      </c>
      <c r="W7" s="2">
        <v>21.019229185201951</v>
      </c>
      <c r="X7" s="2">
        <v>0.39839472531270642</v>
      </c>
      <c r="Y7" s="3">
        <v>39.800429283472369</v>
      </c>
    </row>
    <row r="8" spans="1:25" x14ac:dyDescent="0.3">
      <c r="A8" s="4">
        <v>7</v>
      </c>
      <c r="B8" s="5" t="s">
        <v>45</v>
      </c>
      <c r="C8" s="5">
        <v>14961.764225499999</v>
      </c>
      <c r="D8" s="5">
        <v>249.36273709166659</v>
      </c>
      <c r="E8" s="5" t="s">
        <v>46</v>
      </c>
      <c r="F8" s="5"/>
      <c r="G8" s="5" t="s">
        <v>27</v>
      </c>
      <c r="H8" s="5" t="s">
        <v>47</v>
      </c>
      <c r="I8" s="5"/>
      <c r="J8" s="5" t="s">
        <v>29</v>
      </c>
      <c r="K8" s="5">
        <v>3.103287414127125E-2</v>
      </c>
      <c r="L8" s="5">
        <v>0</v>
      </c>
      <c r="M8" s="5">
        <v>3.103287414127125E-2</v>
      </c>
      <c r="N8" s="5" t="s">
        <v>17</v>
      </c>
      <c r="O8" s="5">
        <v>2001</v>
      </c>
      <c r="P8" s="5">
        <v>1.3711088461474509E-2</v>
      </c>
      <c r="Q8" s="5">
        <v>1E-4</v>
      </c>
      <c r="R8" s="5">
        <v>2000</v>
      </c>
      <c r="S8" s="5">
        <v>1</v>
      </c>
      <c r="T8" s="5">
        <v>1</v>
      </c>
      <c r="U8" s="5">
        <v>1</v>
      </c>
      <c r="V8" s="5">
        <v>1.2152871033555519E-5</v>
      </c>
      <c r="W8" s="5">
        <v>18.036512433552069</v>
      </c>
      <c r="X8" s="5">
        <v>0.3675098433392962</v>
      </c>
      <c r="Y8" s="6">
        <v>6.3086977381197257E-2</v>
      </c>
    </row>
    <row r="9" spans="1:25" x14ac:dyDescent="0.3">
      <c r="A9" s="4">
        <v>3</v>
      </c>
      <c r="B9" s="5" t="s">
        <v>33</v>
      </c>
      <c r="C9" s="5">
        <v>8929.6685137999993</v>
      </c>
      <c r="D9" s="5">
        <v>148.82780856333329</v>
      </c>
      <c r="E9" s="5" t="s">
        <v>34</v>
      </c>
      <c r="F9" s="5"/>
      <c r="G9" s="5" t="s">
        <v>27</v>
      </c>
      <c r="H9" s="5" t="s">
        <v>35</v>
      </c>
      <c r="I9" s="5"/>
      <c r="J9" s="5" t="s">
        <v>29</v>
      </c>
      <c r="K9" s="5">
        <v>3.3140083109282667E-2</v>
      </c>
      <c r="L9" s="5">
        <v>0</v>
      </c>
      <c r="M9" s="5">
        <v>3.3140083109282667E-2</v>
      </c>
      <c r="N9" s="5" t="s">
        <v>17</v>
      </c>
      <c r="O9" s="5">
        <v>2001</v>
      </c>
      <c r="P9" s="5">
        <v>2.337283520942173E-3</v>
      </c>
      <c r="Q9" s="5">
        <v>1E-4</v>
      </c>
      <c r="R9" s="5">
        <v>2000</v>
      </c>
      <c r="S9" s="5">
        <v>1</v>
      </c>
      <c r="T9" s="5">
        <v>1</v>
      </c>
      <c r="U9" s="5">
        <v>1</v>
      </c>
      <c r="V9" s="5">
        <v>2.8488590080989127E-4</v>
      </c>
      <c r="W9" s="5">
        <v>26.20377447804329</v>
      </c>
      <c r="X9" s="5">
        <v>0.39467814669875972</v>
      </c>
      <c r="Y9" s="6">
        <v>51.670543518679743</v>
      </c>
    </row>
    <row r="10" spans="1:25" x14ac:dyDescent="0.3">
      <c r="A10" s="4">
        <v>16</v>
      </c>
      <c r="B10" s="5" t="s">
        <v>72</v>
      </c>
      <c r="C10" s="5">
        <v>15471.3633562</v>
      </c>
      <c r="D10" s="5">
        <v>257.85605593666668</v>
      </c>
      <c r="E10" s="5" t="s">
        <v>73</v>
      </c>
      <c r="F10" s="5"/>
      <c r="G10" s="5" t="s">
        <v>27</v>
      </c>
      <c r="H10" s="5" t="s">
        <v>74</v>
      </c>
      <c r="I10" s="5"/>
      <c r="J10" s="5" t="s">
        <v>29</v>
      </c>
      <c r="K10" s="5">
        <v>3.4002488435168607E-2</v>
      </c>
      <c r="L10" s="5">
        <v>0</v>
      </c>
      <c r="M10" s="5">
        <v>3.4002488435168607E-2</v>
      </c>
      <c r="N10" s="5" t="s">
        <v>17</v>
      </c>
      <c r="O10" s="5">
        <v>3001</v>
      </c>
      <c r="P10" s="5">
        <v>1.160065340932191E-4</v>
      </c>
      <c r="Q10" s="5">
        <v>1E-4</v>
      </c>
      <c r="R10" s="5">
        <v>3000</v>
      </c>
      <c r="S10" s="5">
        <v>1</v>
      </c>
      <c r="T10" s="5">
        <v>1</v>
      </c>
      <c r="U10" s="5">
        <v>1</v>
      </c>
      <c r="V10" s="5">
        <v>1.000651355853685E-3</v>
      </c>
      <c r="W10" s="5">
        <v>17.682107447162458</v>
      </c>
      <c r="X10" s="5">
        <v>0.38841017229671182</v>
      </c>
      <c r="Y10" s="6">
        <v>14.93618506337028</v>
      </c>
    </row>
    <row r="11" spans="1:25" ht="15" thickBot="1" x14ac:dyDescent="0.35">
      <c r="A11" s="7">
        <v>19</v>
      </c>
      <c r="B11" s="8" t="s">
        <v>81</v>
      </c>
      <c r="C11" s="8">
        <v>12841.259337400001</v>
      </c>
      <c r="D11" s="8">
        <v>214.02098895666671</v>
      </c>
      <c r="E11" s="8" t="s">
        <v>82</v>
      </c>
      <c r="F11" s="8"/>
      <c r="G11" s="8" t="s">
        <v>27</v>
      </c>
      <c r="H11" s="8" t="s">
        <v>83</v>
      </c>
      <c r="I11" s="8"/>
      <c r="J11" s="8" t="s">
        <v>29</v>
      </c>
      <c r="K11" s="8">
        <v>3.4816466573594891E-2</v>
      </c>
      <c r="L11" s="8">
        <v>0</v>
      </c>
      <c r="M11" s="8">
        <v>3.4816466573594891E-2</v>
      </c>
      <c r="N11" s="8" t="s">
        <v>17</v>
      </c>
      <c r="O11" s="8">
        <v>3001</v>
      </c>
      <c r="P11" s="8">
        <v>9.1055496747257704E-4</v>
      </c>
      <c r="Q11" s="8">
        <v>1E-4</v>
      </c>
      <c r="R11" s="8">
        <v>3000</v>
      </c>
      <c r="S11" s="8">
        <v>1</v>
      </c>
      <c r="T11" s="8">
        <v>1</v>
      </c>
      <c r="U11" s="8">
        <v>1</v>
      </c>
      <c r="V11" s="8">
        <v>1.0335477701724661E-3</v>
      </c>
      <c r="W11" s="8">
        <v>18.682946752608238</v>
      </c>
      <c r="X11" s="8">
        <v>0.37300020271814849</v>
      </c>
      <c r="Y11" s="9">
        <v>13.75091922923596</v>
      </c>
    </row>
    <row r="12" spans="1:25" x14ac:dyDescent="0.3">
      <c r="A12" s="1">
        <v>20</v>
      </c>
      <c r="B12" s="2" t="s">
        <v>84</v>
      </c>
      <c r="C12" s="2">
        <v>15026.699616899999</v>
      </c>
      <c r="D12" s="2">
        <v>250.44499361499999</v>
      </c>
      <c r="E12" s="2" t="s">
        <v>85</v>
      </c>
      <c r="F12" s="2"/>
      <c r="G12" s="2" t="s">
        <v>27</v>
      </c>
      <c r="H12" s="2" t="s">
        <v>86</v>
      </c>
      <c r="I12" s="2"/>
      <c r="J12" s="2" t="s">
        <v>29</v>
      </c>
      <c r="K12" s="2">
        <v>4.0462251333287368E-2</v>
      </c>
      <c r="L12" s="2">
        <v>0</v>
      </c>
      <c r="M12" s="2">
        <v>4.0462251333287368E-2</v>
      </c>
      <c r="N12" s="2" t="s">
        <v>17</v>
      </c>
      <c r="O12" s="2">
        <v>3001</v>
      </c>
      <c r="P12" s="2">
        <v>1.9559020197923928E-3</v>
      </c>
      <c r="Q12" s="2">
        <v>1E-4</v>
      </c>
      <c r="R12" s="2">
        <v>3000</v>
      </c>
      <c r="S12" s="2">
        <v>1</v>
      </c>
      <c r="T12" s="2">
        <v>1</v>
      </c>
      <c r="U12" s="2">
        <v>1</v>
      </c>
      <c r="V12" s="2">
        <v>1.480080621464585E-3</v>
      </c>
      <c r="W12" s="2">
        <v>23.414167201547048</v>
      </c>
      <c r="X12" s="2">
        <v>0.38070424318982288</v>
      </c>
      <c r="Y12" s="3">
        <v>12.3747262770157</v>
      </c>
    </row>
    <row r="13" spans="1:25" x14ac:dyDescent="0.3">
      <c r="A13" s="4">
        <v>6</v>
      </c>
      <c r="B13" s="5" t="s">
        <v>42</v>
      </c>
      <c r="C13" s="5">
        <v>10107.442113700001</v>
      </c>
      <c r="D13" s="5">
        <v>168.4573685616667</v>
      </c>
      <c r="E13" s="5" t="s">
        <v>43</v>
      </c>
      <c r="F13" s="5"/>
      <c r="G13" s="5" t="s">
        <v>27</v>
      </c>
      <c r="H13" s="5" t="s">
        <v>44</v>
      </c>
      <c r="I13" s="5"/>
      <c r="J13" s="5" t="s">
        <v>29</v>
      </c>
      <c r="K13" s="5">
        <v>4.2394458675017122E-2</v>
      </c>
      <c r="L13" s="5">
        <v>0</v>
      </c>
      <c r="M13" s="5">
        <v>4.2394458675017122E-2</v>
      </c>
      <c r="N13" s="5" t="s">
        <v>17</v>
      </c>
      <c r="O13" s="5">
        <v>2001</v>
      </c>
      <c r="P13" s="5">
        <v>1.9531467257387759E-4</v>
      </c>
      <c r="Q13" s="5">
        <v>1E-4</v>
      </c>
      <c r="R13" s="5">
        <v>2000</v>
      </c>
      <c r="S13" s="5">
        <v>1</v>
      </c>
      <c r="T13" s="5">
        <v>1</v>
      </c>
      <c r="U13" s="5">
        <v>1</v>
      </c>
      <c r="V13" s="5">
        <v>2.4155400000542751E-5</v>
      </c>
      <c r="W13" s="5">
        <v>25.505232106878822</v>
      </c>
      <c r="X13" s="5">
        <v>0.37585832494496452</v>
      </c>
      <c r="Y13" s="6">
        <v>47.227592529172199</v>
      </c>
    </row>
    <row r="14" spans="1:25" x14ac:dyDescent="0.3">
      <c r="A14" s="4">
        <v>5</v>
      </c>
      <c r="B14" s="5" t="s">
        <v>39</v>
      </c>
      <c r="C14" s="5">
        <v>2724.3366834999979</v>
      </c>
      <c r="D14" s="5">
        <v>45.405611391666632</v>
      </c>
      <c r="E14" s="5" t="s">
        <v>40</v>
      </c>
      <c r="F14" s="5"/>
      <c r="G14" s="5" t="s">
        <v>27</v>
      </c>
      <c r="H14" s="5" t="s">
        <v>41</v>
      </c>
      <c r="I14" s="5"/>
      <c r="J14" s="5" t="s">
        <v>29</v>
      </c>
      <c r="K14" s="5">
        <v>4.3342520554566527E-2</v>
      </c>
      <c r="L14" s="5">
        <v>0</v>
      </c>
      <c r="M14" s="5">
        <v>4.3342520554566527E-2</v>
      </c>
      <c r="N14" s="5" t="s">
        <v>17</v>
      </c>
      <c r="O14" s="5">
        <v>600</v>
      </c>
      <c r="P14" s="5">
        <v>8.9477182306027151E-5</v>
      </c>
      <c r="Q14" s="5">
        <v>1E-4</v>
      </c>
      <c r="R14" s="5">
        <v>2000</v>
      </c>
      <c r="S14" s="5">
        <v>1</v>
      </c>
      <c r="T14" s="5">
        <v>1</v>
      </c>
      <c r="U14" s="5">
        <v>1</v>
      </c>
      <c r="V14" s="5">
        <v>4.6900858284574008E-4</v>
      </c>
      <c r="W14" s="5"/>
      <c r="X14" s="5">
        <v>0.36319152094533358</v>
      </c>
      <c r="Y14" s="6">
        <v>81.811964419272968</v>
      </c>
    </row>
    <row r="15" spans="1:25" x14ac:dyDescent="0.3">
      <c r="A15" s="4">
        <v>4</v>
      </c>
      <c r="B15" s="5" t="s">
        <v>36</v>
      </c>
      <c r="C15" s="5">
        <v>9338.5440009000013</v>
      </c>
      <c r="D15" s="5">
        <v>155.64240001499999</v>
      </c>
      <c r="E15" s="5" t="s">
        <v>37</v>
      </c>
      <c r="F15" s="5"/>
      <c r="G15" s="5" t="s">
        <v>27</v>
      </c>
      <c r="H15" s="5" t="s">
        <v>38</v>
      </c>
      <c r="I15" s="5"/>
      <c r="J15" s="5" t="s">
        <v>29</v>
      </c>
      <c r="K15" s="5">
        <v>4.3786216137261899E-2</v>
      </c>
      <c r="L15" s="5">
        <v>0</v>
      </c>
      <c r="M15" s="5">
        <v>4.3786216137261899E-2</v>
      </c>
      <c r="N15" s="5" t="s">
        <v>17</v>
      </c>
      <c r="O15" s="5">
        <v>2001</v>
      </c>
      <c r="P15" s="5">
        <v>2.9923830094214748E-3</v>
      </c>
      <c r="Q15" s="5">
        <v>1E-4</v>
      </c>
      <c r="R15" s="5">
        <v>2000</v>
      </c>
      <c r="S15" s="5">
        <v>1</v>
      </c>
      <c r="T15" s="5">
        <v>1</v>
      </c>
      <c r="U15" s="5">
        <v>1</v>
      </c>
      <c r="V15" s="5">
        <v>2.2423638817534172E-5</v>
      </c>
      <c r="W15" s="5">
        <v>31.02966681033983</v>
      </c>
      <c r="X15" s="5">
        <v>0.37017424455872178</v>
      </c>
      <c r="Y15" s="6">
        <v>49.555432437358789</v>
      </c>
    </row>
    <row r="16" spans="1:25" ht="15" thickBot="1" x14ac:dyDescent="0.35">
      <c r="A16" s="7">
        <v>11</v>
      </c>
      <c r="B16" s="8" t="s">
        <v>57</v>
      </c>
      <c r="C16" s="8">
        <v>9867.2006258000001</v>
      </c>
      <c r="D16" s="8">
        <v>164.45334376333329</v>
      </c>
      <c r="E16" s="8" t="s">
        <v>58</v>
      </c>
      <c r="F16" s="8"/>
      <c r="G16" s="8" t="s">
        <v>27</v>
      </c>
      <c r="H16" s="8" t="s">
        <v>59</v>
      </c>
      <c r="I16" s="8"/>
      <c r="J16" s="8" t="s">
        <v>29</v>
      </c>
      <c r="K16" s="8">
        <v>9.2561523597760972E-2</v>
      </c>
      <c r="L16" s="8">
        <v>0</v>
      </c>
      <c r="M16" s="8">
        <v>9.2561523597760972E-2</v>
      </c>
      <c r="N16" s="8" t="s">
        <v>17</v>
      </c>
      <c r="O16" s="8">
        <v>2001</v>
      </c>
      <c r="P16" s="8">
        <v>1.713036197733583E-4</v>
      </c>
      <c r="Q16" s="8">
        <v>1E-4</v>
      </c>
      <c r="R16" s="8">
        <v>2000</v>
      </c>
      <c r="S16" s="8">
        <v>1</v>
      </c>
      <c r="T16" s="8">
        <v>1</v>
      </c>
      <c r="U16" s="8">
        <v>1</v>
      </c>
      <c r="V16" s="8"/>
      <c r="W16" s="8"/>
      <c r="X16" s="8"/>
      <c r="Y16" s="9"/>
    </row>
    <row r="17" spans="1:25" x14ac:dyDescent="0.3">
      <c r="A17" s="1">
        <v>14</v>
      </c>
      <c r="B17" s="2" t="s">
        <v>66</v>
      </c>
      <c r="C17" s="2">
        <v>2667.4435393999988</v>
      </c>
      <c r="D17" s="2">
        <v>44.457392323333323</v>
      </c>
      <c r="E17" s="2" t="s">
        <v>67</v>
      </c>
      <c r="F17" s="2"/>
      <c r="G17" s="2" t="s">
        <v>27</v>
      </c>
      <c r="H17" s="2" t="s">
        <v>68</v>
      </c>
      <c r="I17" s="2"/>
      <c r="J17" s="2" t="s">
        <v>29</v>
      </c>
      <c r="K17" s="2">
        <v>0.1518043303059517</v>
      </c>
      <c r="L17" s="2">
        <v>0</v>
      </c>
      <c r="M17" s="2">
        <v>0.1518043303059517</v>
      </c>
      <c r="N17" s="2" t="s">
        <v>17</v>
      </c>
      <c r="O17" s="2">
        <v>380</v>
      </c>
      <c r="P17" s="2">
        <v>9.9895639855102447E-5</v>
      </c>
      <c r="Q17" s="2">
        <v>1E-4</v>
      </c>
      <c r="R17" s="2">
        <v>2000</v>
      </c>
      <c r="S17" s="2">
        <v>1</v>
      </c>
      <c r="T17" s="2">
        <v>1</v>
      </c>
      <c r="U17" s="2">
        <v>1</v>
      </c>
      <c r="V17" s="2"/>
      <c r="W17" s="2"/>
      <c r="X17" s="2"/>
      <c r="Y17" s="3"/>
    </row>
    <row r="18" spans="1:25" x14ac:dyDescent="0.3">
      <c r="A18" s="4">
        <v>15</v>
      </c>
      <c r="B18" s="5" t="s">
        <v>69</v>
      </c>
      <c r="C18" s="5">
        <v>3407.1815898</v>
      </c>
      <c r="D18" s="5">
        <v>56.786359830000009</v>
      </c>
      <c r="E18" s="5" t="s">
        <v>70</v>
      </c>
      <c r="F18" s="5"/>
      <c r="G18" s="5" t="s">
        <v>27</v>
      </c>
      <c r="H18" s="5" t="s">
        <v>71</v>
      </c>
      <c r="I18" s="5"/>
      <c r="J18" s="5" t="s">
        <v>29</v>
      </c>
      <c r="K18" s="5">
        <v>0.15216373392657459</v>
      </c>
      <c r="L18" s="5">
        <v>0</v>
      </c>
      <c r="M18" s="5">
        <v>0.15216373392657459</v>
      </c>
      <c r="N18" s="5" t="s">
        <v>17</v>
      </c>
      <c r="O18" s="5">
        <v>613</v>
      </c>
      <c r="P18" s="5">
        <v>9.8950665860574014E-5</v>
      </c>
      <c r="Q18" s="5">
        <v>1E-4</v>
      </c>
      <c r="R18" s="5">
        <v>2000</v>
      </c>
      <c r="S18" s="5">
        <v>1</v>
      </c>
      <c r="T18" s="5">
        <v>1</v>
      </c>
      <c r="U18" s="5">
        <v>1</v>
      </c>
      <c r="V18" s="5"/>
      <c r="W18" s="5"/>
      <c r="X18" s="5"/>
      <c r="Y18" s="6"/>
    </row>
    <row r="19" spans="1:25" x14ac:dyDescent="0.3">
      <c r="A19" s="4">
        <v>12</v>
      </c>
      <c r="B19" s="5" t="s">
        <v>60</v>
      </c>
      <c r="C19" s="5">
        <v>5495.7031031000006</v>
      </c>
      <c r="D19" s="5">
        <v>91.595051718333337</v>
      </c>
      <c r="E19" s="5" t="s">
        <v>61</v>
      </c>
      <c r="F19" s="5"/>
      <c r="G19" s="5" t="s">
        <v>27</v>
      </c>
      <c r="H19" s="5" t="s">
        <v>62</v>
      </c>
      <c r="I19" s="5"/>
      <c r="J19" s="5" t="s">
        <v>29</v>
      </c>
      <c r="K19" s="5">
        <v>0.1700827802993029</v>
      </c>
      <c r="L19" s="5">
        <v>0</v>
      </c>
      <c r="M19" s="5">
        <v>0.1700827802993029</v>
      </c>
      <c r="N19" s="5" t="s">
        <v>17</v>
      </c>
      <c r="O19" s="5">
        <v>916</v>
      </c>
      <c r="P19" s="5">
        <v>9.5423336664059123E-5</v>
      </c>
      <c r="Q19" s="5">
        <v>1E-4</v>
      </c>
      <c r="R19" s="5">
        <v>2000</v>
      </c>
      <c r="S19" s="5">
        <v>1</v>
      </c>
      <c r="T19" s="5">
        <v>1</v>
      </c>
      <c r="U19" s="5">
        <v>1</v>
      </c>
      <c r="V19" s="5"/>
      <c r="W19" s="5"/>
      <c r="X19" s="5"/>
      <c r="Y19" s="6"/>
    </row>
    <row r="20" spans="1:25" x14ac:dyDescent="0.3">
      <c r="A20" s="4">
        <v>13</v>
      </c>
      <c r="B20" s="5" t="s">
        <v>63</v>
      </c>
      <c r="C20" s="5">
        <v>11021.9360953</v>
      </c>
      <c r="D20" s="5">
        <v>183.69893492166671</v>
      </c>
      <c r="E20" s="5" t="s">
        <v>64</v>
      </c>
      <c r="F20" s="5"/>
      <c r="G20" s="5" t="s">
        <v>27</v>
      </c>
      <c r="H20" s="5" t="s">
        <v>65</v>
      </c>
      <c r="I20" s="5"/>
      <c r="J20" s="5" t="s">
        <v>29</v>
      </c>
      <c r="K20" s="5">
        <v>0.19284375444317289</v>
      </c>
      <c r="L20" s="5">
        <v>0</v>
      </c>
      <c r="M20" s="5">
        <v>0.19284375444317289</v>
      </c>
      <c r="N20" s="5" t="s">
        <v>17</v>
      </c>
      <c r="O20" s="5">
        <v>2001</v>
      </c>
      <c r="P20" s="5">
        <v>1.387033477103426E-3</v>
      </c>
      <c r="Q20" s="5">
        <v>1E-4</v>
      </c>
      <c r="R20" s="5">
        <v>2000</v>
      </c>
      <c r="S20" s="5">
        <v>1</v>
      </c>
      <c r="T20" s="5">
        <v>1</v>
      </c>
      <c r="U20" s="5">
        <v>1</v>
      </c>
      <c r="V20" s="5"/>
      <c r="W20" s="5"/>
      <c r="X20" s="5"/>
      <c r="Y20" s="6"/>
    </row>
    <row r="21" spans="1:25" ht="15" thickBot="1" x14ac:dyDescent="0.35">
      <c r="A21" s="7">
        <v>10</v>
      </c>
      <c r="B21" s="8" t="s">
        <v>54</v>
      </c>
      <c r="C21" s="8">
        <v>74.244357499999751</v>
      </c>
      <c r="D21" s="8">
        <v>1.237405958333329</v>
      </c>
      <c r="E21" s="8" t="s">
        <v>55</v>
      </c>
      <c r="F21" s="8"/>
      <c r="G21" s="8" t="s">
        <v>27</v>
      </c>
      <c r="H21" s="8" t="s">
        <v>56</v>
      </c>
      <c r="I21" s="8"/>
      <c r="J21" s="8" t="s">
        <v>29</v>
      </c>
      <c r="K21" s="8">
        <v>0.96546457193531521</v>
      </c>
      <c r="L21" s="8">
        <v>0</v>
      </c>
      <c r="M21" s="8">
        <v>0.96546457193531521</v>
      </c>
      <c r="N21" s="8" t="s">
        <v>17</v>
      </c>
      <c r="O21" s="8">
        <v>34</v>
      </c>
      <c r="P21" s="8">
        <v>9.6223146545785398E-5</v>
      </c>
      <c r="Q21" s="8">
        <v>1E-4</v>
      </c>
      <c r="R21" s="8">
        <v>2000</v>
      </c>
      <c r="S21" s="8">
        <v>1</v>
      </c>
      <c r="T21" s="8">
        <v>1</v>
      </c>
      <c r="U21" s="8">
        <v>1</v>
      </c>
      <c r="V21" s="8"/>
      <c r="W21" s="8"/>
      <c r="X21" s="8"/>
      <c r="Y21" s="9"/>
    </row>
    <row r="22" spans="1:25" x14ac:dyDescent="0.3">
      <c r="V22">
        <f>COUNT(V2:V21)</f>
        <v>13</v>
      </c>
      <c r="W22">
        <f t="shared" ref="W22:Y22" si="0">COUNT(W2:W21)</f>
        <v>13</v>
      </c>
      <c r="X22">
        <f t="shared" si="0"/>
        <v>13</v>
      </c>
      <c r="Y22">
        <f t="shared" si="0"/>
        <v>13</v>
      </c>
    </row>
    <row r="23" spans="1:25" x14ac:dyDescent="0.3">
      <c r="V23">
        <f>AVERAGE(V2:V21)</f>
        <v>4.4034304648845409E-4</v>
      </c>
      <c r="W23">
        <f t="shared" ref="W23:Y23" si="1">AVERAGE(W2:W21)</f>
        <v>23.918925718766609</v>
      </c>
      <c r="X23">
        <f t="shared" si="1"/>
        <v>0.37784115515309935</v>
      </c>
      <c r="Y23">
        <f t="shared" si="1"/>
        <v>35.095763564674265</v>
      </c>
    </row>
    <row r="24" spans="1:25" x14ac:dyDescent="0.3">
      <c r="V24" s="10">
        <f>MEDIAN(V2:V21)</f>
        <v>2.8488590080989127E-4</v>
      </c>
      <c r="W24" s="10">
        <f t="shared" ref="W24:Y24" si="2">MEDIAN(W2:W21)</f>
        <v>23.414167201547048</v>
      </c>
      <c r="X24" s="11">
        <f t="shared" si="2"/>
        <v>0.37391981575107031</v>
      </c>
      <c r="Y24" s="10">
        <f t="shared" si="2"/>
        <v>39.800429283472369</v>
      </c>
    </row>
    <row r="25" spans="1:25" x14ac:dyDescent="0.3">
      <c r="V25">
        <f>STDEVA(V2:V21)</f>
        <v>5.1294236591822677E-4</v>
      </c>
      <c r="W25">
        <f t="shared" ref="W25:Y25" si="3">STDEVA(W2:W21)</f>
        <v>5.4704643220008426</v>
      </c>
      <c r="X25">
        <f t="shared" si="3"/>
        <v>1.3668922202839847E-2</v>
      </c>
      <c r="Y25">
        <f t="shared" si="3"/>
        <v>24.835306379088568</v>
      </c>
    </row>
  </sheetData>
  <autoFilter ref="A1:Y1" xr:uid="{4A11A7C9-4824-4804-85BE-15C06315FDC3}">
    <sortState xmlns:xlrd2="http://schemas.microsoft.com/office/spreadsheetml/2017/richdata2" ref="A2:Y21">
      <sortCondition ref="M1"/>
    </sortState>
  </autoFilter>
  <conditionalFormatting sqref="V2:V15">
    <cfRule type="top10" dxfId="7" priority="4" rank="2"/>
  </conditionalFormatting>
  <conditionalFormatting sqref="W2:W15">
    <cfRule type="top10" dxfId="6" priority="3" rank="2"/>
  </conditionalFormatting>
  <conditionalFormatting sqref="Y2:Y15">
    <cfRule type="top10" dxfId="5" priority="2" rank="2"/>
  </conditionalFormatting>
  <conditionalFormatting sqref="X2:X15">
    <cfRule type="top10" dxfId="1" priority="1" rank="2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F6B6-2040-4C1E-9F5A-AC01E073950E}">
  <dimension ref="A1:Y25"/>
  <sheetViews>
    <sheetView tabSelected="1" topLeftCell="K1" zoomScale="90" zoomScaleNormal="90" workbookViewId="0">
      <selection activeCell="Q36" sqref="Q36"/>
    </sheetView>
  </sheetViews>
  <sheetFormatPr baseColWidth="10" defaultColWidth="8.88671875" defaultRowHeight="14.4" x14ac:dyDescent="0.3"/>
  <cols>
    <col min="2" max="2" width="18" bestFit="1" customWidth="1"/>
    <col min="5" max="5" width="11.77734375" bestFit="1" customWidth="1"/>
  </cols>
  <sheetData>
    <row r="1" spans="1:2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</v>
      </c>
      <c r="B2" s="2" t="s">
        <v>30</v>
      </c>
      <c r="C2" s="2">
        <v>2020.8023284999981</v>
      </c>
      <c r="D2" s="2">
        <v>33.6800388083333</v>
      </c>
      <c r="E2" s="2" t="s">
        <v>31</v>
      </c>
      <c r="F2" s="2"/>
      <c r="G2" s="2" t="s">
        <v>27</v>
      </c>
      <c r="H2" s="2" t="s">
        <v>32</v>
      </c>
      <c r="I2" s="2"/>
      <c r="J2" s="2" t="s">
        <v>29</v>
      </c>
      <c r="K2" s="2">
        <v>1.311751439363152E-2</v>
      </c>
      <c r="L2" s="2">
        <v>0</v>
      </c>
      <c r="M2" s="2">
        <v>1.311751439363152E-2</v>
      </c>
      <c r="N2" s="2" t="s">
        <v>17</v>
      </c>
      <c r="O2" s="2">
        <v>303</v>
      </c>
      <c r="P2" s="2">
        <v>7.9679151233725759E-5</v>
      </c>
      <c r="Q2" s="2">
        <v>1E-4</v>
      </c>
      <c r="R2" s="2">
        <v>2000</v>
      </c>
      <c r="S2" s="2">
        <v>1</v>
      </c>
      <c r="T2" s="2">
        <v>1</v>
      </c>
      <c r="U2" s="2">
        <v>1</v>
      </c>
      <c r="V2" s="2">
        <v>3.351535642361703E-4</v>
      </c>
      <c r="W2" s="2">
        <v>27.529498749844979</v>
      </c>
      <c r="X2" s="2">
        <v>0.36403966334085158</v>
      </c>
      <c r="Y2" s="3">
        <v>65.433144660925123</v>
      </c>
    </row>
    <row r="3" spans="1:25" x14ac:dyDescent="0.3">
      <c r="A3" s="4">
        <v>18</v>
      </c>
      <c r="B3" s="5" t="s">
        <v>78</v>
      </c>
      <c r="C3" s="5">
        <v>14178.406961999999</v>
      </c>
      <c r="D3" s="5">
        <v>236.30678270000001</v>
      </c>
      <c r="E3" s="5" t="s">
        <v>79</v>
      </c>
      <c r="F3" s="5"/>
      <c r="G3" s="5" t="s">
        <v>27</v>
      </c>
      <c r="H3" s="5" t="s">
        <v>80</v>
      </c>
      <c r="I3" s="5"/>
      <c r="J3" s="5" t="s">
        <v>29</v>
      </c>
      <c r="K3" s="5">
        <v>1.8587351559349461E-2</v>
      </c>
      <c r="L3" s="5">
        <v>0</v>
      </c>
      <c r="M3" s="5">
        <v>1.8587351559349461E-2</v>
      </c>
      <c r="N3" s="5" t="s">
        <v>17</v>
      </c>
      <c r="O3" s="5">
        <v>3001</v>
      </c>
      <c r="P3" s="5">
        <v>3.6184124588156201E-3</v>
      </c>
      <c r="Q3" s="5">
        <v>1E-4</v>
      </c>
      <c r="R3" s="5">
        <v>3000</v>
      </c>
      <c r="S3" s="5">
        <v>1</v>
      </c>
      <c r="T3" s="5">
        <v>1</v>
      </c>
      <c r="U3" s="5">
        <v>1</v>
      </c>
      <c r="V3" s="5">
        <v>2.4123827886609662E-3</v>
      </c>
      <c r="W3" s="5">
        <v>19.252693145524649</v>
      </c>
      <c r="X3" s="5">
        <v>0.40080816565356953</v>
      </c>
      <c r="Y3" s="6">
        <v>10.6680880074773</v>
      </c>
    </row>
    <row r="4" spans="1:25" x14ac:dyDescent="0.3">
      <c r="A4" s="4">
        <v>1</v>
      </c>
      <c r="B4" s="5" t="s">
        <v>25</v>
      </c>
      <c r="C4" s="5">
        <v>11425.4872414</v>
      </c>
      <c r="D4" s="5">
        <v>190.4247873566666</v>
      </c>
      <c r="E4" s="5" t="s">
        <v>26</v>
      </c>
      <c r="F4" s="5"/>
      <c r="G4" s="5" t="s">
        <v>27</v>
      </c>
      <c r="H4" s="5" t="s">
        <v>28</v>
      </c>
      <c r="I4" s="5"/>
      <c r="J4" s="5" t="s">
        <v>29</v>
      </c>
      <c r="K4" s="5">
        <v>2.18673103026042E-2</v>
      </c>
      <c r="L4" s="5">
        <v>0</v>
      </c>
      <c r="M4" s="5">
        <v>2.18673103026042E-2</v>
      </c>
      <c r="N4" s="5" t="s">
        <v>17</v>
      </c>
      <c r="O4" s="5">
        <v>2001</v>
      </c>
      <c r="P4" s="5">
        <v>4.3104489368415337E-4</v>
      </c>
      <c r="Q4" s="5">
        <v>1E-4</v>
      </c>
      <c r="R4" s="5">
        <v>2000</v>
      </c>
      <c r="S4" s="5">
        <v>1</v>
      </c>
      <c r="T4" s="5">
        <v>1</v>
      </c>
      <c r="U4" s="5">
        <v>1</v>
      </c>
      <c r="V4" s="5">
        <v>3.260126563038609E-5</v>
      </c>
      <c r="W4" s="5">
        <v>28.102169218284331</v>
      </c>
      <c r="X4" s="5">
        <v>0.41440658523273038</v>
      </c>
      <c r="Y4" s="6">
        <v>99.998448778700308</v>
      </c>
    </row>
    <row r="5" spans="1:25" x14ac:dyDescent="0.3">
      <c r="A5" s="4">
        <v>17</v>
      </c>
      <c r="B5" s="5" t="s">
        <v>75</v>
      </c>
      <c r="C5" s="5">
        <v>17889.761337200001</v>
      </c>
      <c r="D5" s="5">
        <v>298.16268895333332</v>
      </c>
      <c r="E5" s="5" t="s">
        <v>76</v>
      </c>
      <c r="F5" s="5"/>
      <c r="G5" s="5" t="s">
        <v>27</v>
      </c>
      <c r="H5" s="5" t="s">
        <v>77</v>
      </c>
      <c r="I5" s="5"/>
      <c r="J5" s="5" t="s">
        <v>29</v>
      </c>
      <c r="K5" s="5">
        <v>2.3094880861104609E-2</v>
      </c>
      <c r="L5" s="5">
        <v>0</v>
      </c>
      <c r="M5" s="5">
        <v>2.3094880861104609E-2</v>
      </c>
      <c r="N5" s="5" t="s">
        <v>17</v>
      </c>
      <c r="O5" s="5">
        <v>3001</v>
      </c>
      <c r="P5" s="5">
        <v>1.2644160368509799E-3</v>
      </c>
      <c r="Q5" s="5">
        <v>1E-4</v>
      </c>
      <c r="R5" s="5">
        <v>3000</v>
      </c>
      <c r="S5" s="5">
        <v>1</v>
      </c>
      <c r="T5" s="5">
        <v>1</v>
      </c>
      <c r="U5" s="5">
        <v>1</v>
      </c>
      <c r="V5" s="5">
        <v>1.0008337586269931E-3</v>
      </c>
      <c r="W5" s="5">
        <v>19.601667329061218</v>
      </c>
      <c r="X5" s="5">
        <v>0.36124594824033468</v>
      </c>
      <c r="Y5" s="6">
        <v>19.60016406926405</v>
      </c>
    </row>
    <row r="6" spans="1:25" ht="15" thickBot="1" x14ac:dyDescent="0.35">
      <c r="A6" s="7">
        <v>9</v>
      </c>
      <c r="B6" s="8" t="s">
        <v>51</v>
      </c>
      <c r="C6" s="8">
        <v>11404.1302452</v>
      </c>
      <c r="D6" s="8">
        <v>190.06883741999999</v>
      </c>
      <c r="E6" s="8" t="s">
        <v>52</v>
      </c>
      <c r="F6" s="8"/>
      <c r="G6" s="8" t="s">
        <v>27</v>
      </c>
      <c r="H6" s="8" t="s">
        <v>53</v>
      </c>
      <c r="I6" s="8"/>
      <c r="J6" s="8" t="s">
        <v>29</v>
      </c>
      <c r="K6" s="8">
        <v>2.7973376622525491E-2</v>
      </c>
      <c r="L6" s="8">
        <v>0</v>
      </c>
      <c r="M6" s="8">
        <v>2.7973376622525491E-2</v>
      </c>
      <c r="N6" s="8" t="s">
        <v>17</v>
      </c>
      <c r="O6" s="8">
        <v>2001</v>
      </c>
      <c r="P6" s="8">
        <v>1.396946249863243E-3</v>
      </c>
      <c r="Q6" s="8">
        <v>1E-4</v>
      </c>
      <c r="R6" s="8">
        <v>2000</v>
      </c>
      <c r="S6" s="8">
        <v>1</v>
      </c>
      <c r="T6" s="8">
        <v>1</v>
      </c>
      <c r="U6" s="8">
        <v>1</v>
      </c>
      <c r="V6" s="8">
        <v>1.8964874766953979E-5</v>
      </c>
      <c r="W6" s="8">
        <v>34.886369485916973</v>
      </c>
      <c r="X6" s="8">
        <v>0.37391981575107031</v>
      </c>
      <c r="Y6" s="9">
        <v>49.352649868139729</v>
      </c>
    </row>
    <row r="7" spans="1:25" x14ac:dyDescent="0.3">
      <c r="A7" s="1">
        <v>8</v>
      </c>
      <c r="B7" s="2" t="s">
        <v>48</v>
      </c>
      <c r="C7" s="2">
        <v>8662.7927846000021</v>
      </c>
      <c r="D7" s="2">
        <v>144.37987974333339</v>
      </c>
      <c r="E7" s="2" t="s">
        <v>49</v>
      </c>
      <c r="F7" s="2"/>
      <c r="G7" s="2" t="s">
        <v>27</v>
      </c>
      <c r="H7" s="2" t="s">
        <v>50</v>
      </c>
      <c r="I7" s="2"/>
      <c r="J7" s="2" t="s">
        <v>29</v>
      </c>
      <c r="K7" s="2">
        <v>2.9675075548963922E-2</v>
      </c>
      <c r="L7" s="2">
        <v>0</v>
      </c>
      <c r="M7" s="2">
        <v>2.9675075548963922E-2</v>
      </c>
      <c r="N7" s="2" t="s">
        <v>17</v>
      </c>
      <c r="O7" s="2">
        <v>2001</v>
      </c>
      <c r="P7" s="2">
        <v>7.8379498508963127E-4</v>
      </c>
      <c r="Q7" s="2">
        <v>1E-4</v>
      </c>
      <c r="R7" s="2">
        <v>2000</v>
      </c>
      <c r="S7" s="2">
        <v>1</v>
      </c>
      <c r="T7" s="2">
        <v>1</v>
      </c>
      <c r="U7" s="2">
        <v>1</v>
      </c>
      <c r="V7" s="2">
        <v>1.000000009139998E-5</v>
      </c>
      <c r="W7" s="2">
        <v>21.019229185201951</v>
      </c>
      <c r="X7" s="2">
        <v>0.39839472531270642</v>
      </c>
      <c r="Y7" s="3">
        <v>39.800429283472369</v>
      </c>
    </row>
    <row r="8" spans="1:25" x14ac:dyDescent="0.3">
      <c r="A8" s="4">
        <v>7</v>
      </c>
      <c r="B8" s="5" t="s">
        <v>45</v>
      </c>
      <c r="C8" s="5">
        <v>14961.764225499999</v>
      </c>
      <c r="D8" s="5">
        <v>249.36273709166659</v>
      </c>
      <c r="E8" s="5" t="s">
        <v>46</v>
      </c>
      <c r="F8" s="5"/>
      <c r="G8" s="5" t="s">
        <v>27</v>
      </c>
      <c r="H8" s="5" t="s">
        <v>47</v>
      </c>
      <c r="I8" s="5"/>
      <c r="J8" s="5" t="s">
        <v>29</v>
      </c>
      <c r="K8" s="5">
        <v>3.103287414127125E-2</v>
      </c>
      <c r="L8" s="5">
        <v>0</v>
      </c>
      <c r="M8" s="5">
        <v>3.103287414127125E-2</v>
      </c>
      <c r="N8" s="5" t="s">
        <v>17</v>
      </c>
      <c r="O8" s="5">
        <v>2001</v>
      </c>
      <c r="P8" s="5">
        <v>1.3711088461474509E-2</v>
      </c>
      <c r="Q8" s="5">
        <v>1E-4</v>
      </c>
      <c r="R8" s="5">
        <v>2000</v>
      </c>
      <c r="S8" s="5">
        <v>1</v>
      </c>
      <c r="T8" s="5">
        <v>1</v>
      </c>
      <c r="U8" s="5">
        <v>1</v>
      </c>
      <c r="V8" s="5">
        <v>1.2152871033555519E-5</v>
      </c>
      <c r="W8" s="5">
        <v>18.036512433552069</v>
      </c>
      <c r="X8" s="5">
        <v>0.3675098433392962</v>
      </c>
      <c r="Y8" s="6">
        <v>6.3086977381197257E-2</v>
      </c>
    </row>
    <row r="9" spans="1:25" x14ac:dyDescent="0.3">
      <c r="A9" s="4">
        <v>3</v>
      </c>
      <c r="B9" s="5" t="s">
        <v>33</v>
      </c>
      <c r="C9" s="5">
        <v>8929.6685137999993</v>
      </c>
      <c r="D9" s="5">
        <v>148.82780856333329</v>
      </c>
      <c r="E9" s="5" t="s">
        <v>34</v>
      </c>
      <c r="F9" s="5"/>
      <c r="G9" s="5" t="s">
        <v>27</v>
      </c>
      <c r="H9" s="5" t="s">
        <v>35</v>
      </c>
      <c r="I9" s="5"/>
      <c r="J9" s="5" t="s">
        <v>29</v>
      </c>
      <c r="K9" s="5">
        <v>3.3140083109282667E-2</v>
      </c>
      <c r="L9" s="5">
        <v>0</v>
      </c>
      <c r="M9" s="5">
        <v>3.3140083109282667E-2</v>
      </c>
      <c r="N9" s="5" t="s">
        <v>17</v>
      </c>
      <c r="O9" s="5">
        <v>2001</v>
      </c>
      <c r="P9" s="5">
        <v>2.337283520942173E-3</v>
      </c>
      <c r="Q9" s="5">
        <v>1E-4</v>
      </c>
      <c r="R9" s="5">
        <v>2000</v>
      </c>
      <c r="S9" s="5">
        <v>1</v>
      </c>
      <c r="T9" s="5">
        <v>1</v>
      </c>
      <c r="U9" s="5">
        <v>1</v>
      </c>
      <c r="V9" s="5">
        <v>2.8488590080989127E-4</v>
      </c>
      <c r="W9" s="5">
        <v>26.20377447804329</v>
      </c>
      <c r="X9" s="5">
        <v>0.39467814669875972</v>
      </c>
      <c r="Y9" s="6">
        <v>51.670543518679743</v>
      </c>
    </row>
    <row r="10" spans="1:25" x14ac:dyDescent="0.3">
      <c r="A10" s="4">
        <v>16</v>
      </c>
      <c r="B10" s="5" t="s">
        <v>72</v>
      </c>
      <c r="C10" s="5">
        <v>15471.3633562</v>
      </c>
      <c r="D10" s="5">
        <v>257.85605593666668</v>
      </c>
      <c r="E10" s="5" t="s">
        <v>73</v>
      </c>
      <c r="F10" s="5"/>
      <c r="G10" s="5" t="s">
        <v>27</v>
      </c>
      <c r="H10" s="5" t="s">
        <v>74</v>
      </c>
      <c r="I10" s="5"/>
      <c r="J10" s="5" t="s">
        <v>29</v>
      </c>
      <c r="K10" s="5">
        <v>3.4002488435168607E-2</v>
      </c>
      <c r="L10" s="5">
        <v>0</v>
      </c>
      <c r="M10" s="5">
        <v>3.4002488435168607E-2</v>
      </c>
      <c r="N10" s="5" t="s">
        <v>17</v>
      </c>
      <c r="O10" s="5">
        <v>3001</v>
      </c>
      <c r="P10" s="5">
        <v>1.160065340932191E-4</v>
      </c>
      <c r="Q10" s="5">
        <v>1E-4</v>
      </c>
      <c r="R10" s="5">
        <v>3000</v>
      </c>
      <c r="S10" s="5">
        <v>1</v>
      </c>
      <c r="T10" s="5">
        <v>1</v>
      </c>
      <c r="U10" s="5">
        <v>1</v>
      </c>
      <c r="V10" s="5">
        <v>1.000651355853685E-3</v>
      </c>
      <c r="W10" s="5">
        <v>17.682107447162458</v>
      </c>
      <c r="X10" s="5">
        <v>0.38841017229671182</v>
      </c>
      <c r="Y10" s="6">
        <v>14.93618506337028</v>
      </c>
    </row>
    <row r="11" spans="1:25" ht="15" thickBot="1" x14ac:dyDescent="0.35">
      <c r="A11" s="7">
        <v>19</v>
      </c>
      <c r="B11" s="8" t="s">
        <v>81</v>
      </c>
      <c r="C11" s="8">
        <v>12841.259337400001</v>
      </c>
      <c r="D11" s="8">
        <v>214.02098895666671</v>
      </c>
      <c r="E11" s="8" t="s">
        <v>82</v>
      </c>
      <c r="F11" s="8"/>
      <c r="G11" s="8" t="s">
        <v>27</v>
      </c>
      <c r="H11" s="8" t="s">
        <v>83</v>
      </c>
      <c r="I11" s="8"/>
      <c r="J11" s="8" t="s">
        <v>29</v>
      </c>
      <c r="K11" s="8">
        <v>3.4816466573594891E-2</v>
      </c>
      <c r="L11" s="8">
        <v>0</v>
      </c>
      <c r="M11" s="8">
        <v>3.4816466573594891E-2</v>
      </c>
      <c r="N11" s="8" t="s">
        <v>17</v>
      </c>
      <c r="O11" s="8">
        <v>3001</v>
      </c>
      <c r="P11" s="8">
        <v>9.1055496747257704E-4</v>
      </c>
      <c r="Q11" s="8">
        <v>1E-4</v>
      </c>
      <c r="R11" s="8">
        <v>3000</v>
      </c>
      <c r="S11" s="8">
        <v>1</v>
      </c>
      <c r="T11" s="8">
        <v>1</v>
      </c>
      <c r="U11" s="8">
        <v>1</v>
      </c>
      <c r="V11" s="8">
        <v>1.0335477701724661E-3</v>
      </c>
      <c r="W11" s="8">
        <v>18.682946752608238</v>
      </c>
      <c r="X11" s="8">
        <v>0.37300020271814849</v>
      </c>
      <c r="Y11" s="9">
        <v>13.75091922923596</v>
      </c>
    </row>
    <row r="12" spans="1:25" x14ac:dyDescent="0.3">
      <c r="A12" s="1">
        <v>20</v>
      </c>
      <c r="B12" s="2" t="s">
        <v>84</v>
      </c>
      <c r="C12" s="2">
        <v>15026.699616899999</v>
      </c>
      <c r="D12" s="2">
        <v>250.44499361499999</v>
      </c>
      <c r="E12" s="2" t="s">
        <v>85</v>
      </c>
      <c r="F12" s="2"/>
      <c r="G12" s="2" t="s">
        <v>27</v>
      </c>
      <c r="H12" s="2" t="s">
        <v>86</v>
      </c>
      <c r="I12" s="2"/>
      <c r="J12" s="2" t="s">
        <v>29</v>
      </c>
      <c r="K12" s="2">
        <v>4.0462251333287368E-2</v>
      </c>
      <c r="L12" s="2">
        <v>0</v>
      </c>
      <c r="M12" s="2">
        <v>4.0462251333287368E-2</v>
      </c>
      <c r="N12" s="2" t="s">
        <v>17</v>
      </c>
      <c r="O12" s="2">
        <v>3001</v>
      </c>
      <c r="P12" s="2">
        <v>1.9559020197923928E-3</v>
      </c>
      <c r="Q12" s="2">
        <v>1E-4</v>
      </c>
      <c r="R12" s="2">
        <v>3000</v>
      </c>
      <c r="S12" s="2">
        <v>1</v>
      </c>
      <c r="T12" s="2">
        <v>1</v>
      </c>
      <c r="U12" s="2">
        <v>1</v>
      </c>
      <c r="V12" s="2">
        <v>1.480080621464585E-3</v>
      </c>
      <c r="W12" s="2">
        <v>23.414167201547048</v>
      </c>
      <c r="X12" s="2">
        <v>0.38070424318982288</v>
      </c>
      <c r="Y12" s="3">
        <v>12.3747262770157</v>
      </c>
    </row>
    <row r="13" spans="1:25" x14ac:dyDescent="0.3">
      <c r="A13" s="4">
        <v>6</v>
      </c>
      <c r="B13" s="5" t="s">
        <v>42</v>
      </c>
      <c r="C13" s="5">
        <v>10107.442113700001</v>
      </c>
      <c r="D13" s="5">
        <v>168.4573685616667</v>
      </c>
      <c r="E13" s="5" t="s">
        <v>43</v>
      </c>
      <c r="F13" s="5"/>
      <c r="G13" s="5" t="s">
        <v>27</v>
      </c>
      <c r="H13" s="5" t="s">
        <v>44</v>
      </c>
      <c r="I13" s="5"/>
      <c r="J13" s="5" t="s">
        <v>29</v>
      </c>
      <c r="K13" s="5">
        <v>4.2394458675017122E-2</v>
      </c>
      <c r="L13" s="5">
        <v>0</v>
      </c>
      <c r="M13" s="5">
        <v>4.2394458675017122E-2</v>
      </c>
      <c r="N13" s="5" t="s">
        <v>17</v>
      </c>
      <c r="O13" s="5">
        <v>2001</v>
      </c>
      <c r="P13" s="5">
        <v>1.9531467257387759E-4</v>
      </c>
      <c r="Q13" s="5">
        <v>1E-4</v>
      </c>
      <c r="R13" s="5">
        <v>2000</v>
      </c>
      <c r="S13" s="5">
        <v>1</v>
      </c>
      <c r="T13" s="5">
        <v>1</v>
      </c>
      <c r="U13" s="5">
        <v>1</v>
      </c>
      <c r="V13" s="5">
        <v>2.4155400000542751E-5</v>
      </c>
      <c r="W13" s="5">
        <v>25.505232106878822</v>
      </c>
      <c r="X13" s="5">
        <v>0.37585832494496452</v>
      </c>
      <c r="Y13" s="6">
        <v>47.227592529172199</v>
      </c>
    </row>
    <row r="14" spans="1:25" x14ac:dyDescent="0.3">
      <c r="A14" s="4">
        <v>5</v>
      </c>
      <c r="B14" s="5" t="s">
        <v>39</v>
      </c>
      <c r="C14" s="5">
        <v>2724.3366834999979</v>
      </c>
      <c r="D14" s="5">
        <v>45.405611391666632</v>
      </c>
      <c r="E14" s="5" t="s">
        <v>40</v>
      </c>
      <c r="F14" s="5"/>
      <c r="G14" s="5" t="s">
        <v>27</v>
      </c>
      <c r="H14" s="5" t="s">
        <v>41</v>
      </c>
      <c r="I14" s="5"/>
      <c r="J14" s="5" t="s">
        <v>29</v>
      </c>
      <c r="K14" s="5">
        <v>4.3342520554566527E-2</v>
      </c>
      <c r="L14" s="5">
        <v>0</v>
      </c>
      <c r="M14" s="5">
        <v>4.3342520554566527E-2</v>
      </c>
      <c r="N14" s="5" t="s">
        <v>17</v>
      </c>
      <c r="O14" s="5">
        <v>600</v>
      </c>
      <c r="P14" s="5">
        <v>8.9477182306027151E-5</v>
      </c>
      <c r="Q14" s="5">
        <v>1E-4</v>
      </c>
      <c r="R14" s="5">
        <v>2000</v>
      </c>
      <c r="S14" s="5">
        <v>1</v>
      </c>
      <c r="T14" s="5">
        <v>1</v>
      </c>
      <c r="U14" s="5">
        <v>1</v>
      </c>
      <c r="V14" s="5">
        <v>4.6900858284574008E-4</v>
      </c>
      <c r="W14" s="5">
        <v>38.689246272275007</v>
      </c>
      <c r="X14" s="5">
        <v>0.36319152094533358</v>
      </c>
      <c r="Y14" s="6">
        <v>81.811964419272968</v>
      </c>
    </row>
    <row r="15" spans="1:25" x14ac:dyDescent="0.3">
      <c r="A15" s="4">
        <v>4</v>
      </c>
      <c r="B15" s="5" t="s">
        <v>36</v>
      </c>
      <c r="C15" s="5">
        <v>9338.5440009000013</v>
      </c>
      <c r="D15" s="5">
        <v>155.64240001499999</v>
      </c>
      <c r="E15" s="5" t="s">
        <v>37</v>
      </c>
      <c r="F15" s="5"/>
      <c r="G15" s="5" t="s">
        <v>27</v>
      </c>
      <c r="H15" s="5" t="s">
        <v>38</v>
      </c>
      <c r="I15" s="5"/>
      <c r="J15" s="5" t="s">
        <v>29</v>
      </c>
      <c r="K15" s="5">
        <v>4.3786216137261899E-2</v>
      </c>
      <c r="L15" s="5">
        <v>0</v>
      </c>
      <c r="M15" s="5">
        <v>4.3786216137261899E-2</v>
      </c>
      <c r="N15" s="5" t="s">
        <v>17</v>
      </c>
      <c r="O15" s="5">
        <v>2001</v>
      </c>
      <c r="P15" s="5">
        <v>2.9923830094214748E-3</v>
      </c>
      <c r="Q15" s="5">
        <v>1E-4</v>
      </c>
      <c r="R15" s="5">
        <v>2000</v>
      </c>
      <c r="S15" s="5">
        <v>1</v>
      </c>
      <c r="T15" s="5">
        <v>1</v>
      </c>
      <c r="U15" s="5">
        <v>1</v>
      </c>
      <c r="V15" s="5">
        <v>2.2423638817534172E-5</v>
      </c>
      <c r="W15" s="5">
        <v>31.02966681033983</v>
      </c>
      <c r="X15" s="5">
        <v>0.37017424455872178</v>
      </c>
      <c r="Y15" s="6">
        <v>49.555432437358789</v>
      </c>
    </row>
    <row r="16" spans="1:25" ht="15" thickBot="1" x14ac:dyDescent="0.35">
      <c r="A16" s="7">
        <v>11</v>
      </c>
      <c r="B16" s="8" t="s">
        <v>57</v>
      </c>
      <c r="C16" s="8">
        <v>9867.2006258000001</v>
      </c>
      <c r="D16" s="8">
        <v>164.45334376333329</v>
      </c>
      <c r="E16" s="8" t="s">
        <v>58</v>
      </c>
      <c r="F16" s="8"/>
      <c r="G16" s="8" t="s">
        <v>27</v>
      </c>
      <c r="H16" s="8" t="s">
        <v>59</v>
      </c>
      <c r="I16" s="8"/>
      <c r="J16" s="8" t="s">
        <v>29</v>
      </c>
      <c r="K16" s="8">
        <v>9.2561523597760972E-2</v>
      </c>
      <c r="L16" s="8">
        <v>0</v>
      </c>
      <c r="M16" s="8">
        <v>9.2561523597760972E-2</v>
      </c>
      <c r="N16" s="8" t="s">
        <v>17</v>
      </c>
      <c r="O16" s="8">
        <v>2001</v>
      </c>
      <c r="P16" s="8">
        <v>1.713036197733583E-4</v>
      </c>
      <c r="Q16" s="8">
        <v>1E-4</v>
      </c>
      <c r="R16" s="8">
        <v>2000</v>
      </c>
      <c r="S16" s="8">
        <v>1</v>
      </c>
      <c r="T16" s="8">
        <v>1</v>
      </c>
      <c r="U16" s="8">
        <v>1</v>
      </c>
      <c r="V16" s="8">
        <v>1.005548457583035E-3</v>
      </c>
      <c r="W16" s="8">
        <v>9.9997832473379322</v>
      </c>
      <c r="X16" s="8">
        <v>0.2990811044445793</v>
      </c>
      <c r="Y16" s="9">
        <v>2.6957544461899709E-2</v>
      </c>
    </row>
    <row r="17" spans="1:25" x14ac:dyDescent="0.3">
      <c r="A17" s="1">
        <v>14</v>
      </c>
      <c r="B17" s="2" t="s">
        <v>66</v>
      </c>
      <c r="C17" s="2">
        <v>2667.4435393999988</v>
      </c>
      <c r="D17" s="2">
        <v>44.457392323333323</v>
      </c>
      <c r="E17" s="2" t="s">
        <v>67</v>
      </c>
      <c r="F17" s="2"/>
      <c r="G17" s="2" t="s">
        <v>27</v>
      </c>
      <c r="H17" s="2" t="s">
        <v>68</v>
      </c>
      <c r="I17" s="2"/>
      <c r="J17" s="2" t="s">
        <v>29</v>
      </c>
      <c r="K17" s="2">
        <v>0.1518043303059517</v>
      </c>
      <c r="L17" s="2">
        <v>0</v>
      </c>
      <c r="M17" s="2">
        <v>0.1518043303059517</v>
      </c>
      <c r="N17" s="2" t="s">
        <v>17</v>
      </c>
      <c r="O17" s="2">
        <v>380</v>
      </c>
      <c r="P17" s="2">
        <v>9.9895639855102447E-5</v>
      </c>
      <c r="Q17" s="2">
        <v>1E-4</v>
      </c>
      <c r="R17" s="2">
        <v>2000</v>
      </c>
      <c r="S17" s="2">
        <v>1</v>
      </c>
      <c r="T17" s="2">
        <v>1</v>
      </c>
      <c r="U17" s="2">
        <v>1</v>
      </c>
      <c r="V17" s="2">
        <v>1.003159881153951E-3</v>
      </c>
      <c r="W17" s="2">
        <v>9.999867119204275</v>
      </c>
      <c r="X17" s="2">
        <v>0.2951972007664545</v>
      </c>
      <c r="Y17" s="3">
        <v>2.041420830888898E-2</v>
      </c>
    </row>
    <row r="18" spans="1:25" x14ac:dyDescent="0.3">
      <c r="A18" s="4">
        <v>15</v>
      </c>
      <c r="B18" s="5" t="s">
        <v>69</v>
      </c>
      <c r="C18" s="5">
        <v>3407.1815898</v>
      </c>
      <c r="D18" s="5">
        <v>56.786359830000009</v>
      </c>
      <c r="E18" s="5" t="s">
        <v>70</v>
      </c>
      <c r="F18" s="5"/>
      <c r="G18" s="5" t="s">
        <v>27</v>
      </c>
      <c r="H18" s="5" t="s">
        <v>71</v>
      </c>
      <c r="I18" s="5"/>
      <c r="J18" s="5" t="s">
        <v>29</v>
      </c>
      <c r="K18" s="5">
        <v>0.15216373392657459</v>
      </c>
      <c r="L18" s="5">
        <v>0</v>
      </c>
      <c r="M18" s="5">
        <v>0.15216373392657459</v>
      </c>
      <c r="N18" s="5" t="s">
        <v>17</v>
      </c>
      <c r="O18" s="5">
        <v>613</v>
      </c>
      <c r="P18" s="5">
        <v>9.8950665860574014E-5</v>
      </c>
      <c r="Q18" s="5">
        <v>1E-4</v>
      </c>
      <c r="R18" s="5">
        <v>2000</v>
      </c>
      <c r="S18" s="5">
        <v>1</v>
      </c>
      <c r="T18" s="5">
        <v>1</v>
      </c>
      <c r="U18" s="5">
        <v>1</v>
      </c>
      <c r="V18" s="5">
        <v>1.1429382749421409E-3</v>
      </c>
      <c r="W18" s="5">
        <v>9.9999998403741674</v>
      </c>
      <c r="X18" s="5">
        <v>0.2953416558699074</v>
      </c>
      <c r="Y18" s="6">
        <v>1.052596497902596E-2</v>
      </c>
    </row>
    <row r="19" spans="1:25" x14ac:dyDescent="0.3">
      <c r="A19" s="4">
        <v>12</v>
      </c>
      <c r="B19" s="5" t="s">
        <v>60</v>
      </c>
      <c r="C19" s="5">
        <v>5495.7031031000006</v>
      </c>
      <c r="D19" s="5">
        <v>91.595051718333337</v>
      </c>
      <c r="E19" s="5" t="s">
        <v>61</v>
      </c>
      <c r="F19" s="5"/>
      <c r="G19" s="5" t="s">
        <v>27</v>
      </c>
      <c r="H19" s="5" t="s">
        <v>62</v>
      </c>
      <c r="I19" s="5"/>
      <c r="J19" s="5" t="s">
        <v>29</v>
      </c>
      <c r="K19" s="5">
        <v>0.1700827802993029</v>
      </c>
      <c r="L19" s="5">
        <v>0</v>
      </c>
      <c r="M19" s="5">
        <v>0.1700827802993029</v>
      </c>
      <c r="N19" s="5" t="s">
        <v>17</v>
      </c>
      <c r="O19" s="5">
        <v>916</v>
      </c>
      <c r="P19" s="5">
        <v>9.5423336664059123E-5</v>
      </c>
      <c r="Q19" s="5">
        <v>1E-4</v>
      </c>
      <c r="R19" s="5">
        <v>2000</v>
      </c>
      <c r="S19" s="5">
        <v>1</v>
      </c>
      <c r="T19" s="5">
        <v>1</v>
      </c>
      <c r="U19" s="5">
        <v>1</v>
      </c>
      <c r="V19" s="5">
        <v>1.030992217936331E-3</v>
      </c>
      <c r="W19" s="5">
        <v>9.9966014671545942</v>
      </c>
      <c r="X19" s="5">
        <v>0.3143313623168964</v>
      </c>
      <c r="Y19" s="6">
        <v>1.0108712491911479E-2</v>
      </c>
    </row>
    <row r="20" spans="1:25" x14ac:dyDescent="0.3">
      <c r="A20" s="4">
        <v>13</v>
      </c>
      <c r="B20" s="5" t="s">
        <v>63</v>
      </c>
      <c r="C20" s="5">
        <v>11021.9360953</v>
      </c>
      <c r="D20" s="5">
        <v>183.69893492166671</v>
      </c>
      <c r="E20" s="5" t="s">
        <v>64</v>
      </c>
      <c r="F20" s="5"/>
      <c r="G20" s="5" t="s">
        <v>27</v>
      </c>
      <c r="H20" s="5" t="s">
        <v>65</v>
      </c>
      <c r="I20" s="5"/>
      <c r="J20" s="5" t="s">
        <v>29</v>
      </c>
      <c r="K20" s="5">
        <v>0.19284375444317289</v>
      </c>
      <c r="L20" s="5">
        <v>0</v>
      </c>
      <c r="M20" s="5">
        <v>0.19284375444317289</v>
      </c>
      <c r="N20" s="5" t="s">
        <v>17</v>
      </c>
      <c r="O20" s="5">
        <v>2001</v>
      </c>
      <c r="P20" s="5">
        <v>1.387033477103426E-3</v>
      </c>
      <c r="Q20" s="5">
        <v>1E-4</v>
      </c>
      <c r="R20" s="5">
        <v>2000</v>
      </c>
      <c r="S20" s="5">
        <v>1</v>
      </c>
      <c r="T20" s="5">
        <v>1</v>
      </c>
      <c r="U20" s="5">
        <v>1</v>
      </c>
      <c r="V20" s="5">
        <v>1.025347386601477E-3</v>
      </c>
      <c r="W20" s="5">
        <v>9.9999816460808155</v>
      </c>
      <c r="X20" s="5">
        <v>0.28260198691805732</v>
      </c>
      <c r="Y20" s="6">
        <v>1.0658928639979999E-2</v>
      </c>
    </row>
    <row r="21" spans="1:25" ht="15" thickBot="1" x14ac:dyDescent="0.35">
      <c r="A21" s="7">
        <v>10</v>
      </c>
      <c r="B21" s="8" t="s">
        <v>54</v>
      </c>
      <c r="C21" s="8">
        <v>74.244357499999751</v>
      </c>
      <c r="D21" s="8">
        <v>1.237405958333329</v>
      </c>
      <c r="E21" s="8" t="s">
        <v>55</v>
      </c>
      <c r="F21" s="8"/>
      <c r="G21" s="8" t="s">
        <v>27</v>
      </c>
      <c r="H21" s="8" t="s">
        <v>56</v>
      </c>
      <c r="I21" s="8"/>
      <c r="J21" s="8" t="s">
        <v>29</v>
      </c>
      <c r="K21" s="8">
        <v>0.96546457193531521</v>
      </c>
      <c r="L21" s="8">
        <v>0</v>
      </c>
      <c r="M21" s="8">
        <v>0.96546457193531521</v>
      </c>
      <c r="N21" s="8" t="s">
        <v>17</v>
      </c>
      <c r="O21" s="8">
        <v>34</v>
      </c>
      <c r="P21" s="8">
        <v>9.6223146545785398E-5</v>
      </c>
      <c r="Q21" s="8">
        <v>1E-4</v>
      </c>
      <c r="R21" s="8">
        <v>2000</v>
      </c>
      <c r="S21" s="8">
        <v>1</v>
      </c>
      <c r="T21" s="8">
        <v>1</v>
      </c>
      <c r="U21" s="8">
        <v>1</v>
      </c>
      <c r="V21" s="8">
        <v>2.8488999999999999E-4</v>
      </c>
      <c r="W21" s="8">
        <v>23.414200000000001</v>
      </c>
      <c r="X21" s="8">
        <v>0.37391999999999997</v>
      </c>
      <c r="Y21" s="9">
        <v>39.800400000000003</v>
      </c>
    </row>
    <row r="23" spans="1:25" x14ac:dyDescent="0.3">
      <c r="V23">
        <f>AVERAGE(V2:V21)</f>
        <v>6.8148593056139022E-4</v>
      </c>
      <c r="W23">
        <f t="shared" ref="W23:Y23" si="0">AVERAGE(W2:W21)</f>
        <v>21.152285696819636</v>
      </c>
      <c r="X23">
        <f t="shared" si="0"/>
        <v>0.35934074562694585</v>
      </c>
      <c r="Y23">
        <f t="shared" si="0"/>
        <v>29.806122023917368</v>
      </c>
    </row>
    <row r="24" spans="1:25" x14ac:dyDescent="0.3">
      <c r="V24">
        <f>MEDIAN(V2:V21)</f>
        <v>7.3482996934971247E-4</v>
      </c>
      <c r="W24">
        <f t="shared" ref="W24:Y24" si="1">MEDIAN(W2:W21)</f>
        <v>20.310448257131583</v>
      </c>
      <c r="X24">
        <f t="shared" si="1"/>
        <v>0.3715872236384351</v>
      </c>
      <c r="Y24">
        <f t="shared" si="1"/>
        <v>17.268174566317164</v>
      </c>
    </row>
    <row r="25" spans="1:25" x14ac:dyDescent="0.3">
      <c r="V25">
        <f>STDEVA(V2:V21)</f>
        <v>6.3777506162885321E-4</v>
      </c>
      <c r="W25">
        <f t="shared" ref="W25:Y25" si="2">STDEVA(W2:W21)</f>
        <v>8.5631716627075409</v>
      </c>
      <c r="X25">
        <f t="shared" si="2"/>
        <v>3.9531802927071397E-2</v>
      </c>
      <c r="Y25">
        <f t="shared" si="2"/>
        <v>30.113328264384752</v>
      </c>
    </row>
  </sheetData>
  <autoFilter ref="A1:Y1" xr:uid="{4A11A7C9-4824-4804-85BE-15C06315FDC3}">
    <sortState xmlns:xlrd2="http://schemas.microsoft.com/office/spreadsheetml/2017/richdata2" ref="A2:Y21">
      <sortCondition ref="K1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Hoja1 (3)</vt:lpstr>
      <vt:lpstr>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MARIA FERNANDA FOLCH</cp:lastModifiedBy>
  <dcterms:created xsi:type="dcterms:W3CDTF">2015-06-05T18:19:34Z</dcterms:created>
  <dcterms:modified xsi:type="dcterms:W3CDTF">2026-05-26T15:06:28Z</dcterms:modified>
</cp:coreProperties>
</file>