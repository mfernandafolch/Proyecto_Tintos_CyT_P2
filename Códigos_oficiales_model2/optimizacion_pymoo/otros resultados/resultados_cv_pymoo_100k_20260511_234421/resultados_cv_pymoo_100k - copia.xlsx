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_model2\optimizacion_pymoo\resultados_cv_pymoo_100k_20260511_234421\"/>
    </mc:Choice>
  </mc:AlternateContent>
  <xr:revisionPtr revIDLastSave="0" documentId="13_ncr:1_{21E5DEF8-3FF8-4D9A-8339-484AA84E761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sultados" sheetId="1" r:id="rId1"/>
    <sheet name="resultados (2)" sheetId="2" r:id="rId2"/>
    <sheet name="Hoja2" sheetId="3" r:id="rId3"/>
  </sheets>
  <definedNames>
    <definedName name="_xlnm._FilterDatabase" localSheetId="2" hidden="1">Hoja2!$A$1:$Y$1</definedName>
    <definedName name="_xlnm._FilterDatabase" localSheetId="1" hidden="1">'resultados (2)'!$A$1:$Y$1</definedName>
    <definedName name="_xlchart.v1.0" hidden="1">resultados!$Y$1</definedName>
    <definedName name="_xlchart.v1.1" hidden="1">resultados!$Y$2:$Y$51</definedName>
    <definedName name="_xlchart.v1.10" hidden="1">'resultados (2)'!$Y$1</definedName>
    <definedName name="_xlchart.v1.11" hidden="1">'resultados (2)'!$Y$2:$Y$51</definedName>
    <definedName name="_xlchart.v1.12" hidden="1">'resultados (2)'!$S$1</definedName>
    <definedName name="_xlchart.v1.13" hidden="1">'resultados (2)'!$S$2:$S$51</definedName>
    <definedName name="_xlchart.v1.14" hidden="1">'resultados (2)'!$U$1</definedName>
    <definedName name="_xlchart.v1.15" hidden="1">'resultados (2)'!$U$2:$U$51</definedName>
    <definedName name="_xlchart.v1.16" hidden="1">'resultados (2)'!$X$1</definedName>
    <definedName name="_xlchart.v1.17" hidden="1">'resultados (2)'!$X$2:$X$51</definedName>
    <definedName name="_xlchart.v1.18" hidden="1">Hoja2!$X$1</definedName>
    <definedName name="_xlchart.v1.19" hidden="1">Hoja2!$X$2:$X$21</definedName>
    <definedName name="_xlchart.v1.2" hidden="1">resultados!$S$1</definedName>
    <definedName name="_xlchart.v1.20" hidden="1">Hoja2!$Y$1</definedName>
    <definedName name="_xlchart.v1.21" hidden="1">Hoja2!$Y$2:$Y$21</definedName>
    <definedName name="_xlchart.v1.22" hidden="1">Hoja2!$S$1</definedName>
    <definedName name="_xlchart.v1.23" hidden="1">Hoja2!$S$2:$S$21</definedName>
    <definedName name="_xlchart.v1.24" hidden="1">Hoja2!$S$1</definedName>
    <definedName name="_xlchart.v1.25" hidden="1">Hoja2!$S$2:$S$21</definedName>
    <definedName name="_xlchart.v1.26" hidden="1">Hoja2!$U$1</definedName>
    <definedName name="_xlchart.v1.27" hidden="1">Hoja2!$U$2:$U$21</definedName>
    <definedName name="_xlchart.v1.28" hidden="1">Hoja2!$U$1</definedName>
    <definedName name="_xlchart.v1.29" hidden="1">Hoja2!$U$2:$U$21</definedName>
    <definedName name="_xlchart.v1.3" hidden="1">resultados!$S$2:$S$51</definedName>
    <definedName name="_xlchart.v1.30" hidden="1">Hoja2!$X$1</definedName>
    <definedName name="_xlchart.v1.31" hidden="1">Hoja2!$X$2:$X$21</definedName>
    <definedName name="_xlchart.v1.32" hidden="1">Hoja2!$F$25</definedName>
    <definedName name="_xlchart.v1.33" hidden="1">Hoja2!$S$1</definedName>
    <definedName name="_xlchart.v1.34" hidden="1">Hoja2!$S$2:$S$21</definedName>
    <definedName name="_xlchart.v1.4" hidden="1">resultados!$U$1</definedName>
    <definedName name="_xlchart.v1.5" hidden="1">resultados!$U$2:$U$51</definedName>
    <definedName name="_xlchart.v1.6" hidden="1">resultados!$X$1</definedName>
    <definedName name="_xlchart.v1.7" hidden="1">resultados!$X$2:$X$51</definedName>
    <definedName name="_xlchart.v1.8" hidden="1">resultados!$Y$1</definedName>
    <definedName name="_xlchart.v1.9" hidden="1">resultados!$Y$2:$Y$51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3" l="1"/>
  <c r="X24" i="3"/>
  <c r="Y24" i="3"/>
  <c r="S24" i="3"/>
  <c r="U25" i="3"/>
  <c r="X25" i="3"/>
  <c r="Y25" i="3"/>
  <c r="S25" i="3"/>
  <c r="U23" i="3"/>
  <c r="X23" i="3"/>
  <c r="Y23" i="3"/>
  <c r="S23" i="3"/>
  <c r="A23" i="3"/>
  <c r="Y54" i="2"/>
  <c r="X54" i="2"/>
  <c r="U54" i="2"/>
  <c r="S54" i="2"/>
  <c r="Y53" i="2"/>
  <c r="X53" i="2"/>
  <c r="U53" i="2"/>
  <c r="S53" i="2"/>
  <c r="U54" i="1"/>
  <c r="X54" i="1"/>
  <c r="Y54" i="1"/>
  <c r="S54" i="1"/>
  <c r="U53" i="1"/>
  <c r="X53" i="1"/>
  <c r="Y53" i="1"/>
  <c r="S53" i="1"/>
</calcChain>
</file>

<file path=xl/sharedStrings.xml><?xml version="1.0" encoding="utf-8"?>
<sst xmlns="http://schemas.openxmlformats.org/spreadsheetml/2006/main" count="795" uniqueCount="177">
  <si>
    <t>iteracion</t>
  </si>
  <si>
    <t>hora_fin</t>
  </si>
  <si>
    <t>duracion_s</t>
  </si>
  <si>
    <t>duracion_min</t>
  </si>
  <si>
    <t>ids_ajuste</t>
  </si>
  <si>
    <t>ids_validacion</t>
  </si>
  <si>
    <t>ids_separados</t>
  </si>
  <si>
    <t>nombres_ajuste</t>
  </si>
  <si>
    <t>nombres_validacion</t>
  </si>
  <si>
    <t>nombres_separados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</si>
  <si>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</si>
  <si>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</si>
  <si>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</si>
  <si>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</si>
  <si>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</si>
  <si>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</si>
  <si>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</si>
  <si>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</si>
  <si>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</si>
  <si>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kd0</t>
  </si>
  <si>
    <t>betaS0</t>
  </si>
  <si>
    <t>Kn</t>
  </si>
  <si>
    <t>Yxn</t>
  </si>
  <si>
    <t>Yes</t>
  </si>
  <si>
    <t>Ks</t>
  </si>
  <si>
    <t>2026-05-11 23:50:50</t>
  </si>
  <si>
    <t>2,10,13,15,16</t>
  </si>
  <si>
    <t>3,4,11,14</t>
  </si>
  <si>
    <t>Data CS 24 LOU estanque 54.xlsx | Data ME 24 QAGUA estanque 54.xlsx | Data CA 24 VAL estanque 31.xlsx | Data CA 24 VAL estanque 62.xlsx | Data CA 25 F.N. estanque 68.xlsx</t>
  </si>
  <si>
    <t>Data CS 25 EL BOLDO estanque 55.xlsx | Data CS 25 LOU estanque 61.xlsx | Data ME 25 AURORA + STA MARTA estanque 57.xlsx | Data CA 24 VAL estanque 59.xlsx</t>
  </si>
  <si>
    <t>2026-05-12 00:07:09</t>
  </si>
  <si>
    <t>6,7,12,13,16</t>
  </si>
  <si>
    <t>Data SY 24 VAL+STARAQ estanque 56.xlsx | Data SY 24 LOU estanque 62.xlsx | Data ME 25 STA MARTA estanque 62.xlsx | Data CA 24 VAL estanque 31.xlsx | Data CA 25 F.N. estanque 68.xlsx</t>
  </si>
  <si>
    <t>2026-05-12 00:14:35</t>
  </si>
  <si>
    <t>5,7,10,12,13</t>
  </si>
  <si>
    <t>Data SY 24 LOU+VAL+FN estanque 36.xlsx | Data SY 24 LOU estanque 62.xlsx | Data ME 24 QAGUA estanque 54.xlsx | Data ME 25 STA MARTA estanque 62.xlsx | Data CA 24 VAL estanque 31.xlsx</t>
  </si>
  <si>
    <t>2026-05-12 00:11:27</t>
  </si>
  <si>
    <t>6,7,13,15,16</t>
  </si>
  <si>
    <t>Data SY 24 VAL+STARAQ estanque 56.xlsx | Data SY 24 LOU estanque 62.xlsx | Data CA 24 VAL estanque 31.xlsx | Data CA 24 VAL estanque 62.xlsx | Data CA 25 F.N. estanque 68.xlsx</t>
  </si>
  <si>
    <t>2026-05-11 23:46:12</t>
  </si>
  <si>
    <t>1,8,10,12,15</t>
  </si>
  <si>
    <t>Data CS 24 EL BOLDO estanque 30.xlsx | Data SY 25 LOU estanque 30.xlsx | Data ME 24 QAGUA estanque 54.xlsx | Data ME 25 STA MARTA estanque 62.xlsx | Data CA 24 VAL estanque 62.xlsx</t>
  </si>
  <si>
    <t>2026-05-11 23:50:07</t>
  </si>
  <si>
    <t>6,8,13,15,16</t>
  </si>
  <si>
    <t>Data SY 24 VAL+STARAQ estanque 56.xlsx | Data SY 25 LOU estanque 30.xlsx | Data CA 24 VAL estanque 31.xlsx | Data CA 24 VAL estanque 62.xlsx | Data CA 25 F.N. estanque 68.xlsx</t>
  </si>
  <si>
    <t>2026-05-12 00:08:31</t>
  </si>
  <si>
    <t>6,8,9,12,13</t>
  </si>
  <si>
    <t>Data SY 24 VAL+STARAQ estanque 56.xlsx | Data SY 25 LOU estanque 30.xlsx | Data ME 25 Q. AGUA estanque 85.xlsx | Data ME 25 STA MARTA estanque 62.xlsx | Data CA 24 VAL estanque 31.xlsx</t>
  </si>
  <si>
    <t>2026-05-11 23:54:14</t>
  </si>
  <si>
    <t>5,7,8,13,16</t>
  </si>
  <si>
    <t>Data SY 24 LOU+VAL+FN estanque 36.xlsx | Data SY 24 LOU estanque 62.xlsx | Data SY 25 LOU estanque 30.xlsx | Data CA 24 VAL estanque 31.xlsx | Data CA 25 F.N. estanque 68.xlsx</t>
  </si>
  <si>
    <t>2026-05-12 00:55:39</t>
  </si>
  <si>
    <t>1,2,6,7,15</t>
  </si>
  <si>
    <t>Data CS 24 EL BOLDO estanque 30.xlsx | Data CS 24 LOU estanque 54.xlsx | Data SY 24 VAL+STARAQ estanque 56.xlsx | Data SY 24 LOU estanque 62.xlsx | Data CA 24 VAL estanque 62.xlsx</t>
  </si>
  <si>
    <t>2026-05-12 00:17:00</t>
  </si>
  <si>
    <t>2,5,6,8,12</t>
  </si>
  <si>
    <t>Data CS 24 LOU estanque 54.xlsx | Data SY 24 LOU+VAL+FN estanque 36.xlsx | Data SY 24 VAL+STARAQ estanque 56.xlsx | Data SY 25 LOU estanque 30.xlsx | Data ME 25 STA MARTA estanque 62.xlsx</t>
  </si>
  <si>
    <t>2026-05-12 00:44:16</t>
  </si>
  <si>
    <t>1,2,5,9,13</t>
  </si>
  <si>
    <t>Data CS 24 EL BOLDO estanque 30.xlsx | Data CS 24 LOU estanque 54.xlsx | Data SY 24 LOU+VAL+FN estanque 36.xlsx | Data ME 25 Q. AGUA estanque 85.xlsx | Data CA 24 VAL estanque 31.xlsx</t>
  </si>
  <si>
    <t>2026-05-12 00:17:28</t>
  </si>
  <si>
    <t>1,2,12,15,16</t>
  </si>
  <si>
    <t>Data CS 24 EL BOLDO estanque 30.xlsx | Data CS 24 LOU estanque 54.xlsx | Data ME 25 STA MARTA estanque 62.xlsx | Data CA 24 VAL estanque 62.xlsx | Data CA 25 F.N. estanque 68.xlsx</t>
  </si>
  <si>
    <t>2026-05-12 00:20:25</t>
  </si>
  <si>
    <t>1,2,6,10,15</t>
  </si>
  <si>
    <t>Data CS 24 EL BOLDO estanque 30.xlsx | Data CS 24 LOU estanque 54.xlsx | Data SY 24 VAL+STARAQ estanque 56.xlsx | Data ME 24 QAGUA estanque 54.xlsx | Data CA 24 VAL estanque 62.xlsx</t>
  </si>
  <si>
    <t>2026-05-12 00:55:29</t>
  </si>
  <si>
    <t>1,5,6,7,13</t>
  </si>
  <si>
    <t>Data CS 24 EL BOLDO estanque 30.xlsx | Data SY 24 LOU+VAL+FN estanque 36.xlsx | Data SY 24 VAL+STARAQ estanque 56.xlsx | Data SY 24 LOU estanque 62.xlsx | Data CA 24 VAL estanque 31.xlsx</t>
  </si>
  <si>
    <t>2026-05-12 00:21:52</t>
  </si>
  <si>
    <t>2,6,13,15,16</t>
  </si>
  <si>
    <t>Data CS 24 LOU estanque 54.xlsx | Data SY 24 VAL+STARAQ estanque 56.xlsx | Data CA 24 VAL estanque 31.xlsx | Data CA 24 VAL estanque 62.xlsx | Data CA 25 F.N. estanque 68.xlsx</t>
  </si>
  <si>
    <t>2026-05-12 00:25:48</t>
  </si>
  <si>
    <t>2,6,7,9,16</t>
  </si>
  <si>
    <t>Data CS 24 LOU estanque 54.xlsx | Data SY 24 VAL+STARAQ estanque 56.xlsx | Data SY 24 LOU estanque 62.xlsx | Data ME 25 Q. AGUA estanque 85.xlsx | Data CA 25 F.N. estanque 68.xlsx</t>
  </si>
  <si>
    <t>2026-05-12 01:18:48</t>
  </si>
  <si>
    <t>1,9,13,15,16</t>
  </si>
  <si>
    <t>Data CS 24 EL BOLDO estanque 30.xlsx | Data ME 25 Q. AGUA estanque 85.xlsx | Data CA 24 VAL estanque 31.xlsx | Data CA 24 VAL estanque 62.xlsx | Data CA 25 F.N. estanque 68.xlsx</t>
  </si>
  <si>
    <t>2026-05-12 00:28:05</t>
  </si>
  <si>
    <t>2,5,7,8,13</t>
  </si>
  <si>
    <t>Data CS 24 LOU estanque 54.xlsx | Data SY 24 LOU+VAL+FN estanque 36.xlsx | Data SY 24 LOU estanque 62.xlsx | Data SY 25 LOU estanque 30.xlsx | Data CA 24 VAL estanque 31.xlsx</t>
  </si>
  <si>
    <t>2026-05-12 00:39:29</t>
  </si>
  <si>
    <t>5,6,12,15,16</t>
  </si>
  <si>
    <t>Data SY 24 LOU+VAL+FN estanque 36.xlsx | Data SY 24 VAL+STARAQ estanque 56.xlsx | Data ME 25 STA MARTA estanque 62.xlsx | Data CA 24 VAL estanque 62.xlsx | Data CA 25 F.N. estanque 68.xlsx</t>
  </si>
  <si>
    <t>2026-05-12 00:49:36</t>
  </si>
  <si>
    <t>1,6,7,12,13</t>
  </si>
  <si>
    <t>Data CS 24 EL BOLDO estanque 30.xlsx | Data SY 24 VAL+STARAQ estanque 56.xlsx | Data SY 24 LOU estanque 62.xlsx | Data ME 25 STA MARTA estanque 62.xlsx | Data CA 24 VAL estanque 31.xlsx</t>
  </si>
  <si>
    <t>2026-05-12 00:50:12</t>
  </si>
  <si>
    <t>2,9,10,12,15</t>
  </si>
  <si>
    <t>Data CS 24 LOU estanque 54.xlsx | Data ME 25 Q. AGUA estanque 85.xlsx | Data ME 24 QAGUA estanque 54.xlsx | Data ME 25 STA MARTA estanque 62.xlsx | Data CA 24 VAL estanque 62.xlsx</t>
  </si>
  <si>
    <t>2026-05-12 00:53:54</t>
  </si>
  <si>
    <t>1,6,8,9,13</t>
  </si>
  <si>
    <t>Data CS 24 EL BOLDO estanque 30.xlsx | Data SY 24 VAL+STARAQ estanque 56.xlsx | Data SY 25 LOU estanque 30.xlsx | Data ME 25 Q. AGUA estanque 85.xlsx | Data CA 24 VAL estanque 31.xlsx</t>
  </si>
  <si>
    <t>2026-05-12 00:56:33</t>
  </si>
  <si>
    <t>1,5,10,12,16</t>
  </si>
  <si>
    <t>Data CS 24 EL BOLDO estanque 30.xlsx | Data SY 24 LOU+VAL+FN estanque 36.xlsx | Data ME 24 QAGUA estanque 54.xlsx | Data ME 25 STA MARTA estanque 62.xlsx | Data CA 25 F.N. estanque 68.xlsx</t>
  </si>
  <si>
    <t>2026-05-12 01:58:29</t>
  </si>
  <si>
    <t>1,6,7,9,16</t>
  </si>
  <si>
    <t>Data CS 24 EL BOLDO estanque 30.xlsx | Data SY 24 VAL+STARAQ estanque 56.xlsx | Data SY 24 LOU estanque 62.xlsx | Data ME 25 Q. AGUA estanque 85.xlsx | Data CA 25 F.N. estanque 68.xlsx</t>
  </si>
  <si>
    <t>2026-05-12 00:59:43</t>
  </si>
  <si>
    <t>1,5,6,12,16</t>
  </si>
  <si>
    <t>Data CS 24 EL BOLDO estanque 30.xlsx | Data SY 24 LOU+VAL+FN estanque 36.xlsx | Data SY 24 VAL+STARAQ estanque 56.xlsx | Data ME 25 STA MARTA estanque 62.xlsx | Data CA 25 F.N. estanque 68.xlsx</t>
  </si>
  <si>
    <t>2026-05-12 00:59:33</t>
  </si>
  <si>
    <t>6,10,12,13,16</t>
  </si>
  <si>
    <t>Data SY 24 VAL+STARAQ estanque 56.xlsx | Data ME 24 QAGUA estanque 54.xlsx | Data ME 25 STA MARTA estanque 62.xlsx | Data CA 24 VAL estanque 31.xlsx | Data CA 25 F.N. estanque 68.xlsx</t>
  </si>
  <si>
    <t>2026-05-12 01:00:41</t>
  </si>
  <si>
    <t>1,6,9,15,16</t>
  </si>
  <si>
    <t>Data CS 24 EL BOLDO estanque 30.xlsx | Data SY 24 VAL+STARAQ estanque 56.xlsx | Data ME 25 Q. AGUA estanque 85.xlsx | Data CA 24 VAL estanque 62.xlsx | Data CA 25 F.N. estanque 68.xlsx</t>
  </si>
  <si>
    <t>2026-05-12 01:02:02</t>
  </si>
  <si>
    <t>2,5,8,10,15</t>
  </si>
  <si>
    <t>Data CS 24 LOU estanque 54.xlsx | Data SY 24 LOU+VAL+FN estanque 36.xlsx | Data SY 25 LOU estanque 30.xlsx | Data ME 24 QAGUA estanque 54.xlsx | Data CA 24 VAL estanque 62.xlsx</t>
  </si>
  <si>
    <t>2026-05-12 01:03:26</t>
  </si>
  <si>
    <t>1,9,10,12,13</t>
  </si>
  <si>
    <t>Data CS 24 EL BOLDO estanque 30.xlsx | Data ME 25 Q. AGUA estanque 85.xlsx | Data ME 24 QAGUA estanque 54.xlsx | Data ME 25 STA MARTA estanque 62.xlsx | Data CA 24 VAL estanque 31.xlsx</t>
  </si>
  <si>
    <t>2026-05-12 01:10:36</t>
  </si>
  <si>
    <t>1,5,7,8,9</t>
  </si>
  <si>
    <t>Data CS 24 EL BOLDO estanque 30.xlsx | Data SY 24 LOU+VAL+FN estanque 36.xlsx | Data SY 24 LOU estanque 62.xlsx | Data SY 25 LOU estanque 30.xlsx | Data ME 25 Q. AGUA estanque 85.xlsx</t>
  </si>
  <si>
    <t>2026-05-12 01:13:02</t>
  </si>
  <si>
    <t>2,5,7,8,16</t>
  </si>
  <si>
    <t>Data CS 24 LOU estanque 54.xlsx | Data SY 24 LOU+VAL+FN estanque 36.xlsx | Data SY 24 LOU estanque 62.xlsx | Data SY 25 LOU estanque 30.xlsx | Data CA 25 F.N. estanque 68.xlsx</t>
  </si>
  <si>
    <t>2026-05-12 01:10:29</t>
  </si>
  <si>
    <t>2,5,6,8,10</t>
  </si>
  <si>
    <t>Data CS 24 LOU estanque 54.xlsx | Data SY 24 LOU+VAL+FN estanque 36.xlsx | Data SY 24 VAL+STARAQ estanque 56.xlsx | Data SY 25 LOU estanque 30.xlsx | Data ME 24 QAGUA estanque 54.xlsx</t>
  </si>
  <si>
    <t>2026-05-12 01:16:50</t>
  </si>
  <si>
    <t>2,5,8,10,12</t>
  </si>
  <si>
    <t>Data CS 24 LOU estanque 54.xlsx | Data SY 24 LOU+VAL+FN estanque 36.xlsx | Data SY 25 LOU estanque 30.xlsx | Data ME 24 QAGUA estanque 54.xlsx | Data ME 25 STA MARTA estanque 62.xlsx</t>
  </si>
  <si>
    <t>2026-05-12 01:15:03</t>
  </si>
  <si>
    <t>1,2,5,6,10</t>
  </si>
  <si>
    <t>Data CS 24 EL BOLDO estanque 30.xlsx | Data CS 24 LOU estanque 54.xlsx | Data SY 24 LOU+VAL+FN estanque 36.xlsx | Data SY 24 VAL+STARAQ estanque 56.xlsx | Data ME 24 QAGUA estanque 54.xlsx</t>
  </si>
  <si>
    <t>2026-05-12 01:43:20</t>
  </si>
  <si>
    <t>1,9,12,13,15</t>
  </si>
  <si>
    <t>Data CS 24 EL BOLDO estanque 30.xlsx | Data ME 25 Q. AGUA estanque 85.xlsx | Data ME 25 STA MARTA estanque 62.xlsx | Data CA 24 VAL estanque 31.xlsx | Data CA 24 VAL estanque 62.xlsx</t>
  </si>
  <si>
    <t>2026-05-12 01:43:53</t>
  </si>
  <si>
    <t>2,9,12,13,15</t>
  </si>
  <si>
    <t>Data CS 24 LOU estanque 54.xlsx | Data ME 25 Q. AGUA estanque 85.xlsx | Data ME 25 STA MARTA estanque 62.xlsx | Data CA 24 VAL estanque 31.xlsx | Data CA 24 VAL estanque 62.xlsx</t>
  </si>
  <si>
    <t>2026-05-12 01:21:00</t>
  </si>
  <si>
    <t>5,6,9,12,15</t>
  </si>
  <si>
    <t>Data SY 24 LOU+VAL+FN estanque 36.xlsx | Data SY 24 VAL+STARAQ estanque 56.xlsx | Data ME 25 Q. AGUA estanque 85.xlsx | Data ME 25 STA MARTA estanque 62.xlsx | Data CA 24 VAL estanque 62.xlsx</t>
  </si>
  <si>
    <t>2026-05-12 01:31:05</t>
  </si>
  <si>
    <t>1,5,10,12,13</t>
  </si>
  <si>
    <t>Data CS 24 EL BOLDO estanque 30.xlsx | Data SY 24 LOU+VAL+FN estanque 36.xlsx | Data ME 24 QAGUA estanque 54.xlsx | Data ME 25 STA MARTA estanque 62.xlsx | Data CA 24 VAL estanque 31.xlsx</t>
  </si>
  <si>
    <t>2026-05-12 01:23:28</t>
  </si>
  <si>
    <t>8,9,10,12,13</t>
  </si>
  <si>
    <t>Data SY 25 LOU estanque 30.xlsx | Data ME 25 Q. AGUA estanque 85.xlsx | Data ME 24 QAGUA estanque 54.xlsx | Data ME 25 STA MARTA estanque 62.xlsx | Data CA 24 VAL estanque 31.xlsx</t>
  </si>
  <si>
    <t>2026-05-12 01:27:19</t>
  </si>
  <si>
    <t>5,7,12,13,16</t>
  </si>
  <si>
    <t>Data SY 24 LOU+VAL+FN estanque 36.xlsx | Data SY 24 LOU estanque 62.xlsx | Data ME 25 STA MARTA estanque 62.xlsx | Data CA 24 VAL estanque 31.xlsx | Data CA 25 F.N. estanque 68.xlsx</t>
  </si>
  <si>
    <t>2026-05-12 01:35:06</t>
  </si>
  <si>
    <t>1,5,7,8,15</t>
  </si>
  <si>
    <t>Data CS 24 EL BOLDO estanque 30.xlsx | Data SY 24 LOU+VAL+FN estanque 36.xlsx | Data SY 24 LOU estanque 62.xlsx | Data SY 25 LOU estanque 30.xlsx | Data CA 24 VAL estanque 62.xlsx</t>
  </si>
  <si>
    <t>2026-05-12 01:41:12</t>
  </si>
  <si>
    <t>2,5,7,13,15</t>
  </si>
  <si>
    <t>Data CS 24 LOU estanque 54.xlsx | Data SY 24 LOU+VAL+FN estanque 36.xlsx | Data SY 24 LOU estanque 62.xlsx | Data CA 24 VAL estanque 31.xlsx | Data CA 24 VAL estanque 62.xlsx</t>
  </si>
  <si>
    <t>2026-05-12 02:26:52</t>
  </si>
  <si>
    <t>1,7,9,10,12</t>
  </si>
  <si>
    <t>Data CS 24 EL BOLDO estanque 30.xlsx | Data SY 24 LOU estanque 62.xlsx | Data ME 25 Q. AGUA estanque 85.xlsx | Data ME 24 QAGUA estanque 54.xlsx | Data ME 25 STA MARTA estanque 62.xlsx</t>
  </si>
  <si>
    <t>2026-05-12 01:45:12</t>
  </si>
  <si>
    <t>5,6,8,9,12</t>
  </si>
  <si>
    <t>Data SY 24 LOU+VAL+FN estanque 36.xlsx | Data SY 24 VAL+STARAQ estanque 56.xlsx | Data SY 25 LOU estanque 30.xlsx | Data ME 25 Q. AGUA estanque 85.xlsx | Data ME 25 STA MARTA estanque 62.xlsx</t>
  </si>
  <si>
    <t>2026-05-12 01:50:00</t>
  </si>
  <si>
    <t>1,2,6,9,15</t>
  </si>
  <si>
    <t>Data CS 24 EL BOLDO estanque 30.xlsx | Data CS 24 LOU estanque 54.xlsx | Data SY 24 VAL+STARAQ estanque 56.xlsx | Data ME 25 Q. AGUA estanque 85.xlsx | Data CA 24 VAL estanque 62.xlsx</t>
  </si>
  <si>
    <t>2026-05-12 01:48:43</t>
  </si>
  <si>
    <t>5,7,8,10,15</t>
  </si>
  <si>
    <t>Data SY 24 LOU+VAL+FN estanque 36.xlsx | Data SY 24 LOU estanque 62.xlsx | Data SY 25 LOU estanque 30.xlsx | Data ME 24 QAGUA estanque 54.xlsx | Data CA 24 VAL estanque 62.xlsx</t>
  </si>
  <si>
    <t>2026-05-12 02:02:53</t>
  </si>
  <si>
    <t>2,5,9,13,16</t>
  </si>
  <si>
    <t>Data CS 24 LOU estanque 54.xlsx | Data SY 24 LOU+VAL+FN estanque 36.xlsx | Data ME 25 Q. AGUA estanque 85.xlsx | Data CA 24 VAL estanque 31.xlsx | Data CA 25 F.N. estanque 68.xlsx</t>
  </si>
  <si>
    <t>2026-05-12 01:58:01</t>
  </si>
  <si>
    <t>5,8,13,15,16</t>
  </si>
  <si>
    <t>Data SY 24 LOU+VAL+FN estanque 36.xlsx | Data SY 25 LOU estanque 30.xlsx | Data CA 24 VAL estanque 31.xlsx | Data CA 24 VAL estanque 62.xlsx | Data CA 25 F.N. estanque 68.xlsx</t>
  </si>
  <si>
    <t>2026-05-12 01:53:30</t>
  </si>
  <si>
    <t>5,8,12,13,16</t>
  </si>
  <si>
    <t>Data SY 24 LOU+VAL+FN estanque 36.xlsx | Data SY 25 LOU estanque 30.xlsx | Data ME 25 STA MARTA estanque 62.xlsx | Data CA 24 VAL estanque 31.xlsx | Data CA 25 F.N. estanque 68.xlsx</t>
  </si>
  <si>
    <t>2026-05-12 01:56:58</t>
  </si>
  <si>
    <t>8,9,12,13,16</t>
  </si>
  <si>
    <t>Data SY 25 LOU estanque 30.xlsx | Data ME 25 Q. AGUA estanque 85.xlsx | Data ME 25 STA MARTA estanque 62.xlsx | Data CA 24 VAL estanque 31.xlsx | Data CA 25 F.N. estanque 68.xlsx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</si>
</sst>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00000001-1C8A-414D-BA57-AFB9198DF7CA}">
          <cx:tx>
            <cx:txData>
              <cx:f>_xlchart.v1.2</cx:f>
              <cx:v>mu0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70845709-F956-4CCE-BADE-4939FAA2BE32}">
          <cx:tx>
            <cx:txData>
              <cx:f>_xlchart.v1.4</cx:f>
              <cx:v>betaS0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00000001-FB53-442F-AF1D-8150C3D774FA}">
          <cx:tx>
            <cx:txData>
              <cx:f>_xlchart.v1.6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22BE8581-B539-4A0C-A939-FB2461BACC1C}">
          <cx:tx>
            <cx:txData>
              <cx:f>_xlchart.v1.0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plotArea>
      <cx:plotAreaRegion>
        <cx:series layoutId="boxWhisker" uniqueId="{00000001-1C8A-414D-BA57-AFB9198DF7CA}">
          <cx:tx>
            <cx:txData>
              <cx:f>_xlchart.v1.12</cx:f>
              <cx:v>mu0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plotArea>
      <cx:plotAreaRegion>
        <cx:series layoutId="boxWhisker" uniqueId="{70845709-F956-4CCE-BADE-4939FAA2BE32}">
          <cx:tx>
            <cx:txData>
              <cx:f>_xlchart.v1.14</cx:f>
              <cx:v>betaS0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plotArea>
      <cx:plotAreaRegion>
        <cx:series layoutId="boxWhisker" uniqueId="{00000001-FB53-442F-AF1D-8150C3D774FA}">
          <cx:tx>
            <cx:txData>
              <cx:f>_xlchart.v1.16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boxWhisker" uniqueId="{22BE8581-B539-4A0C-A939-FB2461BACC1C}">
          <cx:tx>
            <cx:txData>
              <cx:f>_xlchart.v1.10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/>
    <cx:plotArea>
      <cx:plotAreaRegion>
        <cx:series layoutId="boxWhisker" uniqueId="{00000001-BFAD-46E3-9405-3D4E5380E1CF}" formatIdx="1">
          <cx:tx>
            <cx:txData>
              <cx:f>_xlchart.v1.33</cx:f>
              <cx:v>mu0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/>
    <cx:plotArea>
      <cx:plotAreaRegion>
        <cx:series layoutId="boxWhisker" uniqueId="{3281782C-D3FF-49AD-BB6B-BF9E932D5C00}">
          <cx:tx>
            <cx:txData>
              <cx:f>_xlchart.v1.26</cx:f>
              <cx:v>betaS0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/>
    <cx:plotArea>
      <cx:plotAreaRegion>
        <cx:series layoutId="boxWhisker" uniqueId="{552E0693-49C6-4FDE-80E6-06AE5578A340}">
          <cx:tx>
            <cx:txData>
              <cx:f>_xlchart.v1.30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/>
    <cx:plotArea>
      <cx:plotAreaRegion>
        <cx:series layoutId="boxWhisker" uniqueId="{7A83011E-C804-47C3-AE73-552F6351CF14}">
          <cx:tx>
            <cx:txData>
              <cx:f>_xlchart.v1.20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1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4" Type="http://schemas.microsoft.com/office/2014/relationships/chartEx" Target="../charts/chartEx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55</xdr:row>
      <xdr:rowOff>19050</xdr:rowOff>
    </xdr:from>
    <xdr:to>
      <xdr:col>18</xdr:col>
      <xdr:colOff>0</xdr:colOff>
      <xdr:row>70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C4299EB-5C8E-9D30-0390-9E5EF1373D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2860" y="10077450"/>
              <a:ext cx="31851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129540</xdr:colOff>
      <xdr:row>55</xdr:row>
      <xdr:rowOff>3810</xdr:rowOff>
    </xdr:from>
    <xdr:to>
      <xdr:col>22</xdr:col>
      <xdr:colOff>129540</xdr:colOff>
      <xdr:row>70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D0C36CD-32DF-027A-5EAF-FD2EEF33D2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7560" y="10062210"/>
              <a:ext cx="2438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266700</xdr:colOff>
      <xdr:row>54</xdr:row>
      <xdr:rowOff>156210</xdr:rowOff>
    </xdr:from>
    <xdr:to>
      <xdr:col>26</xdr:col>
      <xdr:colOff>304800</xdr:colOff>
      <xdr:row>69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DD85B50-6531-9234-C20E-CB1BFF5BFA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33120" y="10031730"/>
              <a:ext cx="2476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365760</xdr:colOff>
      <xdr:row>54</xdr:row>
      <xdr:rowOff>156210</xdr:rowOff>
    </xdr:from>
    <xdr:to>
      <xdr:col>30</xdr:col>
      <xdr:colOff>403860</xdr:colOff>
      <xdr:row>69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F1A84CB-5ADC-4202-8C4D-E296FF2B7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70580" y="10031730"/>
              <a:ext cx="2476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55</xdr:row>
      <xdr:rowOff>19050</xdr:rowOff>
    </xdr:from>
    <xdr:to>
      <xdr:col>18</xdr:col>
      <xdr:colOff>0</xdr:colOff>
      <xdr:row>70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4DA7FE0-0C3A-4A9D-80EA-54396A0BA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2860" y="10077450"/>
              <a:ext cx="31851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129540</xdr:colOff>
      <xdr:row>55</xdr:row>
      <xdr:rowOff>3810</xdr:rowOff>
    </xdr:from>
    <xdr:to>
      <xdr:col>22</xdr:col>
      <xdr:colOff>129540</xdr:colOff>
      <xdr:row>70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DD874B9-F8B6-4E8D-99BF-0793B0C980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7560" y="10062210"/>
              <a:ext cx="2438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266700</xdr:colOff>
      <xdr:row>54</xdr:row>
      <xdr:rowOff>156210</xdr:rowOff>
    </xdr:from>
    <xdr:to>
      <xdr:col>26</xdr:col>
      <xdr:colOff>304800</xdr:colOff>
      <xdr:row>69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7953E4E-2F73-41B4-8F1D-A6AE9E033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33120" y="10031730"/>
              <a:ext cx="2476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365760</xdr:colOff>
      <xdr:row>54</xdr:row>
      <xdr:rowOff>156210</xdr:rowOff>
    </xdr:from>
    <xdr:to>
      <xdr:col>30</xdr:col>
      <xdr:colOff>403860</xdr:colOff>
      <xdr:row>69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AC37E7F-C0C1-494C-83C0-2CF99AD362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70580" y="10031730"/>
              <a:ext cx="2476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518160</xdr:colOff>
      <xdr:row>25</xdr:row>
      <xdr:rowOff>102870</xdr:rowOff>
    </xdr:from>
    <xdr:to>
      <xdr:col>19</xdr:col>
      <xdr:colOff>76200</xdr:colOff>
      <xdr:row>40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232E053-E264-275D-0C3B-CF43895C9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05360" y="4674870"/>
              <a:ext cx="27279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121920</xdr:colOff>
      <xdr:row>25</xdr:row>
      <xdr:rowOff>106680</xdr:rowOff>
    </xdr:from>
    <xdr:to>
      <xdr:col>22</xdr:col>
      <xdr:colOff>472440</xdr:colOff>
      <xdr:row>40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2D65BD5-7520-437D-A4A8-CF33DE753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79040" y="4678680"/>
              <a:ext cx="27279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579120</xdr:colOff>
      <xdr:row>25</xdr:row>
      <xdr:rowOff>91440</xdr:rowOff>
    </xdr:from>
    <xdr:to>
      <xdr:col>26</xdr:col>
      <xdr:colOff>137160</xdr:colOff>
      <xdr:row>40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46D25C0-F18C-4C70-9409-75C60D6AE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13680" y="4663440"/>
              <a:ext cx="27279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205740</xdr:colOff>
      <xdr:row>25</xdr:row>
      <xdr:rowOff>76200</xdr:rowOff>
    </xdr:from>
    <xdr:to>
      <xdr:col>29</xdr:col>
      <xdr:colOff>556260</xdr:colOff>
      <xdr:row>40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90234B5-106C-4765-AF36-733690AD0E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10220" y="4648200"/>
              <a:ext cx="27279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topLeftCell="G46" workbookViewId="0">
      <selection activeCell="L65" sqref="L65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109375" bestFit="1" customWidth="1"/>
    <col min="5" max="5" width="11.77734375" bestFit="1" customWidth="1"/>
    <col min="6" max="6" width="8.77734375" hidden="1" customWidth="1"/>
    <col min="8" max="9" width="0" hidden="1" customWidth="1"/>
    <col min="11" max="11" width="12" bestFit="1" customWidth="1"/>
    <col min="13" max="13" width="12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>
        <v>376.47378710005432</v>
      </c>
      <c r="D2">
        <v>6.274563118334239</v>
      </c>
      <c r="E2" t="s">
        <v>26</v>
      </c>
      <c r="G2" t="s">
        <v>27</v>
      </c>
      <c r="H2" t="s">
        <v>28</v>
      </c>
      <c r="J2" t="s">
        <v>29</v>
      </c>
      <c r="K2">
        <v>2.3314535961020479E-2</v>
      </c>
      <c r="L2">
        <v>0</v>
      </c>
      <c r="M2">
        <v>2.3314535961020479E-2</v>
      </c>
      <c r="N2" t="s">
        <v>17</v>
      </c>
      <c r="O2">
        <v>157</v>
      </c>
      <c r="P2">
        <v>9.5369346883164081E-5</v>
      </c>
      <c r="Q2">
        <v>1E-4</v>
      </c>
      <c r="R2">
        <v>2000</v>
      </c>
      <c r="S2">
        <v>95.657769107922363</v>
      </c>
      <c r="T2">
        <v>1.014346875463896E-3</v>
      </c>
      <c r="U2">
        <v>23.820736248282589</v>
      </c>
      <c r="V2">
        <v>94.837460547568625</v>
      </c>
      <c r="W2">
        <v>90.116796808290914</v>
      </c>
      <c r="X2">
        <v>0.37739898761506779</v>
      </c>
      <c r="Y2">
        <v>65.436064262222175</v>
      </c>
    </row>
    <row r="3" spans="1:25" x14ac:dyDescent="0.3">
      <c r="A3">
        <v>2</v>
      </c>
      <c r="B3" t="s">
        <v>30</v>
      </c>
      <c r="C3">
        <v>1356.142151499866</v>
      </c>
      <c r="D3">
        <v>22.60236919166443</v>
      </c>
      <c r="E3" t="s">
        <v>31</v>
      </c>
      <c r="G3" t="s">
        <v>27</v>
      </c>
      <c r="H3" t="s">
        <v>32</v>
      </c>
      <c r="J3" t="s">
        <v>29</v>
      </c>
      <c r="K3">
        <v>5.6048266998398752E-2</v>
      </c>
      <c r="L3">
        <v>0</v>
      </c>
      <c r="M3">
        <v>5.6048266998398752E-2</v>
      </c>
      <c r="N3" t="s">
        <v>17</v>
      </c>
      <c r="O3">
        <v>552</v>
      </c>
      <c r="P3">
        <v>9.6475735904867928E-5</v>
      </c>
      <c r="Q3">
        <v>1E-4</v>
      </c>
      <c r="R3">
        <v>2000</v>
      </c>
      <c r="S3">
        <v>98.262790059500034</v>
      </c>
      <c r="T3">
        <v>1.014346875463896E-3</v>
      </c>
      <c r="U3">
        <v>23.293753588901289</v>
      </c>
      <c r="V3">
        <v>94.837460547568625</v>
      </c>
      <c r="W3">
        <v>90.116796808290914</v>
      </c>
      <c r="X3">
        <v>0.3749419574207743</v>
      </c>
      <c r="Y3">
        <v>99.930378239847968</v>
      </c>
    </row>
    <row r="4" spans="1:25" x14ac:dyDescent="0.3">
      <c r="A4">
        <v>3</v>
      </c>
      <c r="B4" t="s">
        <v>33</v>
      </c>
      <c r="C4">
        <v>1801.2384862001049</v>
      </c>
      <c r="D4">
        <v>30.02064143666842</v>
      </c>
      <c r="E4" t="s">
        <v>34</v>
      </c>
      <c r="G4" t="s">
        <v>27</v>
      </c>
      <c r="H4" t="s">
        <v>35</v>
      </c>
      <c r="J4" t="s">
        <v>29</v>
      </c>
      <c r="K4">
        <v>4.0159168532620429E-2</v>
      </c>
      <c r="L4">
        <v>0</v>
      </c>
      <c r="M4">
        <v>4.0159168532620429E-2</v>
      </c>
      <c r="N4" t="s">
        <v>17</v>
      </c>
      <c r="O4">
        <v>791</v>
      </c>
      <c r="P4">
        <v>9.6509114559981476E-5</v>
      </c>
      <c r="Q4">
        <v>1E-4</v>
      </c>
      <c r="R4">
        <v>2000</v>
      </c>
      <c r="S4">
        <v>98.125628819802415</v>
      </c>
      <c r="T4">
        <v>1.014346875463896E-3</v>
      </c>
      <c r="U4">
        <v>20.613798254739589</v>
      </c>
      <c r="V4">
        <v>94.837460547568625</v>
      </c>
      <c r="W4">
        <v>90.116796808290914</v>
      </c>
      <c r="X4">
        <v>0.35322541586971118</v>
      </c>
      <c r="Y4">
        <v>57.452170086188339</v>
      </c>
    </row>
    <row r="5" spans="1:25" x14ac:dyDescent="0.3">
      <c r="A5">
        <v>4</v>
      </c>
      <c r="B5" t="s">
        <v>36</v>
      </c>
      <c r="C5">
        <v>1613.8154424000529</v>
      </c>
      <c r="D5">
        <v>26.89692404000089</v>
      </c>
      <c r="E5" t="s">
        <v>37</v>
      </c>
      <c r="G5" t="s">
        <v>27</v>
      </c>
      <c r="H5" t="s">
        <v>38</v>
      </c>
      <c r="J5" t="s">
        <v>29</v>
      </c>
      <c r="K5">
        <v>3.8659330547967413E-2</v>
      </c>
      <c r="L5">
        <v>0</v>
      </c>
      <c r="M5">
        <v>3.8659330547967413E-2</v>
      </c>
      <c r="N5" t="s">
        <v>17</v>
      </c>
      <c r="O5">
        <v>650</v>
      </c>
      <c r="P5">
        <v>8.9585973208368294E-5</v>
      </c>
      <c r="Q5">
        <v>1E-4</v>
      </c>
      <c r="R5">
        <v>2000</v>
      </c>
      <c r="S5">
        <v>95.019368456504282</v>
      </c>
      <c r="T5">
        <v>1.014346875463896E-3</v>
      </c>
      <c r="U5">
        <v>24.235403968214548</v>
      </c>
      <c r="V5">
        <v>94.837460547568625</v>
      </c>
      <c r="W5">
        <v>90.116796808290914</v>
      </c>
      <c r="X5">
        <v>0.38098874317213482</v>
      </c>
      <c r="Y5">
        <v>86.49449488255064</v>
      </c>
    </row>
    <row r="6" spans="1:25" x14ac:dyDescent="0.3">
      <c r="A6">
        <v>5</v>
      </c>
      <c r="B6" t="s">
        <v>39</v>
      </c>
      <c r="C6">
        <v>98.977797500090674</v>
      </c>
      <c r="D6">
        <v>1.649629958334845</v>
      </c>
      <c r="E6" t="s">
        <v>40</v>
      </c>
      <c r="G6" t="s">
        <v>27</v>
      </c>
      <c r="H6" t="s">
        <v>41</v>
      </c>
      <c r="J6" t="s">
        <v>29</v>
      </c>
      <c r="K6">
        <v>5.1250496326979159E-2</v>
      </c>
      <c r="L6">
        <v>0</v>
      </c>
      <c r="M6">
        <v>5.1250496326979159E-2</v>
      </c>
      <c r="N6" t="s">
        <v>17</v>
      </c>
      <c r="O6">
        <v>55</v>
      </c>
      <c r="P6">
        <v>9.7114216021654292E-5</v>
      </c>
      <c r="Q6">
        <v>1E-4</v>
      </c>
      <c r="R6">
        <v>2000</v>
      </c>
      <c r="S6">
        <v>98.576521698356402</v>
      </c>
      <c r="T6">
        <v>1.014346875463896E-3</v>
      </c>
      <c r="U6">
        <v>26.027624922660621</v>
      </c>
      <c r="V6">
        <v>94.837460547568625</v>
      </c>
      <c r="W6">
        <v>90.116796808290914</v>
      </c>
      <c r="X6">
        <v>0.3403437821469566</v>
      </c>
      <c r="Y6">
        <v>81.856252894666412</v>
      </c>
    </row>
    <row r="7" spans="1:25" x14ac:dyDescent="0.3">
      <c r="A7">
        <v>6</v>
      </c>
      <c r="B7" t="s">
        <v>42</v>
      </c>
      <c r="C7">
        <v>234.41038600006141</v>
      </c>
      <c r="D7">
        <v>3.90683976666769</v>
      </c>
      <c r="E7" t="s">
        <v>43</v>
      </c>
      <c r="G7" t="s">
        <v>27</v>
      </c>
      <c r="H7" t="s">
        <v>44</v>
      </c>
      <c r="J7" t="s">
        <v>29</v>
      </c>
      <c r="K7">
        <v>3.9705675031621077E-2</v>
      </c>
      <c r="L7">
        <v>0</v>
      </c>
      <c r="M7">
        <v>3.9705675031621077E-2</v>
      </c>
      <c r="N7" t="s">
        <v>17</v>
      </c>
      <c r="O7">
        <v>105</v>
      </c>
      <c r="P7">
        <v>8.78267841940098E-5</v>
      </c>
      <c r="Q7">
        <v>1E-4</v>
      </c>
      <c r="R7">
        <v>2000</v>
      </c>
      <c r="S7">
        <v>99.996612667497146</v>
      </c>
      <c r="T7">
        <v>1.014346875463896E-3</v>
      </c>
      <c r="U7">
        <v>32.427594630806617</v>
      </c>
      <c r="V7">
        <v>94.837460547568625</v>
      </c>
      <c r="W7">
        <v>90.116796808290914</v>
      </c>
      <c r="X7">
        <v>0.38568694664545572</v>
      </c>
      <c r="Y7">
        <v>84.697145602031227</v>
      </c>
    </row>
    <row r="8" spans="1:25" x14ac:dyDescent="0.3">
      <c r="A8">
        <v>7</v>
      </c>
      <c r="B8" t="s">
        <v>45</v>
      </c>
      <c r="C8">
        <v>1104.1869544999211</v>
      </c>
      <c r="D8">
        <v>18.403115908332019</v>
      </c>
      <c r="E8" t="s">
        <v>46</v>
      </c>
      <c r="G8" t="s">
        <v>27</v>
      </c>
      <c r="H8" t="s">
        <v>47</v>
      </c>
      <c r="J8" t="s">
        <v>29</v>
      </c>
      <c r="K8">
        <v>7.3293084148594451E-2</v>
      </c>
      <c r="L8">
        <v>0</v>
      </c>
      <c r="M8">
        <v>7.3293084148594451E-2</v>
      </c>
      <c r="N8" t="s">
        <v>17</v>
      </c>
      <c r="O8">
        <v>470</v>
      </c>
      <c r="P8">
        <v>9.474576616053416E-5</v>
      </c>
      <c r="Q8">
        <v>1E-4</v>
      </c>
      <c r="R8">
        <v>2000</v>
      </c>
      <c r="S8">
        <v>99.783790134397449</v>
      </c>
      <c r="T8">
        <v>1.014346875463896E-3</v>
      </c>
      <c r="U8">
        <v>24.915962910253789</v>
      </c>
      <c r="V8">
        <v>94.837460547568625</v>
      </c>
      <c r="W8">
        <v>90.116796808290914</v>
      </c>
      <c r="X8">
        <v>0.34441758547565882</v>
      </c>
      <c r="Y8">
        <v>65.31422848926843</v>
      </c>
    </row>
    <row r="9" spans="1:25" x14ac:dyDescent="0.3">
      <c r="A9">
        <v>8</v>
      </c>
      <c r="B9" t="s">
        <v>48</v>
      </c>
      <c r="C9">
        <v>204.30558339995329</v>
      </c>
      <c r="D9">
        <v>3.4050930566658888</v>
      </c>
      <c r="E9" t="s">
        <v>49</v>
      </c>
      <c r="G9" t="s">
        <v>27</v>
      </c>
      <c r="H9" t="s">
        <v>50</v>
      </c>
      <c r="J9" t="s">
        <v>29</v>
      </c>
      <c r="K9">
        <v>3.2987705117453331E-2</v>
      </c>
      <c r="L9">
        <v>0</v>
      </c>
      <c r="M9">
        <v>3.2987705117453331E-2</v>
      </c>
      <c r="N9" t="s">
        <v>17</v>
      </c>
      <c r="O9">
        <v>100</v>
      </c>
      <c r="P9">
        <v>9.6019277162633478E-5</v>
      </c>
      <c r="Q9">
        <v>1E-4</v>
      </c>
      <c r="R9">
        <v>2000</v>
      </c>
      <c r="S9">
        <v>99.670789314099181</v>
      </c>
      <c r="T9">
        <v>1.014346875463896E-3</v>
      </c>
      <c r="U9">
        <v>24.89879904412328</v>
      </c>
      <c r="V9">
        <v>94.837460547568625</v>
      </c>
      <c r="W9">
        <v>90.116796808290914</v>
      </c>
      <c r="X9">
        <v>0.39453764080498321</v>
      </c>
      <c r="Y9">
        <v>64.61859751747312</v>
      </c>
    </row>
    <row r="10" spans="1:25" x14ac:dyDescent="0.3">
      <c r="A10">
        <v>9</v>
      </c>
      <c r="B10" t="s">
        <v>51</v>
      </c>
      <c r="C10">
        <v>3685.1048715000511</v>
      </c>
      <c r="D10">
        <v>61.418414525000841</v>
      </c>
      <c r="E10" t="s">
        <v>52</v>
      </c>
      <c r="G10" t="s">
        <v>27</v>
      </c>
      <c r="H10" t="s">
        <v>53</v>
      </c>
      <c r="J10" t="s">
        <v>29</v>
      </c>
      <c r="K10">
        <v>3.8867411282494907E-2</v>
      </c>
      <c r="L10">
        <v>0</v>
      </c>
      <c r="M10">
        <v>3.8867411282494907E-2</v>
      </c>
      <c r="N10" t="s">
        <v>17</v>
      </c>
      <c r="O10">
        <v>1543</v>
      </c>
      <c r="P10">
        <v>9.9826743701893081E-5</v>
      </c>
      <c r="Q10">
        <v>1E-4</v>
      </c>
      <c r="R10">
        <v>2000</v>
      </c>
      <c r="S10">
        <v>88.906187857997296</v>
      </c>
      <c r="T10">
        <v>1.014346875463896E-3</v>
      </c>
      <c r="U10">
        <v>25.257590925065319</v>
      </c>
      <c r="V10">
        <v>94.837460547568625</v>
      </c>
      <c r="W10">
        <v>90.116796808290914</v>
      </c>
      <c r="X10">
        <v>0.36070925676763771</v>
      </c>
      <c r="Y10">
        <v>99.807691070067207</v>
      </c>
    </row>
    <row r="11" spans="1:25" x14ac:dyDescent="0.3">
      <c r="A11">
        <v>10</v>
      </c>
      <c r="B11" t="s">
        <v>54</v>
      </c>
      <c r="C11">
        <v>590.96258499985561</v>
      </c>
      <c r="D11">
        <v>9.8493764166642599</v>
      </c>
      <c r="E11" t="s">
        <v>55</v>
      </c>
      <c r="G11" t="s">
        <v>27</v>
      </c>
      <c r="H11" t="s">
        <v>56</v>
      </c>
      <c r="J11" t="s">
        <v>29</v>
      </c>
      <c r="K11">
        <v>6.2320108467507587E-2</v>
      </c>
      <c r="L11">
        <v>0</v>
      </c>
      <c r="M11">
        <v>6.2320108467507587E-2</v>
      </c>
      <c r="N11" t="s">
        <v>17</v>
      </c>
      <c r="O11">
        <v>268</v>
      </c>
      <c r="P11">
        <v>9.7982418060381016E-5</v>
      </c>
      <c r="Q11">
        <v>1E-4</v>
      </c>
      <c r="R11">
        <v>2000</v>
      </c>
      <c r="S11">
        <v>99.526999340355488</v>
      </c>
      <c r="T11">
        <v>1.014346875463896E-3</v>
      </c>
      <c r="U11">
        <v>23.532943380770451</v>
      </c>
      <c r="V11">
        <v>94.837460547568625</v>
      </c>
      <c r="W11">
        <v>90.116796808290914</v>
      </c>
      <c r="X11">
        <v>0.3539777011158442</v>
      </c>
      <c r="Y11">
        <v>62.883968844576231</v>
      </c>
    </row>
    <row r="12" spans="1:25" x14ac:dyDescent="0.3">
      <c r="A12">
        <v>11</v>
      </c>
      <c r="B12" t="s">
        <v>57</v>
      </c>
      <c r="C12">
        <v>2145.3817583001219</v>
      </c>
      <c r="D12">
        <v>35.756362638335368</v>
      </c>
      <c r="E12" t="s">
        <v>58</v>
      </c>
      <c r="G12" t="s">
        <v>27</v>
      </c>
      <c r="H12" t="s">
        <v>59</v>
      </c>
      <c r="J12" t="s">
        <v>29</v>
      </c>
      <c r="K12">
        <v>1.8433150104736441E-2</v>
      </c>
      <c r="L12">
        <v>0</v>
      </c>
      <c r="M12">
        <v>1.8433150104736441E-2</v>
      </c>
      <c r="N12" t="s">
        <v>17</v>
      </c>
      <c r="O12">
        <v>1151</v>
      </c>
      <c r="P12">
        <v>9.925470957662361E-5</v>
      </c>
      <c r="Q12">
        <v>1E-4</v>
      </c>
      <c r="R12">
        <v>2000</v>
      </c>
      <c r="S12">
        <v>54.002458003203998</v>
      </c>
      <c r="T12">
        <v>1.014346875463896E-3</v>
      </c>
      <c r="U12">
        <v>24.41238556292387</v>
      </c>
      <c r="V12">
        <v>94.837460547568625</v>
      </c>
      <c r="W12">
        <v>90.116796808290914</v>
      </c>
      <c r="X12">
        <v>0.35807632353506608</v>
      </c>
      <c r="Y12">
        <v>76.506583700571284</v>
      </c>
    </row>
    <row r="13" spans="1:25" x14ac:dyDescent="0.3">
      <c r="A13">
        <v>12</v>
      </c>
      <c r="B13" t="s">
        <v>60</v>
      </c>
      <c r="C13">
        <v>360.89116539992392</v>
      </c>
      <c r="D13">
        <v>6.0148527566653991</v>
      </c>
      <c r="E13" t="s">
        <v>61</v>
      </c>
      <c r="G13" t="s">
        <v>27</v>
      </c>
      <c r="H13" t="s">
        <v>62</v>
      </c>
      <c r="J13" t="s">
        <v>29</v>
      </c>
      <c r="K13">
        <v>3.7310205109878328E-2</v>
      </c>
      <c r="L13">
        <v>0</v>
      </c>
      <c r="M13">
        <v>3.7310205109878328E-2</v>
      </c>
      <c r="N13" t="s">
        <v>17</v>
      </c>
      <c r="O13">
        <v>214</v>
      </c>
      <c r="P13">
        <v>7.3596389375289991E-5</v>
      </c>
      <c r="Q13">
        <v>1E-4</v>
      </c>
      <c r="R13">
        <v>2000</v>
      </c>
      <c r="S13">
        <v>62.730752953594902</v>
      </c>
      <c r="T13">
        <v>1.014346875463896E-3</v>
      </c>
      <c r="U13">
        <v>22.93581722922502</v>
      </c>
      <c r="V13">
        <v>94.837460547568625</v>
      </c>
      <c r="W13">
        <v>90.116796808290914</v>
      </c>
      <c r="X13">
        <v>0.35526974719070181</v>
      </c>
      <c r="Y13">
        <v>99.692861671818662</v>
      </c>
    </row>
    <row r="14" spans="1:25" x14ac:dyDescent="0.3">
      <c r="A14">
        <v>13</v>
      </c>
      <c r="B14" t="s">
        <v>63</v>
      </c>
      <c r="C14">
        <v>350.81865509995259</v>
      </c>
      <c r="D14">
        <v>5.8469775849992098</v>
      </c>
      <c r="E14" t="s">
        <v>64</v>
      </c>
      <c r="G14" t="s">
        <v>27</v>
      </c>
      <c r="H14" t="s">
        <v>65</v>
      </c>
      <c r="J14" t="s">
        <v>29</v>
      </c>
      <c r="K14">
        <v>3.3145040660638461E-2</v>
      </c>
      <c r="L14">
        <v>0</v>
      </c>
      <c r="M14">
        <v>3.3145040660638461E-2</v>
      </c>
      <c r="N14" t="s">
        <v>17</v>
      </c>
      <c r="O14">
        <v>162</v>
      </c>
      <c r="P14">
        <v>9.101238961493011E-5</v>
      </c>
      <c r="Q14">
        <v>1E-4</v>
      </c>
      <c r="R14">
        <v>2000</v>
      </c>
      <c r="S14">
        <v>98.349494369993764</v>
      </c>
      <c r="T14">
        <v>1.014346875463896E-3</v>
      </c>
      <c r="U14">
        <v>25.630864536202679</v>
      </c>
      <c r="V14">
        <v>94.837460547568625</v>
      </c>
      <c r="W14">
        <v>90.116796808290914</v>
      </c>
      <c r="X14">
        <v>0.35129645168699258</v>
      </c>
      <c r="Y14">
        <v>78.124654024165167</v>
      </c>
    </row>
    <row r="15" spans="1:25" x14ac:dyDescent="0.3">
      <c r="A15">
        <v>14</v>
      </c>
      <c r="B15" t="s">
        <v>66</v>
      </c>
      <c r="C15">
        <v>2308.8406410999601</v>
      </c>
      <c r="D15">
        <v>38.480677351666003</v>
      </c>
      <c r="E15" t="s">
        <v>67</v>
      </c>
      <c r="G15" t="s">
        <v>27</v>
      </c>
      <c r="H15" t="s">
        <v>68</v>
      </c>
      <c r="J15" t="s">
        <v>29</v>
      </c>
      <c r="K15">
        <v>3.4326435416796551E-2</v>
      </c>
      <c r="L15">
        <v>0</v>
      </c>
      <c r="M15">
        <v>3.4326435416796551E-2</v>
      </c>
      <c r="N15" t="s">
        <v>17</v>
      </c>
      <c r="O15">
        <v>1307</v>
      </c>
      <c r="P15">
        <v>9.9902998312900046E-5</v>
      </c>
      <c r="Q15">
        <v>1E-4</v>
      </c>
      <c r="R15">
        <v>2000</v>
      </c>
      <c r="S15">
        <v>67.094715243641787</v>
      </c>
      <c r="T15">
        <v>1.014346875463896E-3</v>
      </c>
      <c r="U15">
        <v>32.787910989416133</v>
      </c>
      <c r="V15">
        <v>94.837460547568625</v>
      </c>
      <c r="W15">
        <v>90.116796808290914</v>
      </c>
      <c r="X15">
        <v>0.3668883169054567</v>
      </c>
      <c r="Y15">
        <v>98.233779914948911</v>
      </c>
    </row>
    <row r="16" spans="1:25" x14ac:dyDescent="0.3">
      <c r="A16">
        <v>15</v>
      </c>
      <c r="B16" t="s">
        <v>69</v>
      </c>
      <c r="C16">
        <v>264.14527130010538</v>
      </c>
      <c r="D16">
        <v>4.4024211883350892</v>
      </c>
      <c r="E16" t="s">
        <v>70</v>
      </c>
      <c r="G16" t="s">
        <v>27</v>
      </c>
      <c r="H16" t="s">
        <v>71</v>
      </c>
      <c r="J16" t="s">
        <v>29</v>
      </c>
      <c r="K16">
        <v>3.6527157424115893E-2</v>
      </c>
      <c r="L16">
        <v>0</v>
      </c>
      <c r="M16">
        <v>3.6527157424115893E-2</v>
      </c>
      <c r="N16" t="s">
        <v>17</v>
      </c>
      <c r="O16">
        <v>109</v>
      </c>
      <c r="P16">
        <v>9.6339128677580757E-5</v>
      </c>
      <c r="Q16">
        <v>1E-4</v>
      </c>
      <c r="R16">
        <v>2000</v>
      </c>
      <c r="S16">
        <v>99.232551025807297</v>
      </c>
      <c r="T16">
        <v>1.014346875463896E-3</v>
      </c>
      <c r="U16">
        <v>23.937201337803231</v>
      </c>
      <c r="V16">
        <v>94.837460547568625</v>
      </c>
      <c r="W16">
        <v>90.116796808290914</v>
      </c>
      <c r="X16">
        <v>0.37743959075527378</v>
      </c>
      <c r="Y16">
        <v>66.057404635742458</v>
      </c>
    </row>
    <row r="17" spans="1:25" x14ac:dyDescent="0.3">
      <c r="A17">
        <v>16</v>
      </c>
      <c r="B17" t="s">
        <v>72</v>
      </c>
      <c r="C17">
        <v>322.70233979984192</v>
      </c>
      <c r="D17">
        <v>5.3783723299973643</v>
      </c>
      <c r="E17" t="s">
        <v>73</v>
      </c>
      <c r="G17" t="s">
        <v>27</v>
      </c>
      <c r="H17" t="s">
        <v>74</v>
      </c>
      <c r="J17" t="s">
        <v>29</v>
      </c>
      <c r="K17">
        <v>5.4919672102592958E-2</v>
      </c>
      <c r="L17">
        <v>0</v>
      </c>
      <c r="M17">
        <v>5.4919672102592958E-2</v>
      </c>
      <c r="N17" t="s">
        <v>17</v>
      </c>
      <c r="O17">
        <v>151</v>
      </c>
      <c r="P17">
        <v>9.6505790229017732E-5</v>
      </c>
      <c r="Q17">
        <v>1E-4</v>
      </c>
      <c r="R17">
        <v>2000</v>
      </c>
      <c r="S17">
        <v>78.288533449094658</v>
      </c>
      <c r="T17">
        <v>1.014346875463896E-3</v>
      </c>
      <c r="U17">
        <v>25.54682844985081</v>
      </c>
      <c r="V17">
        <v>94.837460547568625</v>
      </c>
      <c r="W17">
        <v>90.116796808290914</v>
      </c>
      <c r="X17">
        <v>0.37437155805999939</v>
      </c>
      <c r="Y17">
        <v>99.254624966816024</v>
      </c>
    </row>
    <row r="18" spans="1:25" s="1" customFormat="1" x14ac:dyDescent="0.3">
      <c r="A18" s="1">
        <v>17</v>
      </c>
      <c r="B18" s="1" t="s">
        <v>75</v>
      </c>
      <c r="C18" s="1">
        <v>3415.3606555999718</v>
      </c>
      <c r="D18" s="1">
        <v>56.922677593332871</v>
      </c>
      <c r="E18" s="1" t="s">
        <v>76</v>
      </c>
      <c r="G18" s="1" t="s">
        <v>27</v>
      </c>
      <c r="H18" s="1" t="s">
        <v>77</v>
      </c>
      <c r="J18" s="1" t="s">
        <v>29</v>
      </c>
      <c r="K18" s="1">
        <v>2.255959327401005E-2</v>
      </c>
      <c r="L18" s="1">
        <v>0</v>
      </c>
      <c r="M18" s="1">
        <v>2.255959327401005E-2</v>
      </c>
      <c r="N18" s="1" t="s">
        <v>17</v>
      </c>
      <c r="O18" s="1">
        <v>2001</v>
      </c>
      <c r="P18" s="1">
        <v>2.768674496030514E-3</v>
      </c>
      <c r="Q18" s="1">
        <v>1E-4</v>
      </c>
      <c r="R18" s="1">
        <v>2000</v>
      </c>
      <c r="S18" s="1">
        <v>45.365838510814307</v>
      </c>
      <c r="T18" s="1">
        <v>1.014346875463896E-3</v>
      </c>
      <c r="U18" s="1">
        <v>23.647227810312671</v>
      </c>
      <c r="V18" s="1">
        <v>94.837460547568625</v>
      </c>
      <c r="W18" s="1">
        <v>90.116796808290914</v>
      </c>
      <c r="X18" s="1">
        <v>0.37346654397192092</v>
      </c>
      <c r="Y18" s="1">
        <v>75.353037157775518</v>
      </c>
    </row>
    <row r="19" spans="1:25" x14ac:dyDescent="0.3">
      <c r="A19">
        <v>18</v>
      </c>
      <c r="B19" t="s">
        <v>78</v>
      </c>
      <c r="C19">
        <v>137.2456064000726</v>
      </c>
      <c r="D19">
        <v>2.287426773334543</v>
      </c>
      <c r="E19" t="s">
        <v>79</v>
      </c>
      <c r="G19" t="s">
        <v>27</v>
      </c>
      <c r="H19" t="s">
        <v>80</v>
      </c>
      <c r="J19" t="s">
        <v>29</v>
      </c>
      <c r="K19">
        <v>2.9744386296727991E-2</v>
      </c>
      <c r="L19">
        <v>0</v>
      </c>
      <c r="M19">
        <v>2.9744386296727991E-2</v>
      </c>
      <c r="N19" t="s">
        <v>17</v>
      </c>
      <c r="O19">
        <v>65</v>
      </c>
      <c r="P19">
        <v>8.321131894363699E-5</v>
      </c>
      <c r="Q19">
        <v>1E-4</v>
      </c>
      <c r="R19">
        <v>2000</v>
      </c>
      <c r="S19">
        <v>93.896506085631117</v>
      </c>
      <c r="T19">
        <v>1.014346875463896E-3</v>
      </c>
      <c r="U19">
        <v>24.76698736643695</v>
      </c>
      <c r="V19">
        <v>94.837460547568625</v>
      </c>
      <c r="W19">
        <v>90.116796808290914</v>
      </c>
      <c r="X19">
        <v>0.38390491427201839</v>
      </c>
      <c r="Y19">
        <v>43.938066830601443</v>
      </c>
    </row>
    <row r="20" spans="1:25" x14ac:dyDescent="0.3">
      <c r="A20">
        <v>19</v>
      </c>
      <c r="B20" t="s">
        <v>81</v>
      </c>
      <c r="C20">
        <v>683.72521950001828</v>
      </c>
      <c r="D20">
        <v>11.395420325000311</v>
      </c>
      <c r="E20" t="s">
        <v>82</v>
      </c>
      <c r="G20" t="s">
        <v>27</v>
      </c>
      <c r="H20" t="s">
        <v>83</v>
      </c>
      <c r="J20" t="s">
        <v>29</v>
      </c>
      <c r="K20">
        <v>5.5478069820015907E-2</v>
      </c>
      <c r="L20">
        <v>0</v>
      </c>
      <c r="M20">
        <v>5.5478069820015907E-2</v>
      </c>
      <c r="N20" t="s">
        <v>17</v>
      </c>
      <c r="O20">
        <v>326</v>
      </c>
      <c r="P20">
        <v>9.8417229426635448E-5</v>
      </c>
      <c r="Q20">
        <v>1E-4</v>
      </c>
      <c r="R20">
        <v>2000</v>
      </c>
      <c r="S20">
        <v>91.532281268643089</v>
      </c>
      <c r="T20">
        <v>1.014346875463896E-3</v>
      </c>
      <c r="U20">
        <v>16.83322690124341</v>
      </c>
      <c r="V20">
        <v>94.837460547568625</v>
      </c>
      <c r="W20">
        <v>90.116796808290914</v>
      </c>
      <c r="X20">
        <v>0.34522048262543642</v>
      </c>
      <c r="Y20">
        <v>67.059440476960717</v>
      </c>
    </row>
    <row r="21" spans="1:25" x14ac:dyDescent="0.3">
      <c r="A21">
        <v>20</v>
      </c>
      <c r="B21" t="s">
        <v>84</v>
      </c>
      <c r="C21">
        <v>606.63435399997979</v>
      </c>
      <c r="D21">
        <v>10.110572566666329</v>
      </c>
      <c r="E21" t="s">
        <v>85</v>
      </c>
      <c r="G21" t="s">
        <v>27</v>
      </c>
      <c r="H21" t="s">
        <v>86</v>
      </c>
      <c r="J21" t="s">
        <v>29</v>
      </c>
      <c r="K21">
        <v>5.3124792960829913E-2</v>
      </c>
      <c r="L21">
        <v>0</v>
      </c>
      <c r="M21">
        <v>5.3124792960829913E-2</v>
      </c>
      <c r="N21" t="s">
        <v>17</v>
      </c>
      <c r="O21">
        <v>277</v>
      </c>
      <c r="P21">
        <v>9.972852870656661E-5</v>
      </c>
      <c r="Q21">
        <v>1E-4</v>
      </c>
      <c r="R21">
        <v>2000</v>
      </c>
      <c r="S21">
        <v>97.520924149350392</v>
      </c>
      <c r="T21">
        <v>1.014346875463896E-3</v>
      </c>
      <c r="U21">
        <v>22.620771246254758</v>
      </c>
      <c r="V21">
        <v>94.837460547568625</v>
      </c>
      <c r="W21">
        <v>90.116796808290914</v>
      </c>
      <c r="X21">
        <v>0.3534752286347676</v>
      </c>
      <c r="Y21">
        <v>99.840128707378256</v>
      </c>
    </row>
    <row r="22" spans="1:25" x14ac:dyDescent="0.3">
      <c r="A22">
        <v>21</v>
      </c>
      <c r="B22" t="s">
        <v>87</v>
      </c>
      <c r="C22">
        <v>355.93476089998148</v>
      </c>
      <c r="D22">
        <v>5.9322460149996914</v>
      </c>
      <c r="E22" t="s">
        <v>88</v>
      </c>
      <c r="G22" t="s">
        <v>27</v>
      </c>
      <c r="H22" t="s">
        <v>89</v>
      </c>
      <c r="J22" t="s">
        <v>29</v>
      </c>
      <c r="K22">
        <v>4.8016461057424249E-2</v>
      </c>
      <c r="L22">
        <v>0</v>
      </c>
      <c r="M22">
        <v>4.8016461057424249E-2</v>
      </c>
      <c r="N22" t="s">
        <v>17</v>
      </c>
      <c r="O22">
        <v>167</v>
      </c>
      <c r="P22">
        <v>9.9968309199979113E-5</v>
      </c>
      <c r="Q22">
        <v>1E-4</v>
      </c>
      <c r="R22">
        <v>2000</v>
      </c>
      <c r="S22">
        <v>96.332798973857777</v>
      </c>
      <c r="T22">
        <v>1.014346875463896E-3</v>
      </c>
      <c r="U22">
        <v>19.297417891331222</v>
      </c>
      <c r="V22">
        <v>94.837460547568625</v>
      </c>
      <c r="W22">
        <v>90.116796808290914</v>
      </c>
      <c r="X22">
        <v>0.32890178294854022</v>
      </c>
      <c r="Y22">
        <v>65.257731710739549</v>
      </c>
    </row>
    <row r="23" spans="1:25" x14ac:dyDescent="0.3">
      <c r="A23">
        <v>22</v>
      </c>
      <c r="B23" t="s">
        <v>90</v>
      </c>
      <c r="C23">
        <v>258.02911460003821</v>
      </c>
      <c r="D23">
        <v>4.3004852433339691</v>
      </c>
      <c r="E23" t="s">
        <v>91</v>
      </c>
      <c r="G23" t="s">
        <v>27</v>
      </c>
      <c r="H23" t="s">
        <v>92</v>
      </c>
      <c r="J23" t="s">
        <v>29</v>
      </c>
      <c r="K23">
        <v>5.6656778450388523E-2</v>
      </c>
      <c r="L23">
        <v>0</v>
      </c>
      <c r="M23">
        <v>5.6656778450388523E-2</v>
      </c>
      <c r="N23" t="s">
        <v>17</v>
      </c>
      <c r="O23">
        <v>126</v>
      </c>
      <c r="P23">
        <v>9.968027800108627E-5</v>
      </c>
      <c r="Q23">
        <v>1E-4</v>
      </c>
      <c r="R23">
        <v>2000</v>
      </c>
      <c r="S23">
        <v>98.97403155958223</v>
      </c>
      <c r="T23">
        <v>1.014346875463896E-3</v>
      </c>
      <c r="U23">
        <v>24.756181778752762</v>
      </c>
      <c r="V23">
        <v>94.837460547568625</v>
      </c>
      <c r="W23">
        <v>90.116796808290914</v>
      </c>
      <c r="X23">
        <v>0.35313035904603279</v>
      </c>
      <c r="Y23">
        <v>58.586260706428909</v>
      </c>
    </row>
    <row r="24" spans="1:25" x14ac:dyDescent="0.3">
      <c r="A24">
        <v>23</v>
      </c>
      <c r="B24" t="s">
        <v>93</v>
      </c>
      <c r="C24">
        <v>380.56447250000201</v>
      </c>
      <c r="D24">
        <v>6.3427412083333667</v>
      </c>
      <c r="E24" t="s">
        <v>94</v>
      </c>
      <c r="G24" t="s">
        <v>27</v>
      </c>
      <c r="H24" t="s">
        <v>95</v>
      </c>
      <c r="J24" t="s">
        <v>29</v>
      </c>
      <c r="K24">
        <v>4.7848950421835762E-2</v>
      </c>
      <c r="L24">
        <v>0</v>
      </c>
      <c r="M24">
        <v>4.7848950421835762E-2</v>
      </c>
      <c r="N24" t="s">
        <v>17</v>
      </c>
      <c r="O24">
        <v>191</v>
      </c>
      <c r="P24">
        <v>9.3843979470786639E-5</v>
      </c>
      <c r="Q24">
        <v>1E-4</v>
      </c>
      <c r="R24">
        <v>2000</v>
      </c>
      <c r="S24">
        <v>97.580381149968417</v>
      </c>
      <c r="T24">
        <v>1.014346875463896E-3</v>
      </c>
      <c r="U24">
        <v>19.954439297552561</v>
      </c>
      <c r="V24">
        <v>94.837460547568625</v>
      </c>
      <c r="W24">
        <v>90.116796808290914</v>
      </c>
      <c r="X24">
        <v>0.34611363549359658</v>
      </c>
      <c r="Y24">
        <v>62.195544342028633</v>
      </c>
    </row>
    <row r="25" spans="1:25" s="1" customFormat="1" x14ac:dyDescent="0.3">
      <c r="A25" s="1">
        <v>24</v>
      </c>
      <c r="B25" s="1" t="s">
        <v>96</v>
      </c>
      <c r="C25" s="1">
        <v>3875.3518846998918</v>
      </c>
      <c r="D25" s="1">
        <v>64.589198078331535</v>
      </c>
      <c r="E25" s="1" t="s">
        <v>97</v>
      </c>
      <c r="G25" s="1" t="s">
        <v>27</v>
      </c>
      <c r="H25" s="1" t="s">
        <v>98</v>
      </c>
      <c r="J25" s="1" t="s">
        <v>29</v>
      </c>
      <c r="K25" s="1">
        <v>5.7740419157178272E-2</v>
      </c>
      <c r="L25" s="1">
        <v>0</v>
      </c>
      <c r="M25" s="1">
        <v>5.7740419157178272E-2</v>
      </c>
      <c r="N25" s="1" t="s">
        <v>17</v>
      </c>
      <c r="O25" s="1">
        <v>2001</v>
      </c>
      <c r="P25" s="1">
        <v>3.4748989046410319E-3</v>
      </c>
      <c r="Q25" s="1">
        <v>1E-4</v>
      </c>
      <c r="R25" s="1">
        <v>2000</v>
      </c>
      <c r="S25" s="1">
        <v>80.628877408762094</v>
      </c>
      <c r="T25" s="1">
        <v>1.014346875463896E-3</v>
      </c>
      <c r="U25" s="1">
        <v>23.19635883124457</v>
      </c>
      <c r="V25" s="1">
        <v>94.837460547568625</v>
      </c>
      <c r="W25" s="1">
        <v>90.116796808290914</v>
      </c>
      <c r="X25" s="1">
        <v>0.36292826709219123</v>
      </c>
      <c r="Y25" s="1">
        <v>99.778429567451113</v>
      </c>
    </row>
    <row r="26" spans="1:25" x14ac:dyDescent="0.3">
      <c r="A26">
        <v>25</v>
      </c>
      <c r="B26" t="s">
        <v>99</v>
      </c>
      <c r="C26">
        <v>253.85502889985219</v>
      </c>
      <c r="D26">
        <v>4.2309171483308701</v>
      </c>
      <c r="E26" t="s">
        <v>100</v>
      </c>
      <c r="G26" t="s">
        <v>27</v>
      </c>
      <c r="H26" t="s">
        <v>101</v>
      </c>
      <c r="J26" t="s">
        <v>29</v>
      </c>
      <c r="K26">
        <v>5.6598905133480218E-2</v>
      </c>
      <c r="L26">
        <v>0</v>
      </c>
      <c r="M26">
        <v>5.6598905133480218E-2</v>
      </c>
      <c r="N26" t="s">
        <v>17</v>
      </c>
      <c r="O26">
        <v>124</v>
      </c>
      <c r="P26">
        <v>8.463959255841675E-5</v>
      </c>
      <c r="Q26">
        <v>1E-4</v>
      </c>
      <c r="R26">
        <v>2000</v>
      </c>
      <c r="S26">
        <v>99.995104072746898</v>
      </c>
      <c r="T26">
        <v>1.014346875463896E-3</v>
      </c>
      <c r="U26">
        <v>17.464595467440731</v>
      </c>
      <c r="V26">
        <v>94.837460547568625</v>
      </c>
      <c r="W26">
        <v>90.116796808290914</v>
      </c>
      <c r="X26">
        <v>0.34874265185712522</v>
      </c>
      <c r="Y26">
        <v>91.209617933584965</v>
      </c>
    </row>
    <row r="27" spans="1:25" x14ac:dyDescent="0.3">
      <c r="A27">
        <v>26</v>
      </c>
      <c r="B27" t="s">
        <v>102</v>
      </c>
      <c r="C27">
        <v>234.2774659998249</v>
      </c>
      <c r="D27">
        <v>3.9046244333304161</v>
      </c>
      <c r="E27" t="s">
        <v>103</v>
      </c>
      <c r="G27" t="s">
        <v>27</v>
      </c>
      <c r="H27" t="s">
        <v>104</v>
      </c>
      <c r="J27" t="s">
        <v>29</v>
      </c>
      <c r="K27">
        <v>5.2638529986280443E-2</v>
      </c>
      <c r="L27">
        <v>0</v>
      </c>
      <c r="M27">
        <v>5.2638529986280443E-2</v>
      </c>
      <c r="N27" t="s">
        <v>17</v>
      </c>
      <c r="O27">
        <v>103</v>
      </c>
      <c r="P27">
        <v>5.3833729058052337E-5</v>
      </c>
      <c r="Q27">
        <v>1E-4</v>
      </c>
      <c r="R27">
        <v>2000</v>
      </c>
      <c r="S27">
        <v>96.471640343782681</v>
      </c>
      <c r="T27">
        <v>1.014346875463896E-3</v>
      </c>
      <c r="U27">
        <v>25.015592938430839</v>
      </c>
      <c r="V27">
        <v>94.837460547568625</v>
      </c>
      <c r="W27">
        <v>90.116796808290914</v>
      </c>
      <c r="X27">
        <v>0.36637798791157528</v>
      </c>
      <c r="Y27">
        <v>66.90355725191597</v>
      </c>
    </row>
    <row r="28" spans="1:25" x14ac:dyDescent="0.3">
      <c r="A28">
        <v>27</v>
      </c>
      <c r="B28" t="s">
        <v>105</v>
      </c>
      <c r="C28">
        <v>248.24590789992359</v>
      </c>
      <c r="D28">
        <v>4.1374317983320603</v>
      </c>
      <c r="E28" t="s">
        <v>106</v>
      </c>
      <c r="G28" t="s">
        <v>27</v>
      </c>
      <c r="H28" t="s">
        <v>107</v>
      </c>
      <c r="J28" t="s">
        <v>29</v>
      </c>
      <c r="K28">
        <v>5.408664919924637E-2</v>
      </c>
      <c r="L28">
        <v>0</v>
      </c>
      <c r="M28">
        <v>5.408664919924637E-2</v>
      </c>
      <c r="N28" t="s">
        <v>17</v>
      </c>
      <c r="O28">
        <v>124</v>
      </c>
      <c r="P28">
        <v>9.994359974118891E-5</v>
      </c>
      <c r="Q28">
        <v>1E-4</v>
      </c>
      <c r="R28">
        <v>2000</v>
      </c>
      <c r="S28">
        <v>95.709367054341911</v>
      </c>
      <c r="T28">
        <v>1.014346875463896E-3</v>
      </c>
      <c r="U28">
        <v>18.559732065692351</v>
      </c>
      <c r="V28">
        <v>94.837460547568625</v>
      </c>
      <c r="W28">
        <v>90.116796808290914</v>
      </c>
      <c r="X28">
        <v>0.34236606414265081</v>
      </c>
      <c r="Y28">
        <v>99.978741258937077</v>
      </c>
    </row>
    <row r="29" spans="1:25" x14ac:dyDescent="0.3">
      <c r="A29">
        <v>28</v>
      </c>
      <c r="B29" t="s">
        <v>108</v>
      </c>
      <c r="C29">
        <v>148.6022893998306</v>
      </c>
      <c r="D29">
        <v>2.4767048233305098</v>
      </c>
      <c r="E29" t="s">
        <v>109</v>
      </c>
      <c r="G29" t="s">
        <v>27</v>
      </c>
      <c r="H29" t="s">
        <v>110</v>
      </c>
      <c r="J29" t="s">
        <v>29</v>
      </c>
      <c r="K29">
        <v>3.2464873478997833E-2</v>
      </c>
      <c r="L29">
        <v>0</v>
      </c>
      <c r="M29">
        <v>3.2464873478997833E-2</v>
      </c>
      <c r="N29" t="s">
        <v>17</v>
      </c>
      <c r="O29">
        <v>77</v>
      </c>
      <c r="P29">
        <v>8.9437223245787949E-5</v>
      </c>
      <c r="Q29">
        <v>1E-4</v>
      </c>
      <c r="R29">
        <v>2000</v>
      </c>
      <c r="S29">
        <v>97.182657746779157</v>
      </c>
      <c r="T29">
        <v>1.014346875463896E-3</v>
      </c>
      <c r="U29">
        <v>24.765988925984828</v>
      </c>
      <c r="V29">
        <v>94.837460547568625</v>
      </c>
      <c r="W29">
        <v>90.116796808290914</v>
      </c>
      <c r="X29">
        <v>0.35671626693055641</v>
      </c>
      <c r="Y29">
        <v>65.346814689502864</v>
      </c>
    </row>
    <row r="30" spans="1:25" x14ac:dyDescent="0.3">
      <c r="A30">
        <v>29</v>
      </c>
      <c r="B30" t="s">
        <v>111</v>
      </c>
      <c r="C30">
        <v>223.33067639986979</v>
      </c>
      <c r="D30">
        <v>3.722177939997831</v>
      </c>
      <c r="E30" t="s">
        <v>112</v>
      </c>
      <c r="G30" t="s">
        <v>27</v>
      </c>
      <c r="H30" t="s">
        <v>113</v>
      </c>
      <c r="J30" t="s">
        <v>29</v>
      </c>
      <c r="K30">
        <v>4.7766709409184857E-2</v>
      </c>
      <c r="L30">
        <v>0</v>
      </c>
      <c r="M30">
        <v>4.7766709409184857E-2</v>
      </c>
      <c r="N30" t="s">
        <v>17</v>
      </c>
      <c r="O30">
        <v>114</v>
      </c>
      <c r="P30">
        <v>9.9688826631704641E-5</v>
      </c>
      <c r="Q30">
        <v>1E-4</v>
      </c>
      <c r="R30">
        <v>2000</v>
      </c>
      <c r="S30">
        <v>92.638999665481279</v>
      </c>
      <c r="T30">
        <v>1.014346875463896E-3</v>
      </c>
      <c r="U30">
        <v>22.946526758692649</v>
      </c>
      <c r="V30">
        <v>94.837460547568625</v>
      </c>
      <c r="W30">
        <v>90.116796808290914</v>
      </c>
      <c r="X30">
        <v>0.33106701381523718</v>
      </c>
      <c r="Y30">
        <v>83.000473687608761</v>
      </c>
    </row>
    <row r="31" spans="1:25" x14ac:dyDescent="0.3">
      <c r="A31">
        <v>30</v>
      </c>
      <c r="B31" t="s">
        <v>114</v>
      </c>
      <c r="C31">
        <v>595.20419390010647</v>
      </c>
      <c r="D31">
        <v>9.9200698983351074</v>
      </c>
      <c r="E31" t="s">
        <v>115</v>
      </c>
      <c r="G31" t="s">
        <v>27</v>
      </c>
      <c r="H31" t="s">
        <v>116</v>
      </c>
      <c r="J31" t="s">
        <v>29</v>
      </c>
      <c r="K31">
        <v>5.6937064402249042E-2</v>
      </c>
      <c r="L31">
        <v>0</v>
      </c>
      <c r="M31">
        <v>5.6937064402249042E-2</v>
      </c>
      <c r="N31" t="s">
        <v>17</v>
      </c>
      <c r="O31">
        <v>287</v>
      </c>
      <c r="P31">
        <v>9.6753835954939359E-5</v>
      </c>
      <c r="Q31">
        <v>1E-4</v>
      </c>
      <c r="R31">
        <v>2000</v>
      </c>
      <c r="S31">
        <v>99.946045417887575</v>
      </c>
      <c r="T31">
        <v>1.014346875463896E-3</v>
      </c>
      <c r="U31">
        <v>21.28435771743623</v>
      </c>
      <c r="V31">
        <v>94.837460547568625</v>
      </c>
      <c r="W31">
        <v>90.116796808290914</v>
      </c>
      <c r="X31">
        <v>0.34602393026121392</v>
      </c>
      <c r="Y31">
        <v>64.263081822488445</v>
      </c>
    </row>
    <row r="32" spans="1:25" x14ac:dyDescent="0.3">
      <c r="A32">
        <v>31</v>
      </c>
      <c r="B32" t="s">
        <v>117</v>
      </c>
      <c r="C32">
        <v>660.06711090006866</v>
      </c>
      <c r="D32">
        <v>11.00111851500114</v>
      </c>
      <c r="E32" t="s">
        <v>118</v>
      </c>
      <c r="G32" t="s">
        <v>27</v>
      </c>
      <c r="H32" t="s">
        <v>119</v>
      </c>
      <c r="J32" t="s">
        <v>29</v>
      </c>
      <c r="K32">
        <v>3.6108374550627383E-2</v>
      </c>
      <c r="L32">
        <v>0</v>
      </c>
      <c r="M32">
        <v>3.6108374550627383E-2</v>
      </c>
      <c r="N32" t="s">
        <v>17</v>
      </c>
      <c r="O32">
        <v>312</v>
      </c>
      <c r="P32">
        <v>9.9147697023747359E-5</v>
      </c>
      <c r="Q32">
        <v>1E-4</v>
      </c>
      <c r="R32">
        <v>2000</v>
      </c>
      <c r="S32">
        <v>98.232823585138959</v>
      </c>
      <c r="T32">
        <v>1.014346875463896E-3</v>
      </c>
      <c r="U32">
        <v>26.55707969828962</v>
      </c>
      <c r="V32">
        <v>94.837460547568625</v>
      </c>
      <c r="W32">
        <v>90.116796808290914</v>
      </c>
      <c r="X32">
        <v>0.39662093388145397</v>
      </c>
      <c r="Y32">
        <v>72.415509009765557</v>
      </c>
    </row>
    <row r="33" spans="1:25" x14ac:dyDescent="0.3">
      <c r="A33">
        <v>32</v>
      </c>
      <c r="B33" t="s">
        <v>120</v>
      </c>
      <c r="C33">
        <v>422.97234490001568</v>
      </c>
      <c r="D33">
        <v>7.0495390816669294</v>
      </c>
      <c r="E33" t="s">
        <v>121</v>
      </c>
      <c r="G33" t="s">
        <v>27</v>
      </c>
      <c r="H33" t="s">
        <v>122</v>
      </c>
      <c r="J33" t="s">
        <v>29</v>
      </c>
      <c r="K33">
        <v>3.5049655921136257E-2</v>
      </c>
      <c r="L33">
        <v>0</v>
      </c>
      <c r="M33">
        <v>3.5049655921136257E-2</v>
      </c>
      <c r="N33" t="s">
        <v>17</v>
      </c>
      <c r="O33">
        <v>210</v>
      </c>
      <c r="P33">
        <v>9.4430085463438358E-5</v>
      </c>
      <c r="Q33">
        <v>1E-4</v>
      </c>
      <c r="R33">
        <v>2000</v>
      </c>
      <c r="S33">
        <v>91.015520376505762</v>
      </c>
      <c r="T33">
        <v>1.014346875463896E-3</v>
      </c>
      <c r="U33">
        <v>27.483063326868269</v>
      </c>
      <c r="V33">
        <v>94.837460547568625</v>
      </c>
      <c r="W33">
        <v>90.116796808290914</v>
      </c>
      <c r="X33">
        <v>0.37140160787108872</v>
      </c>
      <c r="Y33">
        <v>45.684106933648977</v>
      </c>
    </row>
    <row r="34" spans="1:25" x14ac:dyDescent="0.3">
      <c r="A34">
        <v>33</v>
      </c>
      <c r="B34" t="s">
        <v>123</v>
      </c>
      <c r="C34">
        <v>380.45998809998849</v>
      </c>
      <c r="D34">
        <v>6.3409998016664746</v>
      </c>
      <c r="E34" t="s">
        <v>124</v>
      </c>
      <c r="G34" t="s">
        <v>27</v>
      </c>
      <c r="H34" t="s">
        <v>125</v>
      </c>
      <c r="J34" t="s">
        <v>29</v>
      </c>
      <c r="K34">
        <v>5.0229143888754532E-2</v>
      </c>
      <c r="L34">
        <v>0</v>
      </c>
      <c r="M34">
        <v>5.0229143888754532E-2</v>
      </c>
      <c r="N34" t="s">
        <v>17</v>
      </c>
      <c r="O34">
        <v>192</v>
      </c>
      <c r="P34">
        <v>6.0459074075857378E-5</v>
      </c>
      <c r="Q34">
        <v>1E-4</v>
      </c>
      <c r="R34">
        <v>2000</v>
      </c>
      <c r="S34">
        <v>99.882087636909233</v>
      </c>
      <c r="T34">
        <v>1.014346875463896E-3</v>
      </c>
      <c r="U34">
        <v>24.728059825997121</v>
      </c>
      <c r="V34">
        <v>94.837460547568625</v>
      </c>
      <c r="W34">
        <v>90.116796808290914</v>
      </c>
      <c r="X34">
        <v>0.35200798060467903</v>
      </c>
      <c r="Y34">
        <v>63.171667475254729</v>
      </c>
    </row>
    <row r="35" spans="1:25" x14ac:dyDescent="0.3">
      <c r="A35">
        <v>34</v>
      </c>
      <c r="B35" t="s">
        <v>126</v>
      </c>
      <c r="C35">
        <v>267.11132589983748</v>
      </c>
      <c r="D35">
        <v>4.4518554316639589</v>
      </c>
      <c r="E35" t="s">
        <v>127</v>
      </c>
      <c r="G35" t="s">
        <v>27</v>
      </c>
      <c r="H35" t="s">
        <v>128</v>
      </c>
      <c r="J35" t="s">
        <v>29</v>
      </c>
      <c r="K35">
        <v>3.1912274770262677E-2</v>
      </c>
      <c r="L35">
        <v>0</v>
      </c>
      <c r="M35">
        <v>3.1912274770262677E-2</v>
      </c>
      <c r="N35" t="s">
        <v>17</v>
      </c>
      <c r="O35">
        <v>128</v>
      </c>
      <c r="P35">
        <v>8.7133214411628786E-5</v>
      </c>
      <c r="Q35">
        <v>1E-4</v>
      </c>
      <c r="R35">
        <v>2000</v>
      </c>
      <c r="S35">
        <v>98.847166598259633</v>
      </c>
      <c r="T35">
        <v>1.014346875463896E-3</v>
      </c>
      <c r="U35">
        <v>27.672729794194019</v>
      </c>
      <c r="V35">
        <v>94.837460547568625</v>
      </c>
      <c r="W35">
        <v>90.116796808290914</v>
      </c>
      <c r="X35">
        <v>0.35297554939135228</v>
      </c>
      <c r="Y35">
        <v>99.048940954271757</v>
      </c>
    </row>
    <row r="36" spans="1:25" x14ac:dyDescent="0.3">
      <c r="A36">
        <v>35</v>
      </c>
      <c r="B36" t="s">
        <v>129</v>
      </c>
      <c r="C36">
        <v>1818.0411464998031</v>
      </c>
      <c r="D36">
        <v>30.300685774996719</v>
      </c>
      <c r="E36" t="s">
        <v>130</v>
      </c>
      <c r="G36" t="s">
        <v>27</v>
      </c>
      <c r="H36" t="s">
        <v>131</v>
      </c>
      <c r="J36" t="s">
        <v>29</v>
      </c>
      <c r="K36">
        <v>2.6396827864363929E-2</v>
      </c>
      <c r="L36">
        <v>0</v>
      </c>
      <c r="M36">
        <v>2.6396827864363929E-2</v>
      </c>
      <c r="N36" t="s">
        <v>17</v>
      </c>
      <c r="O36">
        <v>1032</v>
      </c>
      <c r="P36">
        <v>9.2419280650609507E-5</v>
      </c>
      <c r="Q36">
        <v>1E-4</v>
      </c>
      <c r="R36">
        <v>2000</v>
      </c>
      <c r="S36">
        <v>51.713945086934757</v>
      </c>
      <c r="T36">
        <v>1.014346875463896E-3</v>
      </c>
      <c r="U36">
        <v>20.64048144018928</v>
      </c>
      <c r="V36">
        <v>94.837460547568625</v>
      </c>
      <c r="W36">
        <v>90.116796808290914</v>
      </c>
      <c r="X36">
        <v>0.33549238973936141</v>
      </c>
      <c r="Y36">
        <v>70.325064206467403</v>
      </c>
    </row>
    <row r="37" spans="1:25" x14ac:dyDescent="0.3">
      <c r="A37">
        <v>36</v>
      </c>
      <c r="B37" t="s">
        <v>132</v>
      </c>
      <c r="C37">
        <v>1729.586340100039</v>
      </c>
      <c r="D37">
        <v>28.82643900166731</v>
      </c>
      <c r="E37" t="s">
        <v>133</v>
      </c>
      <c r="G37" t="s">
        <v>27</v>
      </c>
      <c r="H37" t="s">
        <v>134</v>
      </c>
      <c r="J37" t="s">
        <v>29</v>
      </c>
      <c r="K37">
        <v>3.0936518642834358E-2</v>
      </c>
      <c r="L37">
        <v>0</v>
      </c>
      <c r="M37">
        <v>3.0936518642834358E-2</v>
      </c>
      <c r="N37" t="s">
        <v>17</v>
      </c>
      <c r="O37">
        <v>947</v>
      </c>
      <c r="P37">
        <v>9.9845795807421551E-5</v>
      </c>
      <c r="Q37">
        <v>1E-4</v>
      </c>
      <c r="R37">
        <v>2000</v>
      </c>
      <c r="S37">
        <v>68.935411377471311</v>
      </c>
      <c r="T37">
        <v>1.014346875463896E-3</v>
      </c>
      <c r="U37">
        <v>16.132374793534449</v>
      </c>
      <c r="V37">
        <v>94.837460547568625</v>
      </c>
      <c r="W37">
        <v>90.116796808290914</v>
      </c>
      <c r="X37">
        <v>0.33755203810383488</v>
      </c>
      <c r="Y37">
        <v>75.099973774377389</v>
      </c>
    </row>
    <row r="38" spans="1:25" x14ac:dyDescent="0.3">
      <c r="A38">
        <v>37</v>
      </c>
      <c r="B38" t="s">
        <v>135</v>
      </c>
      <c r="C38">
        <v>249.9187418001238</v>
      </c>
      <c r="D38">
        <v>4.1653123633353966</v>
      </c>
      <c r="E38" t="s">
        <v>136</v>
      </c>
      <c r="G38" t="s">
        <v>27</v>
      </c>
      <c r="H38" t="s">
        <v>137</v>
      </c>
      <c r="J38" t="s">
        <v>29</v>
      </c>
      <c r="K38">
        <v>4.6397743410654523E-2</v>
      </c>
      <c r="L38">
        <v>0</v>
      </c>
      <c r="M38">
        <v>4.6397743410654523E-2</v>
      </c>
      <c r="N38" t="s">
        <v>17</v>
      </c>
      <c r="O38">
        <v>131</v>
      </c>
      <c r="P38">
        <v>9.9044378496630274E-5</v>
      </c>
      <c r="Q38">
        <v>1E-4</v>
      </c>
      <c r="R38">
        <v>2000</v>
      </c>
      <c r="S38">
        <v>97.445247690020281</v>
      </c>
      <c r="T38">
        <v>1.014346875463896E-3</v>
      </c>
      <c r="U38">
        <v>14.591741308867681</v>
      </c>
      <c r="V38">
        <v>94.837460547568625</v>
      </c>
      <c r="W38">
        <v>90.116796808290914</v>
      </c>
      <c r="X38">
        <v>0.32219793908042332</v>
      </c>
      <c r="Y38">
        <v>99.999521248099668</v>
      </c>
    </row>
    <row r="39" spans="1:25" x14ac:dyDescent="0.3">
      <c r="A39">
        <v>38</v>
      </c>
      <c r="B39" t="s">
        <v>138</v>
      </c>
      <c r="C39">
        <v>737.90966840018518</v>
      </c>
      <c r="D39">
        <v>12.298494473336421</v>
      </c>
      <c r="E39" t="s">
        <v>139</v>
      </c>
      <c r="G39" t="s">
        <v>27</v>
      </c>
      <c r="H39" t="s">
        <v>140</v>
      </c>
      <c r="J39" t="s">
        <v>29</v>
      </c>
      <c r="K39">
        <v>3.5598829497713341E-2</v>
      </c>
      <c r="L39">
        <v>0</v>
      </c>
      <c r="M39">
        <v>3.5598829497713341E-2</v>
      </c>
      <c r="N39" t="s">
        <v>17</v>
      </c>
      <c r="O39">
        <v>352</v>
      </c>
      <c r="P39">
        <v>9.0406407614500124E-5</v>
      </c>
      <c r="Q39">
        <v>1E-4</v>
      </c>
      <c r="R39">
        <v>2000</v>
      </c>
      <c r="S39">
        <v>99.912906552015258</v>
      </c>
      <c r="T39">
        <v>1.014346875463896E-3</v>
      </c>
      <c r="U39">
        <v>20.821368868765319</v>
      </c>
      <c r="V39">
        <v>94.837460547568625</v>
      </c>
      <c r="W39">
        <v>90.116796808290914</v>
      </c>
      <c r="X39">
        <v>0.33845302424133528</v>
      </c>
      <c r="Y39">
        <v>85.007362731688005</v>
      </c>
    </row>
    <row r="40" spans="1:25" x14ac:dyDescent="0.3">
      <c r="A40">
        <v>39</v>
      </c>
      <c r="B40" t="s">
        <v>141</v>
      </c>
      <c r="C40">
        <v>147.97737550013699</v>
      </c>
      <c r="D40">
        <v>2.46628959166895</v>
      </c>
      <c r="E40" t="s">
        <v>142</v>
      </c>
      <c r="G40" t="s">
        <v>27</v>
      </c>
      <c r="H40" t="s">
        <v>143</v>
      </c>
      <c r="J40" t="s">
        <v>29</v>
      </c>
      <c r="K40">
        <v>6.0421862545919268E-2</v>
      </c>
      <c r="L40">
        <v>0</v>
      </c>
      <c r="M40">
        <v>6.0421862545919268E-2</v>
      </c>
      <c r="N40" t="s">
        <v>17</v>
      </c>
      <c r="O40">
        <v>72</v>
      </c>
      <c r="P40">
        <v>9.3171056294094352E-5</v>
      </c>
      <c r="Q40">
        <v>1E-4</v>
      </c>
      <c r="R40">
        <v>2000</v>
      </c>
      <c r="S40">
        <v>97.832228129858038</v>
      </c>
      <c r="T40">
        <v>1.014346875463896E-3</v>
      </c>
      <c r="U40">
        <v>23.5572260391098</v>
      </c>
      <c r="V40">
        <v>94.837460547568625</v>
      </c>
      <c r="W40">
        <v>90.116796808290914</v>
      </c>
      <c r="X40">
        <v>0.34145359353070959</v>
      </c>
      <c r="Y40">
        <v>61.948229810185573</v>
      </c>
    </row>
    <row r="41" spans="1:25" x14ac:dyDescent="0.3">
      <c r="A41">
        <v>40</v>
      </c>
      <c r="B41" t="s">
        <v>144</v>
      </c>
      <c r="C41">
        <v>230.79868120001629</v>
      </c>
      <c r="D41">
        <v>3.8466446866669379</v>
      </c>
      <c r="E41" t="s">
        <v>145</v>
      </c>
      <c r="G41" t="s">
        <v>27</v>
      </c>
      <c r="H41" t="s">
        <v>146</v>
      </c>
      <c r="J41" t="s">
        <v>29</v>
      </c>
      <c r="K41">
        <v>3.590621491009769E-2</v>
      </c>
      <c r="L41">
        <v>0</v>
      </c>
      <c r="M41">
        <v>3.590621491009769E-2</v>
      </c>
      <c r="N41" t="s">
        <v>17</v>
      </c>
      <c r="O41">
        <v>135</v>
      </c>
      <c r="P41">
        <v>9.4251457309611243E-5</v>
      </c>
      <c r="Q41">
        <v>1E-4</v>
      </c>
      <c r="R41">
        <v>2000</v>
      </c>
      <c r="S41">
        <v>64.089862670785806</v>
      </c>
      <c r="T41">
        <v>1.014346875463896E-3</v>
      </c>
      <c r="U41">
        <v>25.178590750527999</v>
      </c>
      <c r="V41">
        <v>94.837460547568625</v>
      </c>
      <c r="W41">
        <v>90.116796808290914</v>
      </c>
      <c r="X41">
        <v>0.37346832155932469</v>
      </c>
      <c r="Y41">
        <v>99.998052365628965</v>
      </c>
    </row>
    <row r="42" spans="1:25" x14ac:dyDescent="0.3">
      <c r="A42">
        <v>41</v>
      </c>
      <c r="B42" t="s">
        <v>147</v>
      </c>
      <c r="C42">
        <v>467.79273169999942</v>
      </c>
      <c r="D42">
        <v>7.7965455283333238</v>
      </c>
      <c r="E42" t="s">
        <v>148</v>
      </c>
      <c r="G42" t="s">
        <v>27</v>
      </c>
      <c r="H42" t="s">
        <v>149</v>
      </c>
      <c r="J42" t="s">
        <v>29</v>
      </c>
      <c r="K42">
        <v>4.0335078114913901E-2</v>
      </c>
      <c r="L42">
        <v>0</v>
      </c>
      <c r="M42">
        <v>4.0335078114913901E-2</v>
      </c>
      <c r="N42" t="s">
        <v>17</v>
      </c>
      <c r="O42">
        <v>208</v>
      </c>
      <c r="P42">
        <v>6.4316250236669411E-5</v>
      </c>
      <c r="Q42">
        <v>1E-4</v>
      </c>
      <c r="R42">
        <v>2000</v>
      </c>
      <c r="S42">
        <v>99.999777566903077</v>
      </c>
      <c r="T42">
        <v>1.014346875463896E-3</v>
      </c>
      <c r="U42">
        <v>14.525964310351361</v>
      </c>
      <c r="V42">
        <v>94.837460547568625</v>
      </c>
      <c r="W42">
        <v>90.116796808290914</v>
      </c>
      <c r="X42">
        <v>0.35564251320631851</v>
      </c>
      <c r="Y42">
        <v>0.67423198415802166</v>
      </c>
    </row>
    <row r="43" spans="1:25" x14ac:dyDescent="0.3">
      <c r="A43">
        <v>42</v>
      </c>
      <c r="B43" t="s">
        <v>150</v>
      </c>
      <c r="C43">
        <v>606.98825539997779</v>
      </c>
      <c r="D43">
        <v>10.11647092333296</v>
      </c>
      <c r="E43" t="s">
        <v>151</v>
      </c>
      <c r="G43" t="s">
        <v>27</v>
      </c>
      <c r="H43" t="s">
        <v>152</v>
      </c>
      <c r="J43" t="s">
        <v>29</v>
      </c>
      <c r="K43">
        <v>1.5719749444827711E-2</v>
      </c>
      <c r="L43">
        <v>0</v>
      </c>
      <c r="M43">
        <v>1.5719749444827711E-2</v>
      </c>
      <c r="N43" t="s">
        <v>17</v>
      </c>
      <c r="O43">
        <v>350</v>
      </c>
      <c r="P43">
        <v>9.4198186988540667E-5</v>
      </c>
      <c r="Q43">
        <v>1E-4</v>
      </c>
      <c r="R43">
        <v>2000</v>
      </c>
      <c r="S43">
        <v>62.222532494988997</v>
      </c>
      <c r="T43">
        <v>1.014346875463896E-3</v>
      </c>
      <c r="U43">
        <v>22.395512819960761</v>
      </c>
      <c r="V43">
        <v>94.837460547568625</v>
      </c>
      <c r="W43">
        <v>90.116796808290914</v>
      </c>
      <c r="X43">
        <v>0.36753539338202701</v>
      </c>
      <c r="Y43">
        <v>61.158832856266173</v>
      </c>
    </row>
    <row r="44" spans="1:25" s="1" customFormat="1" x14ac:dyDescent="0.3">
      <c r="A44" s="1">
        <v>43</v>
      </c>
      <c r="B44" s="1" t="s">
        <v>153</v>
      </c>
      <c r="C44" s="1">
        <v>3105.5442475997838</v>
      </c>
      <c r="D44" s="1">
        <v>51.759070793329741</v>
      </c>
      <c r="E44" s="1" t="s">
        <v>154</v>
      </c>
      <c r="G44" s="1" t="s">
        <v>27</v>
      </c>
      <c r="H44" s="1" t="s">
        <v>155</v>
      </c>
      <c r="J44" s="1" t="s">
        <v>29</v>
      </c>
      <c r="K44" s="1">
        <v>5.382705752853665E-2</v>
      </c>
      <c r="L44" s="1">
        <v>0</v>
      </c>
      <c r="M44" s="1">
        <v>5.382705752853665E-2</v>
      </c>
      <c r="N44" s="1" t="s">
        <v>17</v>
      </c>
      <c r="O44" s="1">
        <v>2001</v>
      </c>
      <c r="P44" s="1">
        <v>1.178898322208412E-4</v>
      </c>
      <c r="Q44" s="1">
        <v>1E-4</v>
      </c>
      <c r="R44" s="1">
        <v>2000</v>
      </c>
      <c r="S44" s="1">
        <v>99.892034886907325</v>
      </c>
      <c r="T44" s="1">
        <v>1.014346875463896E-3</v>
      </c>
      <c r="U44" s="1">
        <v>21.617010154372331</v>
      </c>
      <c r="V44" s="1">
        <v>94.837460547568625</v>
      </c>
      <c r="W44" s="1">
        <v>90.116796808290914</v>
      </c>
      <c r="X44" s="1">
        <v>0.33549371950717649</v>
      </c>
      <c r="Y44" s="1">
        <v>98.992691403911337</v>
      </c>
    </row>
    <row r="45" spans="1:25" x14ac:dyDescent="0.3">
      <c r="A45">
        <v>44</v>
      </c>
      <c r="B45" t="s">
        <v>156</v>
      </c>
      <c r="C45">
        <v>239.41525020007981</v>
      </c>
      <c r="D45">
        <v>3.9902541700013292</v>
      </c>
      <c r="E45" t="s">
        <v>157</v>
      </c>
      <c r="G45" t="s">
        <v>27</v>
      </c>
      <c r="H45" t="s">
        <v>158</v>
      </c>
      <c r="J45" t="s">
        <v>29</v>
      </c>
      <c r="K45">
        <v>7.5469640326722209E-2</v>
      </c>
      <c r="L45">
        <v>0</v>
      </c>
      <c r="M45">
        <v>7.5469640326722209E-2</v>
      </c>
      <c r="N45" t="s">
        <v>17</v>
      </c>
      <c r="O45">
        <v>114</v>
      </c>
      <c r="P45">
        <v>7.3960022371753664E-5</v>
      </c>
      <c r="Q45">
        <v>1E-4</v>
      </c>
      <c r="R45">
        <v>2000</v>
      </c>
      <c r="S45">
        <v>99.989397676008892</v>
      </c>
      <c r="T45">
        <v>1.014346875463896E-3</v>
      </c>
      <c r="U45">
        <v>21.091988725211909</v>
      </c>
      <c r="V45">
        <v>94.837460547568625</v>
      </c>
      <c r="W45">
        <v>90.116796808290914</v>
      </c>
      <c r="X45">
        <v>0.33315346085147562</v>
      </c>
      <c r="Y45">
        <v>66.350265357046965</v>
      </c>
    </row>
    <row r="46" spans="1:25" x14ac:dyDescent="0.3">
      <c r="A46">
        <v>45</v>
      </c>
      <c r="B46" t="s">
        <v>159</v>
      </c>
      <c r="C46">
        <v>399.84227720019408</v>
      </c>
      <c r="D46">
        <v>6.6640379533365683</v>
      </c>
      <c r="E46" t="s">
        <v>160</v>
      </c>
      <c r="G46" t="s">
        <v>27</v>
      </c>
      <c r="H46" t="s">
        <v>161</v>
      </c>
      <c r="J46" t="s">
        <v>29</v>
      </c>
      <c r="K46">
        <v>4.5723604025450677E-2</v>
      </c>
      <c r="L46">
        <v>0</v>
      </c>
      <c r="M46">
        <v>4.5723604025450677E-2</v>
      </c>
      <c r="N46" t="s">
        <v>17</v>
      </c>
      <c r="O46">
        <v>197</v>
      </c>
      <c r="P46">
        <v>8.7725487752964623E-5</v>
      </c>
      <c r="Q46">
        <v>1E-4</v>
      </c>
      <c r="R46">
        <v>2000</v>
      </c>
      <c r="S46">
        <v>91.396688940105321</v>
      </c>
      <c r="T46">
        <v>1.014346875463896E-3</v>
      </c>
      <c r="U46">
        <v>19.675646729367131</v>
      </c>
      <c r="V46">
        <v>94.837460547568625</v>
      </c>
      <c r="W46">
        <v>90.116796808290914</v>
      </c>
      <c r="X46">
        <v>0.33676378901715798</v>
      </c>
      <c r="Y46">
        <v>93.782760103904053</v>
      </c>
    </row>
    <row r="47" spans="1:25" x14ac:dyDescent="0.3">
      <c r="A47">
        <v>46</v>
      </c>
      <c r="B47" t="s">
        <v>162</v>
      </c>
      <c r="C47">
        <v>289.98049110011198</v>
      </c>
      <c r="D47">
        <v>4.8330081850018667</v>
      </c>
      <c r="E47" t="s">
        <v>163</v>
      </c>
      <c r="G47" t="s">
        <v>27</v>
      </c>
      <c r="H47" t="s">
        <v>164</v>
      </c>
      <c r="J47" t="s">
        <v>29</v>
      </c>
      <c r="K47">
        <v>3.6575448505761707E-2</v>
      </c>
      <c r="L47">
        <v>0</v>
      </c>
      <c r="M47">
        <v>3.6575448505761707E-2</v>
      </c>
      <c r="N47" t="s">
        <v>17</v>
      </c>
      <c r="O47">
        <v>156</v>
      </c>
      <c r="P47">
        <v>9.9135854389474296E-5</v>
      </c>
      <c r="Q47">
        <v>1E-4</v>
      </c>
      <c r="R47">
        <v>2000</v>
      </c>
      <c r="S47">
        <v>97.182798066174783</v>
      </c>
      <c r="T47">
        <v>1.014346875463896E-3</v>
      </c>
      <c r="U47">
        <v>24.693351184498521</v>
      </c>
      <c r="V47">
        <v>94.837460547568625</v>
      </c>
      <c r="W47">
        <v>90.116796808290914</v>
      </c>
      <c r="X47">
        <v>0.36136158373439581</v>
      </c>
      <c r="Y47">
        <v>65.043189589083482</v>
      </c>
    </row>
    <row r="48" spans="1:25" x14ac:dyDescent="0.3">
      <c r="A48">
        <v>47</v>
      </c>
      <c r="B48" t="s">
        <v>165</v>
      </c>
      <c r="C48">
        <v>1061.2206647999119</v>
      </c>
      <c r="D48">
        <v>17.687011079998531</v>
      </c>
      <c r="E48" t="s">
        <v>166</v>
      </c>
      <c r="G48" t="s">
        <v>27</v>
      </c>
      <c r="H48" t="s">
        <v>167</v>
      </c>
      <c r="J48" t="s">
        <v>29</v>
      </c>
      <c r="K48">
        <v>2.8869299046597401E-2</v>
      </c>
      <c r="L48">
        <v>0</v>
      </c>
      <c r="M48">
        <v>2.8869299046597401E-2</v>
      </c>
      <c r="N48" t="s">
        <v>17</v>
      </c>
      <c r="O48">
        <v>597</v>
      </c>
      <c r="P48">
        <v>9.8283503275609684E-5</v>
      </c>
      <c r="Q48">
        <v>1E-4</v>
      </c>
      <c r="R48">
        <v>2000</v>
      </c>
      <c r="S48">
        <v>72.835685226974135</v>
      </c>
      <c r="T48">
        <v>1.014346875463896E-3</v>
      </c>
      <c r="U48">
        <v>15.707697345397801</v>
      </c>
      <c r="V48">
        <v>94.837460547568625</v>
      </c>
      <c r="W48">
        <v>90.116796808290914</v>
      </c>
      <c r="X48">
        <v>0.36975824416387182</v>
      </c>
      <c r="Y48">
        <v>67.351261519539122</v>
      </c>
    </row>
    <row r="49" spans="1:25" x14ac:dyDescent="0.3">
      <c r="A49">
        <v>48</v>
      </c>
      <c r="B49" t="s">
        <v>168</v>
      </c>
      <c r="C49">
        <v>557.88736910000443</v>
      </c>
      <c r="D49">
        <v>9.2981228183334075</v>
      </c>
      <c r="E49" t="s">
        <v>169</v>
      </c>
      <c r="G49" t="s">
        <v>27</v>
      </c>
      <c r="H49" t="s">
        <v>170</v>
      </c>
      <c r="J49" t="s">
        <v>29</v>
      </c>
      <c r="K49">
        <v>3.8916968038608862E-2</v>
      </c>
      <c r="L49">
        <v>0</v>
      </c>
      <c r="M49">
        <v>3.8916968038608862E-2</v>
      </c>
      <c r="N49" t="s">
        <v>17</v>
      </c>
      <c r="O49">
        <v>309</v>
      </c>
      <c r="P49">
        <v>9.943249587874786E-5</v>
      </c>
      <c r="Q49">
        <v>1E-4</v>
      </c>
      <c r="R49">
        <v>2000</v>
      </c>
      <c r="S49">
        <v>99.636155746614151</v>
      </c>
      <c r="T49">
        <v>1.014346875463896E-3</v>
      </c>
      <c r="U49">
        <v>24.68073192906617</v>
      </c>
      <c r="V49">
        <v>94.837460547568625</v>
      </c>
      <c r="W49">
        <v>90.116796808290914</v>
      </c>
      <c r="X49">
        <v>0.3710716231224942</v>
      </c>
      <c r="Y49">
        <v>65.816341208055647</v>
      </c>
    </row>
    <row r="50" spans="1:25" x14ac:dyDescent="0.3">
      <c r="A50">
        <v>49</v>
      </c>
      <c r="B50" t="s">
        <v>171</v>
      </c>
      <c r="C50">
        <v>210.11226240010001</v>
      </c>
      <c r="D50">
        <v>3.5018710400016668</v>
      </c>
      <c r="E50" t="s">
        <v>172</v>
      </c>
      <c r="G50" t="s">
        <v>27</v>
      </c>
      <c r="H50" t="s">
        <v>173</v>
      </c>
      <c r="J50" t="s">
        <v>29</v>
      </c>
      <c r="K50">
        <v>5.7414629202154593E-2</v>
      </c>
      <c r="L50">
        <v>0</v>
      </c>
      <c r="M50">
        <v>5.7414629202154593E-2</v>
      </c>
      <c r="N50" t="s">
        <v>17</v>
      </c>
      <c r="O50">
        <v>106</v>
      </c>
      <c r="P50">
        <v>8.4543066581350493E-5</v>
      </c>
      <c r="Q50">
        <v>1E-4</v>
      </c>
      <c r="R50">
        <v>2000</v>
      </c>
      <c r="S50">
        <v>99.79889713578892</v>
      </c>
      <c r="T50">
        <v>1.014346875463896E-3</v>
      </c>
      <c r="U50">
        <v>23.518783416982579</v>
      </c>
      <c r="V50">
        <v>94.837460547568625</v>
      </c>
      <c r="W50">
        <v>90.116796808290914</v>
      </c>
      <c r="X50">
        <v>0.36444400426295748</v>
      </c>
      <c r="Y50">
        <v>65.401364996361508</v>
      </c>
    </row>
    <row r="51" spans="1:25" x14ac:dyDescent="0.3">
      <c r="A51">
        <v>50</v>
      </c>
      <c r="B51" t="s">
        <v>174</v>
      </c>
      <c r="C51">
        <v>207.80022479989569</v>
      </c>
      <c r="D51">
        <v>3.463337079998261</v>
      </c>
      <c r="E51" t="s">
        <v>175</v>
      </c>
      <c r="G51" t="s">
        <v>27</v>
      </c>
      <c r="H51" t="s">
        <v>176</v>
      </c>
      <c r="J51" t="s">
        <v>29</v>
      </c>
      <c r="K51">
        <v>7.2935370753842738E-2</v>
      </c>
      <c r="L51">
        <v>0</v>
      </c>
      <c r="M51">
        <v>7.2935370753842738E-2</v>
      </c>
      <c r="N51" t="s">
        <v>17</v>
      </c>
      <c r="O51">
        <v>105</v>
      </c>
      <c r="P51">
        <v>9.4568455569259068E-5</v>
      </c>
      <c r="Q51">
        <v>1E-4</v>
      </c>
      <c r="R51">
        <v>2000</v>
      </c>
      <c r="S51">
        <v>99.916230484895422</v>
      </c>
      <c r="T51">
        <v>1.014346875463896E-3</v>
      </c>
      <c r="U51">
        <v>22.862667105693468</v>
      </c>
      <c r="V51">
        <v>94.837460547568625</v>
      </c>
      <c r="W51">
        <v>90.116796808290914</v>
      </c>
      <c r="X51">
        <v>0.35514734715173157</v>
      </c>
      <c r="Y51">
        <v>73.835615179553159</v>
      </c>
    </row>
    <row r="53" spans="1:25" x14ac:dyDescent="0.3">
      <c r="S53">
        <f>AVERAGE(S2:S51)</f>
        <v>90.155556276773154</v>
      </c>
      <c r="U53">
        <f t="shared" ref="U53:Y53" si="0">AVERAGE(U2:U51)</f>
        <v>22.950333810865843</v>
      </c>
      <c r="X53">
        <f t="shared" si="0"/>
        <v>0.35720000381147499</v>
      </c>
      <c r="Y53">
        <f t="shared" si="0"/>
        <v>75.203536193072466</v>
      </c>
    </row>
    <row r="54" spans="1:25" x14ac:dyDescent="0.3">
      <c r="S54">
        <f>STDEVA(S2:S51)</f>
        <v>14.921912674712368</v>
      </c>
      <c r="U54">
        <f t="shared" ref="U54:Y54" si="1">STDEVA(U2:U51)</f>
        <v>3.7734189754701783</v>
      </c>
      <c r="X54">
        <f t="shared" si="1"/>
        <v>1.7413042256343665E-2</v>
      </c>
      <c r="Y54">
        <f t="shared" si="1"/>
        <v>19.314212442680606</v>
      </c>
    </row>
  </sheetData>
  <conditionalFormatting sqref="M2:M51">
    <cfRule type="top10" dxfId="19" priority="1" percent="1" bottom="1" rank="10"/>
  </conditionalFormatting>
  <conditionalFormatting sqref="S2:S51">
    <cfRule type="top10" dxfId="18" priority="4" percent="1" bottom="1" rank="10"/>
    <cfRule type="top10" dxfId="17" priority="5" percent="1" rank="10"/>
    <cfRule type="top10" priority="6" bottom="1" rank="15"/>
  </conditionalFormatting>
  <conditionalFormatting sqref="U2:U51">
    <cfRule type="top10" dxfId="16" priority="2" percent="1" bottom="1" rank="10"/>
    <cfRule type="top10" dxfId="15" priority="3" rank="10"/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EF74-9D27-4539-B9D5-9F5DFE360A73}">
  <dimension ref="A1:Y54"/>
  <sheetViews>
    <sheetView topLeftCell="D1" workbookViewId="0">
      <selection activeCell="A21" sqref="A21:Y21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109375" bestFit="1" customWidth="1"/>
    <col min="5" max="5" width="11.77734375" bestFit="1" customWidth="1"/>
    <col min="6" max="6" width="8.77734375" hidden="1" customWidth="1"/>
    <col min="8" max="9" width="0" hidden="1" customWidth="1"/>
    <col min="11" max="11" width="12" bestFit="1" customWidth="1"/>
    <col min="13" max="13" width="12" bestFit="1" customWidth="1"/>
    <col min="16" max="16" width="10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17</v>
      </c>
      <c r="B2" s="1" t="s">
        <v>75</v>
      </c>
      <c r="C2" s="1">
        <v>3415.3606555999718</v>
      </c>
      <c r="D2" s="1">
        <v>56.922677593332871</v>
      </c>
      <c r="E2" s="1" t="s">
        <v>76</v>
      </c>
      <c r="F2" s="1"/>
      <c r="G2" s="1" t="s">
        <v>27</v>
      </c>
      <c r="H2" s="1" t="s">
        <v>77</v>
      </c>
      <c r="I2" s="1"/>
      <c r="J2" s="1" t="s">
        <v>29</v>
      </c>
      <c r="K2" s="1">
        <v>2.255959327401005E-2</v>
      </c>
      <c r="L2" s="1">
        <v>0</v>
      </c>
      <c r="M2" s="1">
        <v>2.255959327401005E-2</v>
      </c>
      <c r="N2" s="1" t="s">
        <v>17</v>
      </c>
      <c r="O2" s="1">
        <v>2001</v>
      </c>
      <c r="P2" s="2">
        <v>2.768674496030514E-3</v>
      </c>
      <c r="Q2" s="1">
        <v>1E-4</v>
      </c>
      <c r="R2" s="1">
        <v>2000</v>
      </c>
      <c r="S2" s="1">
        <v>45.365838510814307</v>
      </c>
      <c r="T2" s="1">
        <v>1.014346875463896E-3</v>
      </c>
      <c r="U2" s="1">
        <v>23.647227810312671</v>
      </c>
      <c r="V2" s="1">
        <v>94.837460547568625</v>
      </c>
      <c r="W2" s="1">
        <v>90.116796808290914</v>
      </c>
      <c r="X2" s="1">
        <v>0.37346654397192092</v>
      </c>
      <c r="Y2" s="1">
        <v>75.353037157775518</v>
      </c>
    </row>
    <row r="3" spans="1:25" x14ac:dyDescent="0.3">
      <c r="A3">
        <v>35</v>
      </c>
      <c r="B3" t="s">
        <v>129</v>
      </c>
      <c r="C3">
        <v>1818.0411464998031</v>
      </c>
      <c r="D3">
        <v>30.300685774996719</v>
      </c>
      <c r="E3" t="s">
        <v>130</v>
      </c>
      <c r="G3" t="s">
        <v>27</v>
      </c>
      <c r="H3" t="s">
        <v>131</v>
      </c>
      <c r="J3" t="s">
        <v>29</v>
      </c>
      <c r="K3">
        <v>2.6396827864363929E-2</v>
      </c>
      <c r="L3">
        <v>0</v>
      </c>
      <c r="M3">
        <v>2.6396827864363929E-2</v>
      </c>
      <c r="N3" t="s">
        <v>17</v>
      </c>
      <c r="O3">
        <v>1032</v>
      </c>
      <c r="P3" s="3">
        <v>9.2419280650609507E-5</v>
      </c>
      <c r="Q3">
        <v>1E-4</v>
      </c>
      <c r="R3">
        <v>2000</v>
      </c>
      <c r="S3">
        <v>51.713945086934757</v>
      </c>
      <c r="T3">
        <v>1.014346875463896E-3</v>
      </c>
      <c r="U3">
        <v>20.64048144018928</v>
      </c>
      <c r="V3">
        <v>94.837460547568625</v>
      </c>
      <c r="W3">
        <v>90.116796808290914</v>
      </c>
      <c r="X3">
        <v>0.33549238973936141</v>
      </c>
      <c r="Y3">
        <v>70.325064206467403</v>
      </c>
    </row>
    <row r="4" spans="1:25" x14ac:dyDescent="0.3">
      <c r="A4">
        <v>11</v>
      </c>
      <c r="B4" t="s">
        <v>57</v>
      </c>
      <c r="C4">
        <v>2145.3817583001219</v>
      </c>
      <c r="D4">
        <v>35.756362638335368</v>
      </c>
      <c r="E4" t="s">
        <v>58</v>
      </c>
      <c r="G4" t="s">
        <v>27</v>
      </c>
      <c r="H4" t="s">
        <v>59</v>
      </c>
      <c r="J4" t="s">
        <v>29</v>
      </c>
      <c r="K4">
        <v>1.8433150104736441E-2</v>
      </c>
      <c r="L4">
        <v>0</v>
      </c>
      <c r="M4">
        <v>1.8433150104736441E-2</v>
      </c>
      <c r="N4" t="s">
        <v>17</v>
      </c>
      <c r="O4">
        <v>1151</v>
      </c>
      <c r="P4" s="3">
        <v>9.925470957662361E-5</v>
      </c>
      <c r="Q4">
        <v>1E-4</v>
      </c>
      <c r="R4">
        <v>2000</v>
      </c>
      <c r="S4">
        <v>54.002458003203998</v>
      </c>
      <c r="T4">
        <v>1.014346875463896E-3</v>
      </c>
      <c r="U4">
        <v>24.41238556292387</v>
      </c>
      <c r="V4">
        <v>94.837460547568625</v>
      </c>
      <c r="W4">
        <v>90.116796808290914</v>
      </c>
      <c r="X4">
        <v>0.35807632353506608</v>
      </c>
      <c r="Y4">
        <v>76.506583700571284</v>
      </c>
    </row>
    <row r="5" spans="1:25" x14ac:dyDescent="0.3">
      <c r="A5">
        <v>42</v>
      </c>
      <c r="B5" t="s">
        <v>150</v>
      </c>
      <c r="C5">
        <v>606.98825539997779</v>
      </c>
      <c r="D5">
        <v>10.11647092333296</v>
      </c>
      <c r="E5" t="s">
        <v>151</v>
      </c>
      <c r="G5" t="s">
        <v>27</v>
      </c>
      <c r="H5" t="s">
        <v>152</v>
      </c>
      <c r="J5" t="s">
        <v>29</v>
      </c>
      <c r="K5">
        <v>1.5719749444827711E-2</v>
      </c>
      <c r="L5">
        <v>0</v>
      </c>
      <c r="M5">
        <v>1.5719749444827711E-2</v>
      </c>
      <c r="N5" t="s">
        <v>17</v>
      </c>
      <c r="O5">
        <v>350</v>
      </c>
      <c r="P5" s="3">
        <v>9.4198186988540667E-5</v>
      </c>
      <c r="Q5">
        <v>1E-4</v>
      </c>
      <c r="R5">
        <v>2000</v>
      </c>
      <c r="S5">
        <v>62.222532494988997</v>
      </c>
      <c r="T5">
        <v>1.014346875463896E-3</v>
      </c>
      <c r="U5">
        <v>22.395512819960761</v>
      </c>
      <c r="V5">
        <v>94.837460547568625</v>
      </c>
      <c r="W5">
        <v>90.116796808290914</v>
      </c>
      <c r="X5">
        <v>0.36753539338202701</v>
      </c>
      <c r="Y5">
        <v>61.158832856266173</v>
      </c>
    </row>
    <row r="6" spans="1:25" x14ac:dyDescent="0.3">
      <c r="A6">
        <v>12</v>
      </c>
      <c r="B6" t="s">
        <v>60</v>
      </c>
      <c r="C6">
        <v>360.89116539992392</v>
      </c>
      <c r="D6">
        <v>6.0148527566653991</v>
      </c>
      <c r="E6" t="s">
        <v>61</v>
      </c>
      <c r="G6" t="s">
        <v>27</v>
      </c>
      <c r="H6" t="s">
        <v>62</v>
      </c>
      <c r="J6" t="s">
        <v>29</v>
      </c>
      <c r="K6">
        <v>3.7310205109878328E-2</v>
      </c>
      <c r="L6">
        <v>0</v>
      </c>
      <c r="M6">
        <v>3.7310205109878328E-2</v>
      </c>
      <c r="N6" t="s">
        <v>17</v>
      </c>
      <c r="O6">
        <v>214</v>
      </c>
      <c r="P6" s="3">
        <v>7.3596389375289991E-5</v>
      </c>
      <c r="Q6">
        <v>1E-4</v>
      </c>
      <c r="R6">
        <v>2000</v>
      </c>
      <c r="S6">
        <v>62.730752953594902</v>
      </c>
      <c r="T6">
        <v>1.014346875463896E-3</v>
      </c>
      <c r="U6">
        <v>22.93581722922502</v>
      </c>
      <c r="V6">
        <v>94.837460547568625</v>
      </c>
      <c r="W6">
        <v>90.116796808290914</v>
      </c>
      <c r="X6">
        <v>0.35526974719070181</v>
      </c>
      <c r="Y6">
        <v>99.692861671818662</v>
      </c>
    </row>
    <row r="7" spans="1:25" x14ac:dyDescent="0.3">
      <c r="A7">
        <v>40</v>
      </c>
      <c r="B7" t="s">
        <v>144</v>
      </c>
      <c r="C7">
        <v>230.79868120001629</v>
      </c>
      <c r="D7">
        <v>3.8466446866669379</v>
      </c>
      <c r="E7" t="s">
        <v>145</v>
      </c>
      <c r="G7" t="s">
        <v>27</v>
      </c>
      <c r="H7" t="s">
        <v>146</v>
      </c>
      <c r="J7" t="s">
        <v>29</v>
      </c>
      <c r="K7">
        <v>3.590621491009769E-2</v>
      </c>
      <c r="L7">
        <v>0</v>
      </c>
      <c r="M7">
        <v>3.590621491009769E-2</v>
      </c>
      <c r="N7" t="s">
        <v>17</v>
      </c>
      <c r="O7">
        <v>135</v>
      </c>
      <c r="P7" s="3">
        <v>9.4251457309611243E-5</v>
      </c>
      <c r="Q7">
        <v>1E-4</v>
      </c>
      <c r="R7">
        <v>2000</v>
      </c>
      <c r="S7">
        <v>64.089862670785806</v>
      </c>
      <c r="T7">
        <v>1.014346875463896E-3</v>
      </c>
      <c r="U7">
        <v>25.178590750527999</v>
      </c>
      <c r="V7">
        <v>94.837460547568625</v>
      </c>
      <c r="W7">
        <v>90.116796808290914</v>
      </c>
      <c r="X7">
        <v>0.37346832155932469</v>
      </c>
      <c r="Y7">
        <v>99.998052365628965</v>
      </c>
    </row>
    <row r="8" spans="1:25" x14ac:dyDescent="0.3">
      <c r="A8">
        <v>14</v>
      </c>
      <c r="B8" t="s">
        <v>66</v>
      </c>
      <c r="C8">
        <v>2308.8406410999601</v>
      </c>
      <c r="D8">
        <v>38.480677351666003</v>
      </c>
      <c r="E8" t="s">
        <v>67</v>
      </c>
      <c r="G8" t="s">
        <v>27</v>
      </c>
      <c r="H8" t="s">
        <v>68</v>
      </c>
      <c r="J8" t="s">
        <v>29</v>
      </c>
      <c r="K8">
        <v>3.4326435416796551E-2</v>
      </c>
      <c r="L8">
        <v>0</v>
      </c>
      <c r="M8">
        <v>3.4326435416796551E-2</v>
      </c>
      <c r="N8" t="s">
        <v>17</v>
      </c>
      <c r="O8">
        <v>1307</v>
      </c>
      <c r="P8" s="3">
        <v>9.9902998312900046E-5</v>
      </c>
      <c r="Q8">
        <v>1E-4</v>
      </c>
      <c r="R8">
        <v>2000</v>
      </c>
      <c r="S8">
        <v>67.094715243641787</v>
      </c>
      <c r="T8">
        <v>1.014346875463896E-3</v>
      </c>
      <c r="U8">
        <v>32.787910989416133</v>
      </c>
      <c r="V8">
        <v>94.837460547568625</v>
      </c>
      <c r="W8">
        <v>90.116796808290914</v>
      </c>
      <c r="X8">
        <v>0.3668883169054567</v>
      </c>
      <c r="Y8">
        <v>98.233779914948911</v>
      </c>
    </row>
    <row r="9" spans="1:25" x14ac:dyDescent="0.3">
      <c r="A9">
        <v>36</v>
      </c>
      <c r="B9" t="s">
        <v>132</v>
      </c>
      <c r="C9">
        <v>1729.586340100039</v>
      </c>
      <c r="D9">
        <v>28.82643900166731</v>
      </c>
      <c r="E9" t="s">
        <v>133</v>
      </c>
      <c r="G9" t="s">
        <v>27</v>
      </c>
      <c r="H9" t="s">
        <v>134</v>
      </c>
      <c r="J9" t="s">
        <v>29</v>
      </c>
      <c r="K9">
        <v>3.0936518642834358E-2</v>
      </c>
      <c r="L9">
        <v>0</v>
      </c>
      <c r="M9">
        <v>3.0936518642834358E-2</v>
      </c>
      <c r="N9" t="s">
        <v>17</v>
      </c>
      <c r="O9">
        <v>947</v>
      </c>
      <c r="P9" s="3">
        <v>9.9845795807421551E-5</v>
      </c>
      <c r="Q9">
        <v>1E-4</v>
      </c>
      <c r="R9">
        <v>2000</v>
      </c>
      <c r="S9">
        <v>68.935411377471311</v>
      </c>
      <c r="T9">
        <v>1.014346875463896E-3</v>
      </c>
      <c r="U9">
        <v>16.132374793534449</v>
      </c>
      <c r="V9">
        <v>94.837460547568625</v>
      </c>
      <c r="W9">
        <v>90.116796808290914</v>
      </c>
      <c r="X9">
        <v>0.33755203810383488</v>
      </c>
      <c r="Y9">
        <v>75.099973774377389</v>
      </c>
    </row>
    <row r="10" spans="1:25" x14ac:dyDescent="0.3">
      <c r="A10">
        <v>47</v>
      </c>
      <c r="B10" t="s">
        <v>165</v>
      </c>
      <c r="C10">
        <v>1061.2206647999119</v>
      </c>
      <c r="D10">
        <v>17.687011079998531</v>
      </c>
      <c r="E10" t="s">
        <v>166</v>
      </c>
      <c r="G10" t="s">
        <v>27</v>
      </c>
      <c r="H10" t="s">
        <v>167</v>
      </c>
      <c r="J10" t="s">
        <v>29</v>
      </c>
      <c r="K10">
        <v>2.8869299046597401E-2</v>
      </c>
      <c r="L10">
        <v>0</v>
      </c>
      <c r="M10">
        <v>2.8869299046597401E-2</v>
      </c>
      <c r="N10" t="s">
        <v>17</v>
      </c>
      <c r="O10">
        <v>597</v>
      </c>
      <c r="P10" s="3">
        <v>9.8283503275609684E-5</v>
      </c>
      <c r="Q10">
        <v>1E-4</v>
      </c>
      <c r="R10">
        <v>2000</v>
      </c>
      <c r="S10">
        <v>72.835685226974135</v>
      </c>
      <c r="T10">
        <v>1.014346875463896E-3</v>
      </c>
      <c r="U10">
        <v>15.707697345397801</v>
      </c>
      <c r="V10">
        <v>94.837460547568625</v>
      </c>
      <c r="W10">
        <v>90.116796808290914</v>
      </c>
      <c r="X10">
        <v>0.36975824416387182</v>
      </c>
      <c r="Y10">
        <v>67.351261519539122</v>
      </c>
    </row>
    <row r="11" spans="1:25" x14ac:dyDescent="0.3">
      <c r="A11">
        <v>16</v>
      </c>
      <c r="B11" t="s">
        <v>72</v>
      </c>
      <c r="C11">
        <v>322.70233979984192</v>
      </c>
      <c r="D11">
        <v>5.3783723299973643</v>
      </c>
      <c r="E11" t="s">
        <v>73</v>
      </c>
      <c r="G11" t="s">
        <v>27</v>
      </c>
      <c r="H11" t="s">
        <v>74</v>
      </c>
      <c r="J11" t="s">
        <v>29</v>
      </c>
      <c r="K11">
        <v>5.4919672102592958E-2</v>
      </c>
      <c r="L11">
        <v>0</v>
      </c>
      <c r="M11">
        <v>5.4919672102592958E-2</v>
      </c>
      <c r="N11" t="s">
        <v>17</v>
      </c>
      <c r="O11">
        <v>151</v>
      </c>
      <c r="P11" s="3">
        <v>9.6505790229017732E-5</v>
      </c>
      <c r="Q11">
        <v>1E-4</v>
      </c>
      <c r="R11">
        <v>2000</v>
      </c>
      <c r="S11">
        <v>78.288533449094658</v>
      </c>
      <c r="T11">
        <v>1.014346875463896E-3</v>
      </c>
      <c r="U11">
        <v>25.54682844985081</v>
      </c>
      <c r="V11">
        <v>94.837460547568625</v>
      </c>
      <c r="W11">
        <v>90.116796808290914</v>
      </c>
      <c r="X11">
        <v>0.37437155805999939</v>
      </c>
      <c r="Y11">
        <v>99.254624966816024</v>
      </c>
    </row>
    <row r="12" spans="1:25" x14ac:dyDescent="0.3">
      <c r="A12" s="1">
        <v>24</v>
      </c>
      <c r="B12" s="1" t="s">
        <v>96</v>
      </c>
      <c r="C12" s="1">
        <v>3875.3518846998918</v>
      </c>
      <c r="D12" s="1">
        <v>64.589198078331535</v>
      </c>
      <c r="E12" s="1" t="s">
        <v>97</v>
      </c>
      <c r="F12" s="1"/>
      <c r="G12" s="1" t="s">
        <v>27</v>
      </c>
      <c r="H12" s="1" t="s">
        <v>98</v>
      </c>
      <c r="I12" s="1"/>
      <c r="J12" s="1" t="s">
        <v>29</v>
      </c>
      <c r="K12" s="1">
        <v>5.7740419157178272E-2</v>
      </c>
      <c r="L12" s="1">
        <v>0</v>
      </c>
      <c r="M12" s="1">
        <v>5.7740419157178272E-2</v>
      </c>
      <c r="N12" s="1" t="s">
        <v>17</v>
      </c>
      <c r="O12" s="1">
        <v>2001</v>
      </c>
      <c r="P12" s="2">
        <v>3.4748989046410319E-3</v>
      </c>
      <c r="Q12" s="1">
        <v>1E-4</v>
      </c>
      <c r="R12" s="1">
        <v>2000</v>
      </c>
      <c r="S12" s="1">
        <v>80.628877408762094</v>
      </c>
      <c r="T12" s="1">
        <v>1.014346875463896E-3</v>
      </c>
      <c r="U12" s="1">
        <v>23.19635883124457</v>
      </c>
      <c r="V12" s="1">
        <v>94.837460547568625</v>
      </c>
      <c r="W12" s="1">
        <v>90.116796808290914</v>
      </c>
      <c r="X12" s="1">
        <v>0.36292826709219123</v>
      </c>
      <c r="Y12" s="1">
        <v>99.778429567451113</v>
      </c>
    </row>
    <row r="13" spans="1:25" x14ac:dyDescent="0.3">
      <c r="A13">
        <v>9</v>
      </c>
      <c r="B13" t="s">
        <v>51</v>
      </c>
      <c r="C13">
        <v>3685.1048715000511</v>
      </c>
      <c r="D13">
        <v>61.418414525000841</v>
      </c>
      <c r="E13" t="s">
        <v>52</v>
      </c>
      <c r="G13" t="s">
        <v>27</v>
      </c>
      <c r="H13" t="s">
        <v>53</v>
      </c>
      <c r="J13" t="s">
        <v>29</v>
      </c>
      <c r="K13">
        <v>3.8867411282494907E-2</v>
      </c>
      <c r="L13">
        <v>0</v>
      </c>
      <c r="M13">
        <v>3.8867411282494907E-2</v>
      </c>
      <c r="N13" t="s">
        <v>17</v>
      </c>
      <c r="O13">
        <v>1543</v>
      </c>
      <c r="P13" s="3">
        <v>9.9826743701893081E-5</v>
      </c>
      <c r="Q13">
        <v>1E-4</v>
      </c>
      <c r="R13">
        <v>2000</v>
      </c>
      <c r="S13">
        <v>88.906187857997296</v>
      </c>
      <c r="T13">
        <v>1.014346875463896E-3</v>
      </c>
      <c r="U13">
        <v>25.257590925065319</v>
      </c>
      <c r="V13">
        <v>94.837460547568625</v>
      </c>
      <c r="W13">
        <v>90.116796808290914</v>
      </c>
      <c r="X13">
        <v>0.36070925676763771</v>
      </c>
      <c r="Y13">
        <v>99.807691070067207</v>
      </c>
    </row>
    <row r="14" spans="1:25" x14ac:dyDescent="0.3">
      <c r="A14">
        <v>32</v>
      </c>
      <c r="B14" t="s">
        <v>120</v>
      </c>
      <c r="C14">
        <v>422.97234490001568</v>
      </c>
      <c r="D14">
        <v>7.0495390816669294</v>
      </c>
      <c r="E14" t="s">
        <v>121</v>
      </c>
      <c r="G14" t="s">
        <v>27</v>
      </c>
      <c r="H14" t="s">
        <v>122</v>
      </c>
      <c r="J14" t="s">
        <v>29</v>
      </c>
      <c r="K14">
        <v>3.5049655921136257E-2</v>
      </c>
      <c r="L14">
        <v>0</v>
      </c>
      <c r="M14">
        <v>3.5049655921136257E-2</v>
      </c>
      <c r="N14" t="s">
        <v>17</v>
      </c>
      <c r="O14">
        <v>210</v>
      </c>
      <c r="P14" s="3">
        <v>9.4430085463438358E-5</v>
      </c>
      <c r="Q14">
        <v>1E-4</v>
      </c>
      <c r="R14">
        <v>2000</v>
      </c>
      <c r="S14">
        <v>91.015520376505762</v>
      </c>
      <c r="T14">
        <v>1.014346875463896E-3</v>
      </c>
      <c r="U14">
        <v>27.483063326868269</v>
      </c>
      <c r="V14">
        <v>94.837460547568625</v>
      </c>
      <c r="W14">
        <v>90.116796808290914</v>
      </c>
      <c r="X14">
        <v>0.37140160787108872</v>
      </c>
      <c r="Y14">
        <v>45.684106933648977</v>
      </c>
    </row>
    <row r="15" spans="1:25" x14ac:dyDescent="0.3">
      <c r="A15">
        <v>45</v>
      </c>
      <c r="B15" t="s">
        <v>159</v>
      </c>
      <c r="C15">
        <v>399.84227720019408</v>
      </c>
      <c r="D15">
        <v>6.6640379533365683</v>
      </c>
      <c r="E15" t="s">
        <v>160</v>
      </c>
      <c r="G15" t="s">
        <v>27</v>
      </c>
      <c r="H15" t="s">
        <v>161</v>
      </c>
      <c r="J15" t="s">
        <v>29</v>
      </c>
      <c r="K15">
        <v>4.5723604025450677E-2</v>
      </c>
      <c r="L15">
        <v>0</v>
      </c>
      <c r="M15">
        <v>4.5723604025450677E-2</v>
      </c>
      <c r="N15" t="s">
        <v>17</v>
      </c>
      <c r="O15">
        <v>197</v>
      </c>
      <c r="P15" s="3">
        <v>8.7725487752964623E-5</v>
      </c>
      <c r="Q15">
        <v>1E-4</v>
      </c>
      <c r="R15">
        <v>2000</v>
      </c>
      <c r="S15">
        <v>91.396688940105321</v>
      </c>
      <c r="T15">
        <v>1.014346875463896E-3</v>
      </c>
      <c r="U15">
        <v>19.675646729367131</v>
      </c>
      <c r="V15">
        <v>94.837460547568625</v>
      </c>
      <c r="W15">
        <v>90.116796808290914</v>
      </c>
      <c r="X15">
        <v>0.33676378901715798</v>
      </c>
      <c r="Y15">
        <v>93.782760103904053</v>
      </c>
    </row>
    <row r="16" spans="1:25" x14ac:dyDescent="0.3">
      <c r="A16">
        <v>19</v>
      </c>
      <c r="B16" t="s">
        <v>81</v>
      </c>
      <c r="C16">
        <v>683.72521950001828</v>
      </c>
      <c r="D16">
        <v>11.395420325000311</v>
      </c>
      <c r="E16" t="s">
        <v>82</v>
      </c>
      <c r="G16" t="s">
        <v>27</v>
      </c>
      <c r="H16" t="s">
        <v>83</v>
      </c>
      <c r="J16" t="s">
        <v>29</v>
      </c>
      <c r="K16">
        <v>5.5478069820015907E-2</v>
      </c>
      <c r="L16">
        <v>0</v>
      </c>
      <c r="M16">
        <v>5.5478069820015907E-2</v>
      </c>
      <c r="N16" t="s">
        <v>17</v>
      </c>
      <c r="O16">
        <v>326</v>
      </c>
      <c r="P16" s="3">
        <v>9.8417229426635448E-5</v>
      </c>
      <c r="Q16">
        <v>1E-4</v>
      </c>
      <c r="R16">
        <v>2000</v>
      </c>
      <c r="S16">
        <v>91.532281268643089</v>
      </c>
      <c r="T16">
        <v>1.014346875463896E-3</v>
      </c>
      <c r="U16">
        <v>16.83322690124341</v>
      </c>
      <c r="V16">
        <v>94.837460547568625</v>
      </c>
      <c r="W16">
        <v>90.116796808290914</v>
      </c>
      <c r="X16">
        <v>0.34522048262543642</v>
      </c>
      <c r="Y16">
        <v>67.059440476960717</v>
      </c>
    </row>
    <row r="17" spans="1:25" x14ac:dyDescent="0.3">
      <c r="A17">
        <v>29</v>
      </c>
      <c r="B17" t="s">
        <v>111</v>
      </c>
      <c r="C17">
        <v>223.33067639986979</v>
      </c>
      <c r="D17">
        <v>3.722177939997831</v>
      </c>
      <c r="E17" t="s">
        <v>112</v>
      </c>
      <c r="G17" t="s">
        <v>27</v>
      </c>
      <c r="H17" t="s">
        <v>113</v>
      </c>
      <c r="J17" t="s">
        <v>29</v>
      </c>
      <c r="K17">
        <v>4.7766709409184857E-2</v>
      </c>
      <c r="L17">
        <v>0</v>
      </c>
      <c r="M17">
        <v>4.7766709409184857E-2</v>
      </c>
      <c r="N17" t="s">
        <v>17</v>
      </c>
      <c r="O17">
        <v>114</v>
      </c>
      <c r="P17" s="3">
        <v>9.9688826631704641E-5</v>
      </c>
      <c r="Q17">
        <v>1E-4</v>
      </c>
      <c r="R17">
        <v>2000</v>
      </c>
      <c r="S17">
        <v>92.638999665481279</v>
      </c>
      <c r="T17">
        <v>1.014346875463896E-3</v>
      </c>
      <c r="U17">
        <v>22.946526758692649</v>
      </c>
      <c r="V17">
        <v>94.837460547568625</v>
      </c>
      <c r="W17">
        <v>90.116796808290914</v>
      </c>
      <c r="X17">
        <v>0.33106701381523718</v>
      </c>
      <c r="Y17">
        <v>83.000473687608761</v>
      </c>
    </row>
    <row r="18" spans="1:25" s="1" customFormat="1" x14ac:dyDescent="0.3">
      <c r="A18">
        <v>18</v>
      </c>
      <c r="B18" t="s">
        <v>78</v>
      </c>
      <c r="C18">
        <v>137.2456064000726</v>
      </c>
      <c r="D18">
        <v>2.287426773334543</v>
      </c>
      <c r="E18" t="s">
        <v>79</v>
      </c>
      <c r="F18"/>
      <c r="G18" t="s">
        <v>27</v>
      </c>
      <c r="H18" t="s">
        <v>80</v>
      </c>
      <c r="I18"/>
      <c r="J18" t="s">
        <v>29</v>
      </c>
      <c r="K18">
        <v>2.9744386296727991E-2</v>
      </c>
      <c r="L18">
        <v>0</v>
      </c>
      <c r="M18">
        <v>2.9744386296727991E-2</v>
      </c>
      <c r="N18" t="s">
        <v>17</v>
      </c>
      <c r="O18">
        <v>65</v>
      </c>
      <c r="P18" s="3">
        <v>8.321131894363699E-5</v>
      </c>
      <c r="Q18">
        <v>1E-4</v>
      </c>
      <c r="R18">
        <v>2000</v>
      </c>
      <c r="S18">
        <v>93.896506085631117</v>
      </c>
      <c r="T18">
        <v>1.014346875463896E-3</v>
      </c>
      <c r="U18">
        <v>24.76698736643695</v>
      </c>
      <c r="V18">
        <v>94.837460547568625</v>
      </c>
      <c r="W18">
        <v>90.116796808290914</v>
      </c>
      <c r="X18">
        <v>0.38390491427201839</v>
      </c>
      <c r="Y18">
        <v>43.938066830601443</v>
      </c>
    </row>
    <row r="19" spans="1:25" x14ac:dyDescent="0.3">
      <c r="A19">
        <v>4</v>
      </c>
      <c r="B19" t="s">
        <v>36</v>
      </c>
      <c r="C19">
        <v>1613.8154424000529</v>
      </c>
      <c r="D19">
        <v>26.89692404000089</v>
      </c>
      <c r="E19" t="s">
        <v>37</v>
      </c>
      <c r="G19" t="s">
        <v>27</v>
      </c>
      <c r="H19" t="s">
        <v>38</v>
      </c>
      <c r="J19" t="s">
        <v>29</v>
      </c>
      <c r="K19">
        <v>3.8659330547967413E-2</v>
      </c>
      <c r="L19">
        <v>0</v>
      </c>
      <c r="M19">
        <v>3.8659330547967413E-2</v>
      </c>
      <c r="N19" t="s">
        <v>17</v>
      </c>
      <c r="O19">
        <v>650</v>
      </c>
      <c r="P19" s="3">
        <v>8.9585973208368294E-5</v>
      </c>
      <c r="Q19">
        <v>1E-4</v>
      </c>
      <c r="R19">
        <v>2000</v>
      </c>
      <c r="S19">
        <v>95.019368456504282</v>
      </c>
      <c r="T19">
        <v>1.014346875463896E-3</v>
      </c>
      <c r="U19">
        <v>24.235403968214548</v>
      </c>
      <c r="V19">
        <v>94.837460547568625</v>
      </c>
      <c r="W19">
        <v>90.116796808290914</v>
      </c>
      <c r="X19">
        <v>0.38098874317213482</v>
      </c>
      <c r="Y19">
        <v>86.49449488255064</v>
      </c>
    </row>
    <row r="20" spans="1:25" x14ac:dyDescent="0.3">
      <c r="A20">
        <v>1</v>
      </c>
      <c r="B20" t="s">
        <v>25</v>
      </c>
      <c r="C20">
        <v>376.47378710005432</v>
      </c>
      <c r="D20">
        <v>6.274563118334239</v>
      </c>
      <c r="E20" t="s">
        <v>26</v>
      </c>
      <c r="G20" t="s">
        <v>27</v>
      </c>
      <c r="H20" t="s">
        <v>28</v>
      </c>
      <c r="J20" t="s">
        <v>29</v>
      </c>
      <c r="K20">
        <v>2.3314535961020479E-2</v>
      </c>
      <c r="L20">
        <v>0</v>
      </c>
      <c r="M20">
        <v>2.3314535961020479E-2</v>
      </c>
      <c r="N20" t="s">
        <v>17</v>
      </c>
      <c r="O20">
        <v>157</v>
      </c>
      <c r="P20" s="3">
        <v>9.5369346883164081E-5</v>
      </c>
      <c r="Q20">
        <v>1E-4</v>
      </c>
      <c r="R20">
        <v>2000</v>
      </c>
      <c r="S20">
        <v>95.657769107922363</v>
      </c>
      <c r="T20">
        <v>1.014346875463896E-3</v>
      </c>
      <c r="U20">
        <v>23.820736248282589</v>
      </c>
      <c r="V20">
        <v>94.837460547568625</v>
      </c>
      <c r="W20">
        <v>90.116796808290914</v>
      </c>
      <c r="X20">
        <v>0.37739898761506779</v>
      </c>
      <c r="Y20">
        <v>65.436064262222175</v>
      </c>
    </row>
    <row r="21" spans="1:25" x14ac:dyDescent="0.3">
      <c r="A21">
        <v>27</v>
      </c>
      <c r="B21" t="s">
        <v>105</v>
      </c>
      <c r="C21">
        <v>248.24590789992359</v>
      </c>
      <c r="D21">
        <v>4.1374317983320603</v>
      </c>
      <c r="E21" t="s">
        <v>106</v>
      </c>
      <c r="G21" t="s">
        <v>27</v>
      </c>
      <c r="H21" t="s">
        <v>107</v>
      </c>
      <c r="J21" t="s">
        <v>29</v>
      </c>
      <c r="K21">
        <v>5.408664919924637E-2</v>
      </c>
      <c r="L21">
        <v>0</v>
      </c>
      <c r="M21">
        <v>5.408664919924637E-2</v>
      </c>
      <c r="N21" t="s">
        <v>17</v>
      </c>
      <c r="O21">
        <v>124</v>
      </c>
      <c r="P21" s="3">
        <v>9.994359974118891E-5</v>
      </c>
      <c r="Q21">
        <v>1E-4</v>
      </c>
      <c r="R21">
        <v>2000</v>
      </c>
      <c r="S21">
        <v>95.709367054341911</v>
      </c>
      <c r="T21">
        <v>1.014346875463896E-3</v>
      </c>
      <c r="U21">
        <v>18.559732065692351</v>
      </c>
      <c r="V21">
        <v>94.837460547568625</v>
      </c>
      <c r="W21">
        <v>90.116796808290914</v>
      </c>
      <c r="X21">
        <v>0.34236606414265081</v>
      </c>
      <c r="Y21">
        <v>99.978741258937077</v>
      </c>
    </row>
    <row r="22" spans="1:25" x14ac:dyDescent="0.3">
      <c r="A22">
        <v>21</v>
      </c>
      <c r="B22" t="s">
        <v>87</v>
      </c>
      <c r="C22">
        <v>355.93476089998148</v>
      </c>
      <c r="D22">
        <v>5.9322460149996914</v>
      </c>
      <c r="E22" t="s">
        <v>88</v>
      </c>
      <c r="G22" t="s">
        <v>27</v>
      </c>
      <c r="H22" t="s">
        <v>89</v>
      </c>
      <c r="J22" t="s">
        <v>29</v>
      </c>
      <c r="K22">
        <v>4.8016461057424249E-2</v>
      </c>
      <c r="L22">
        <v>0</v>
      </c>
      <c r="M22">
        <v>4.8016461057424249E-2</v>
      </c>
      <c r="N22" t="s">
        <v>17</v>
      </c>
      <c r="O22">
        <v>167</v>
      </c>
      <c r="P22" s="3">
        <v>9.9968309199979113E-5</v>
      </c>
      <c r="Q22">
        <v>1E-4</v>
      </c>
      <c r="R22">
        <v>2000</v>
      </c>
      <c r="S22">
        <v>96.332798973857777</v>
      </c>
      <c r="T22">
        <v>1.014346875463896E-3</v>
      </c>
      <c r="U22">
        <v>19.297417891331222</v>
      </c>
      <c r="V22">
        <v>94.837460547568625</v>
      </c>
      <c r="W22">
        <v>90.116796808290914</v>
      </c>
      <c r="X22">
        <v>0.32890178294854022</v>
      </c>
      <c r="Y22">
        <v>65.257731710739549</v>
      </c>
    </row>
    <row r="23" spans="1:25" x14ac:dyDescent="0.3">
      <c r="A23">
        <v>26</v>
      </c>
      <c r="B23" t="s">
        <v>102</v>
      </c>
      <c r="C23">
        <v>234.2774659998249</v>
      </c>
      <c r="D23">
        <v>3.9046244333304161</v>
      </c>
      <c r="E23" t="s">
        <v>103</v>
      </c>
      <c r="G23" t="s">
        <v>27</v>
      </c>
      <c r="H23" t="s">
        <v>104</v>
      </c>
      <c r="J23" t="s">
        <v>29</v>
      </c>
      <c r="K23">
        <v>5.2638529986280443E-2</v>
      </c>
      <c r="L23">
        <v>0</v>
      </c>
      <c r="M23">
        <v>5.2638529986280443E-2</v>
      </c>
      <c r="N23" t="s">
        <v>17</v>
      </c>
      <c r="O23">
        <v>103</v>
      </c>
      <c r="P23" s="3">
        <v>5.3833729058052337E-5</v>
      </c>
      <c r="Q23">
        <v>1E-4</v>
      </c>
      <c r="R23">
        <v>2000</v>
      </c>
      <c r="S23">
        <v>96.471640343782681</v>
      </c>
      <c r="T23">
        <v>1.014346875463896E-3</v>
      </c>
      <c r="U23">
        <v>25.015592938430839</v>
      </c>
      <c r="V23">
        <v>94.837460547568625</v>
      </c>
      <c r="W23">
        <v>90.116796808290914</v>
      </c>
      <c r="X23">
        <v>0.36637798791157528</v>
      </c>
      <c r="Y23">
        <v>66.90355725191597</v>
      </c>
    </row>
    <row r="24" spans="1:25" x14ac:dyDescent="0.3">
      <c r="A24">
        <v>28</v>
      </c>
      <c r="B24" t="s">
        <v>108</v>
      </c>
      <c r="C24">
        <v>148.6022893998306</v>
      </c>
      <c r="D24">
        <v>2.4767048233305098</v>
      </c>
      <c r="E24" t="s">
        <v>109</v>
      </c>
      <c r="G24" t="s">
        <v>27</v>
      </c>
      <c r="H24" t="s">
        <v>110</v>
      </c>
      <c r="J24" t="s">
        <v>29</v>
      </c>
      <c r="K24">
        <v>3.2464873478997833E-2</v>
      </c>
      <c r="L24">
        <v>0</v>
      </c>
      <c r="M24">
        <v>3.2464873478997833E-2</v>
      </c>
      <c r="N24" t="s">
        <v>17</v>
      </c>
      <c r="O24">
        <v>77</v>
      </c>
      <c r="P24" s="3">
        <v>8.9437223245787949E-5</v>
      </c>
      <c r="Q24">
        <v>1E-4</v>
      </c>
      <c r="R24">
        <v>2000</v>
      </c>
      <c r="S24">
        <v>97.182657746779157</v>
      </c>
      <c r="T24">
        <v>1.014346875463896E-3</v>
      </c>
      <c r="U24">
        <v>24.765988925984828</v>
      </c>
      <c r="V24">
        <v>94.837460547568625</v>
      </c>
      <c r="W24">
        <v>90.116796808290914</v>
      </c>
      <c r="X24">
        <v>0.35671626693055641</v>
      </c>
      <c r="Y24">
        <v>65.346814689502864</v>
      </c>
    </row>
    <row r="25" spans="1:25" s="1" customFormat="1" x14ac:dyDescent="0.3">
      <c r="A25">
        <v>46</v>
      </c>
      <c r="B25" t="s">
        <v>162</v>
      </c>
      <c r="C25">
        <v>289.98049110011198</v>
      </c>
      <c r="D25">
        <v>4.8330081850018667</v>
      </c>
      <c r="E25" t="s">
        <v>163</v>
      </c>
      <c r="F25"/>
      <c r="G25" t="s">
        <v>27</v>
      </c>
      <c r="H25" t="s">
        <v>164</v>
      </c>
      <c r="I25"/>
      <c r="J25" t="s">
        <v>29</v>
      </c>
      <c r="K25">
        <v>3.6575448505761707E-2</v>
      </c>
      <c r="L25">
        <v>0</v>
      </c>
      <c r="M25">
        <v>3.6575448505761707E-2</v>
      </c>
      <c r="N25" t="s">
        <v>17</v>
      </c>
      <c r="O25">
        <v>156</v>
      </c>
      <c r="P25" s="3">
        <v>9.9135854389474296E-5</v>
      </c>
      <c r="Q25">
        <v>1E-4</v>
      </c>
      <c r="R25">
        <v>2000</v>
      </c>
      <c r="S25">
        <v>97.182798066174783</v>
      </c>
      <c r="T25">
        <v>1.014346875463896E-3</v>
      </c>
      <c r="U25">
        <v>24.693351184498521</v>
      </c>
      <c r="V25">
        <v>94.837460547568625</v>
      </c>
      <c r="W25">
        <v>90.116796808290914</v>
      </c>
      <c r="X25">
        <v>0.36136158373439581</v>
      </c>
      <c r="Y25">
        <v>65.043189589083482</v>
      </c>
    </row>
    <row r="26" spans="1:25" x14ac:dyDescent="0.3">
      <c r="A26">
        <v>37</v>
      </c>
      <c r="B26" t="s">
        <v>135</v>
      </c>
      <c r="C26">
        <v>249.9187418001238</v>
      </c>
      <c r="D26">
        <v>4.1653123633353966</v>
      </c>
      <c r="E26" t="s">
        <v>136</v>
      </c>
      <c r="G26" t="s">
        <v>27</v>
      </c>
      <c r="H26" t="s">
        <v>137</v>
      </c>
      <c r="J26" t="s">
        <v>29</v>
      </c>
      <c r="K26">
        <v>4.6397743410654523E-2</v>
      </c>
      <c r="L26">
        <v>0</v>
      </c>
      <c r="M26">
        <v>4.6397743410654523E-2</v>
      </c>
      <c r="N26" t="s">
        <v>17</v>
      </c>
      <c r="O26">
        <v>131</v>
      </c>
      <c r="P26" s="3">
        <v>9.9044378496630274E-5</v>
      </c>
      <c r="Q26">
        <v>1E-4</v>
      </c>
      <c r="R26">
        <v>2000</v>
      </c>
      <c r="S26">
        <v>97.445247690020281</v>
      </c>
      <c r="T26">
        <v>1.014346875463896E-3</v>
      </c>
      <c r="U26">
        <v>14.591741308867681</v>
      </c>
      <c r="V26">
        <v>94.837460547568625</v>
      </c>
      <c r="W26">
        <v>90.116796808290914</v>
      </c>
      <c r="X26">
        <v>0.32219793908042332</v>
      </c>
      <c r="Y26">
        <v>99.999521248099668</v>
      </c>
    </row>
    <row r="27" spans="1:25" x14ac:dyDescent="0.3">
      <c r="A27">
        <v>20</v>
      </c>
      <c r="B27" t="s">
        <v>84</v>
      </c>
      <c r="C27">
        <v>606.63435399997979</v>
      </c>
      <c r="D27">
        <v>10.110572566666329</v>
      </c>
      <c r="E27" t="s">
        <v>85</v>
      </c>
      <c r="G27" t="s">
        <v>27</v>
      </c>
      <c r="H27" t="s">
        <v>86</v>
      </c>
      <c r="J27" t="s">
        <v>29</v>
      </c>
      <c r="K27">
        <v>5.3124792960829913E-2</v>
      </c>
      <c r="L27">
        <v>0</v>
      </c>
      <c r="M27">
        <v>5.3124792960829913E-2</v>
      </c>
      <c r="N27" t="s">
        <v>17</v>
      </c>
      <c r="O27">
        <v>277</v>
      </c>
      <c r="P27" s="3">
        <v>9.972852870656661E-5</v>
      </c>
      <c r="Q27">
        <v>1E-4</v>
      </c>
      <c r="R27">
        <v>2000</v>
      </c>
      <c r="S27">
        <v>97.520924149350392</v>
      </c>
      <c r="T27">
        <v>1.014346875463896E-3</v>
      </c>
      <c r="U27">
        <v>22.620771246254758</v>
      </c>
      <c r="V27">
        <v>94.837460547568625</v>
      </c>
      <c r="W27">
        <v>90.116796808290914</v>
      </c>
      <c r="X27">
        <v>0.3534752286347676</v>
      </c>
      <c r="Y27">
        <v>99.840128707378256</v>
      </c>
    </row>
    <row r="28" spans="1:25" x14ac:dyDescent="0.3">
      <c r="A28">
        <v>23</v>
      </c>
      <c r="B28" t="s">
        <v>93</v>
      </c>
      <c r="C28">
        <v>380.56447250000201</v>
      </c>
      <c r="D28">
        <v>6.3427412083333667</v>
      </c>
      <c r="E28" t="s">
        <v>94</v>
      </c>
      <c r="G28" t="s">
        <v>27</v>
      </c>
      <c r="H28" t="s">
        <v>95</v>
      </c>
      <c r="J28" t="s">
        <v>29</v>
      </c>
      <c r="K28">
        <v>4.7848950421835762E-2</v>
      </c>
      <c r="L28">
        <v>0</v>
      </c>
      <c r="M28">
        <v>4.7848950421835762E-2</v>
      </c>
      <c r="N28" t="s">
        <v>17</v>
      </c>
      <c r="O28">
        <v>191</v>
      </c>
      <c r="P28" s="3">
        <v>9.3843979470786639E-5</v>
      </c>
      <c r="Q28">
        <v>1E-4</v>
      </c>
      <c r="R28">
        <v>2000</v>
      </c>
      <c r="S28">
        <v>97.580381149968417</v>
      </c>
      <c r="T28">
        <v>1.014346875463896E-3</v>
      </c>
      <c r="U28">
        <v>19.954439297552561</v>
      </c>
      <c r="V28">
        <v>94.837460547568625</v>
      </c>
      <c r="W28">
        <v>90.116796808290914</v>
      </c>
      <c r="X28">
        <v>0.34611363549359658</v>
      </c>
      <c r="Y28">
        <v>62.195544342028633</v>
      </c>
    </row>
    <row r="29" spans="1:25" x14ac:dyDescent="0.3">
      <c r="A29">
        <v>39</v>
      </c>
      <c r="B29" t="s">
        <v>141</v>
      </c>
      <c r="C29">
        <v>147.97737550013699</v>
      </c>
      <c r="D29">
        <v>2.46628959166895</v>
      </c>
      <c r="E29" t="s">
        <v>142</v>
      </c>
      <c r="G29" t="s">
        <v>27</v>
      </c>
      <c r="H29" t="s">
        <v>143</v>
      </c>
      <c r="J29" t="s">
        <v>29</v>
      </c>
      <c r="K29">
        <v>6.0421862545919268E-2</v>
      </c>
      <c r="L29">
        <v>0</v>
      </c>
      <c r="M29">
        <v>6.0421862545919268E-2</v>
      </c>
      <c r="N29" t="s">
        <v>17</v>
      </c>
      <c r="O29">
        <v>72</v>
      </c>
      <c r="P29" s="3">
        <v>9.3171056294094352E-5</v>
      </c>
      <c r="Q29">
        <v>1E-4</v>
      </c>
      <c r="R29">
        <v>2000</v>
      </c>
      <c r="S29">
        <v>97.832228129858038</v>
      </c>
      <c r="T29">
        <v>1.014346875463896E-3</v>
      </c>
      <c r="U29">
        <v>23.5572260391098</v>
      </c>
      <c r="V29">
        <v>94.837460547568625</v>
      </c>
      <c r="W29">
        <v>90.116796808290914</v>
      </c>
      <c r="X29">
        <v>0.34145359353070959</v>
      </c>
      <c r="Y29">
        <v>61.948229810185573</v>
      </c>
    </row>
    <row r="30" spans="1:25" x14ac:dyDescent="0.3">
      <c r="A30">
        <v>3</v>
      </c>
      <c r="B30" t="s">
        <v>33</v>
      </c>
      <c r="C30">
        <v>1801.2384862001049</v>
      </c>
      <c r="D30">
        <v>30.02064143666842</v>
      </c>
      <c r="E30" t="s">
        <v>34</v>
      </c>
      <c r="G30" t="s">
        <v>27</v>
      </c>
      <c r="H30" t="s">
        <v>35</v>
      </c>
      <c r="J30" t="s">
        <v>29</v>
      </c>
      <c r="K30">
        <v>4.0159168532620429E-2</v>
      </c>
      <c r="L30">
        <v>0</v>
      </c>
      <c r="M30">
        <v>4.0159168532620429E-2</v>
      </c>
      <c r="N30" t="s">
        <v>17</v>
      </c>
      <c r="O30">
        <v>791</v>
      </c>
      <c r="P30" s="3">
        <v>9.6509114559981476E-5</v>
      </c>
      <c r="Q30">
        <v>1E-4</v>
      </c>
      <c r="R30">
        <v>2000</v>
      </c>
      <c r="S30">
        <v>98.125628819802415</v>
      </c>
      <c r="T30">
        <v>1.014346875463896E-3</v>
      </c>
      <c r="U30">
        <v>20.613798254739589</v>
      </c>
      <c r="V30">
        <v>94.837460547568625</v>
      </c>
      <c r="W30">
        <v>90.116796808290914</v>
      </c>
      <c r="X30">
        <v>0.35322541586971118</v>
      </c>
      <c r="Y30">
        <v>57.452170086188339</v>
      </c>
    </row>
    <row r="31" spans="1:25" x14ac:dyDescent="0.3">
      <c r="A31">
        <v>31</v>
      </c>
      <c r="B31" t="s">
        <v>117</v>
      </c>
      <c r="C31">
        <v>660.06711090006866</v>
      </c>
      <c r="D31">
        <v>11.00111851500114</v>
      </c>
      <c r="E31" t="s">
        <v>118</v>
      </c>
      <c r="G31" t="s">
        <v>27</v>
      </c>
      <c r="H31" t="s">
        <v>119</v>
      </c>
      <c r="J31" t="s">
        <v>29</v>
      </c>
      <c r="K31">
        <v>3.6108374550627383E-2</v>
      </c>
      <c r="L31">
        <v>0</v>
      </c>
      <c r="M31">
        <v>3.6108374550627383E-2</v>
      </c>
      <c r="N31" t="s">
        <v>17</v>
      </c>
      <c r="O31">
        <v>312</v>
      </c>
      <c r="P31" s="3">
        <v>9.9147697023747359E-5</v>
      </c>
      <c r="Q31">
        <v>1E-4</v>
      </c>
      <c r="R31">
        <v>2000</v>
      </c>
      <c r="S31">
        <v>98.232823585138959</v>
      </c>
      <c r="T31">
        <v>1.014346875463896E-3</v>
      </c>
      <c r="U31">
        <v>26.55707969828962</v>
      </c>
      <c r="V31">
        <v>94.837460547568625</v>
      </c>
      <c r="W31">
        <v>90.116796808290914</v>
      </c>
      <c r="X31">
        <v>0.39662093388145397</v>
      </c>
      <c r="Y31">
        <v>72.415509009765557</v>
      </c>
    </row>
    <row r="32" spans="1:25" x14ac:dyDescent="0.3">
      <c r="A32">
        <v>2</v>
      </c>
      <c r="B32" t="s">
        <v>30</v>
      </c>
      <c r="C32">
        <v>1356.142151499866</v>
      </c>
      <c r="D32">
        <v>22.60236919166443</v>
      </c>
      <c r="E32" t="s">
        <v>31</v>
      </c>
      <c r="G32" t="s">
        <v>27</v>
      </c>
      <c r="H32" t="s">
        <v>32</v>
      </c>
      <c r="J32" t="s">
        <v>29</v>
      </c>
      <c r="K32">
        <v>5.6048266998398752E-2</v>
      </c>
      <c r="L32">
        <v>0</v>
      </c>
      <c r="M32">
        <v>5.6048266998398752E-2</v>
      </c>
      <c r="N32" t="s">
        <v>17</v>
      </c>
      <c r="O32">
        <v>552</v>
      </c>
      <c r="P32" s="3">
        <v>9.6475735904867928E-5</v>
      </c>
      <c r="Q32">
        <v>1E-4</v>
      </c>
      <c r="R32">
        <v>2000</v>
      </c>
      <c r="S32">
        <v>98.262790059500034</v>
      </c>
      <c r="T32">
        <v>1.014346875463896E-3</v>
      </c>
      <c r="U32">
        <v>23.293753588901289</v>
      </c>
      <c r="V32">
        <v>94.837460547568625</v>
      </c>
      <c r="W32">
        <v>90.116796808290914</v>
      </c>
      <c r="X32">
        <v>0.3749419574207743</v>
      </c>
      <c r="Y32">
        <v>99.930378239847968</v>
      </c>
    </row>
    <row r="33" spans="1:25" x14ac:dyDescent="0.3">
      <c r="A33">
        <v>13</v>
      </c>
      <c r="B33" t="s">
        <v>63</v>
      </c>
      <c r="C33">
        <v>350.81865509995259</v>
      </c>
      <c r="D33">
        <v>5.8469775849992098</v>
      </c>
      <c r="E33" t="s">
        <v>64</v>
      </c>
      <c r="G33" t="s">
        <v>27</v>
      </c>
      <c r="H33" t="s">
        <v>65</v>
      </c>
      <c r="J33" t="s">
        <v>29</v>
      </c>
      <c r="K33">
        <v>3.3145040660638461E-2</v>
      </c>
      <c r="L33">
        <v>0</v>
      </c>
      <c r="M33">
        <v>3.3145040660638461E-2</v>
      </c>
      <c r="N33" t="s">
        <v>17</v>
      </c>
      <c r="O33">
        <v>162</v>
      </c>
      <c r="P33" s="3">
        <v>9.101238961493011E-5</v>
      </c>
      <c r="Q33">
        <v>1E-4</v>
      </c>
      <c r="R33">
        <v>2000</v>
      </c>
      <c r="S33">
        <v>98.349494369993764</v>
      </c>
      <c r="T33">
        <v>1.014346875463896E-3</v>
      </c>
      <c r="U33">
        <v>25.630864536202679</v>
      </c>
      <c r="V33">
        <v>94.837460547568625</v>
      </c>
      <c r="W33">
        <v>90.116796808290914</v>
      </c>
      <c r="X33">
        <v>0.35129645168699258</v>
      </c>
      <c r="Y33">
        <v>78.124654024165167</v>
      </c>
    </row>
    <row r="34" spans="1:25" x14ac:dyDescent="0.3">
      <c r="A34">
        <v>5</v>
      </c>
      <c r="B34" t="s">
        <v>39</v>
      </c>
      <c r="C34">
        <v>98.977797500090674</v>
      </c>
      <c r="D34">
        <v>1.649629958334845</v>
      </c>
      <c r="E34" t="s">
        <v>40</v>
      </c>
      <c r="G34" t="s">
        <v>27</v>
      </c>
      <c r="H34" t="s">
        <v>41</v>
      </c>
      <c r="J34" t="s">
        <v>29</v>
      </c>
      <c r="K34">
        <v>5.1250496326979159E-2</v>
      </c>
      <c r="L34">
        <v>0</v>
      </c>
      <c r="M34">
        <v>5.1250496326979159E-2</v>
      </c>
      <c r="N34" t="s">
        <v>17</v>
      </c>
      <c r="O34">
        <v>55</v>
      </c>
      <c r="P34" s="3">
        <v>9.7114216021654292E-5</v>
      </c>
      <c r="Q34">
        <v>1E-4</v>
      </c>
      <c r="R34">
        <v>2000</v>
      </c>
      <c r="S34">
        <v>98.576521698356402</v>
      </c>
      <c r="T34">
        <v>1.014346875463896E-3</v>
      </c>
      <c r="U34">
        <v>26.027624922660621</v>
      </c>
      <c r="V34">
        <v>94.837460547568625</v>
      </c>
      <c r="W34">
        <v>90.116796808290914</v>
      </c>
      <c r="X34">
        <v>0.3403437821469566</v>
      </c>
      <c r="Y34">
        <v>81.856252894666412</v>
      </c>
    </row>
    <row r="35" spans="1:25" x14ac:dyDescent="0.3">
      <c r="A35">
        <v>34</v>
      </c>
      <c r="B35" t="s">
        <v>126</v>
      </c>
      <c r="C35">
        <v>267.11132589983748</v>
      </c>
      <c r="D35">
        <v>4.4518554316639589</v>
      </c>
      <c r="E35" t="s">
        <v>127</v>
      </c>
      <c r="G35" t="s">
        <v>27</v>
      </c>
      <c r="H35" t="s">
        <v>128</v>
      </c>
      <c r="J35" t="s">
        <v>29</v>
      </c>
      <c r="K35">
        <v>3.1912274770262677E-2</v>
      </c>
      <c r="L35">
        <v>0</v>
      </c>
      <c r="M35">
        <v>3.1912274770262677E-2</v>
      </c>
      <c r="N35" t="s">
        <v>17</v>
      </c>
      <c r="O35">
        <v>128</v>
      </c>
      <c r="P35" s="3">
        <v>8.7133214411628786E-5</v>
      </c>
      <c r="Q35">
        <v>1E-4</v>
      </c>
      <c r="R35">
        <v>2000</v>
      </c>
      <c r="S35">
        <v>98.847166598259633</v>
      </c>
      <c r="T35">
        <v>1.014346875463896E-3</v>
      </c>
      <c r="U35">
        <v>27.672729794194019</v>
      </c>
      <c r="V35">
        <v>94.837460547568625</v>
      </c>
      <c r="W35">
        <v>90.116796808290914</v>
      </c>
      <c r="X35">
        <v>0.35297554939135228</v>
      </c>
      <c r="Y35">
        <v>99.048940954271757</v>
      </c>
    </row>
    <row r="36" spans="1:25" x14ac:dyDescent="0.3">
      <c r="A36">
        <v>22</v>
      </c>
      <c r="B36" t="s">
        <v>90</v>
      </c>
      <c r="C36">
        <v>258.02911460003821</v>
      </c>
      <c r="D36">
        <v>4.3004852433339691</v>
      </c>
      <c r="E36" t="s">
        <v>91</v>
      </c>
      <c r="G36" t="s">
        <v>27</v>
      </c>
      <c r="H36" t="s">
        <v>92</v>
      </c>
      <c r="J36" t="s">
        <v>29</v>
      </c>
      <c r="K36">
        <v>5.6656778450388523E-2</v>
      </c>
      <c r="L36">
        <v>0</v>
      </c>
      <c r="M36">
        <v>5.6656778450388523E-2</v>
      </c>
      <c r="N36" t="s">
        <v>17</v>
      </c>
      <c r="O36">
        <v>126</v>
      </c>
      <c r="P36" s="3">
        <v>9.968027800108627E-5</v>
      </c>
      <c r="Q36">
        <v>1E-4</v>
      </c>
      <c r="R36">
        <v>2000</v>
      </c>
      <c r="S36">
        <v>98.97403155958223</v>
      </c>
      <c r="T36">
        <v>1.014346875463896E-3</v>
      </c>
      <c r="U36">
        <v>24.756181778752762</v>
      </c>
      <c r="V36">
        <v>94.837460547568625</v>
      </c>
      <c r="W36">
        <v>90.116796808290914</v>
      </c>
      <c r="X36">
        <v>0.35313035904603279</v>
      </c>
      <c r="Y36">
        <v>58.586260706428909</v>
      </c>
    </row>
    <row r="37" spans="1:25" x14ac:dyDescent="0.3">
      <c r="A37">
        <v>15</v>
      </c>
      <c r="B37" t="s">
        <v>69</v>
      </c>
      <c r="C37">
        <v>264.14527130010538</v>
      </c>
      <c r="D37">
        <v>4.4024211883350892</v>
      </c>
      <c r="E37" t="s">
        <v>70</v>
      </c>
      <c r="G37" t="s">
        <v>27</v>
      </c>
      <c r="H37" t="s">
        <v>71</v>
      </c>
      <c r="J37" t="s">
        <v>29</v>
      </c>
      <c r="K37">
        <v>3.6527157424115893E-2</v>
      </c>
      <c r="L37">
        <v>0</v>
      </c>
      <c r="M37">
        <v>3.6527157424115893E-2</v>
      </c>
      <c r="N37" t="s">
        <v>17</v>
      </c>
      <c r="O37">
        <v>109</v>
      </c>
      <c r="P37" s="3">
        <v>9.6339128677580757E-5</v>
      </c>
      <c r="Q37">
        <v>1E-4</v>
      </c>
      <c r="R37">
        <v>2000</v>
      </c>
      <c r="S37">
        <v>99.232551025807297</v>
      </c>
      <c r="T37">
        <v>1.014346875463896E-3</v>
      </c>
      <c r="U37">
        <v>23.937201337803231</v>
      </c>
      <c r="V37">
        <v>94.837460547568625</v>
      </c>
      <c r="W37">
        <v>90.116796808290914</v>
      </c>
      <c r="X37">
        <v>0.37743959075527378</v>
      </c>
      <c r="Y37">
        <v>66.057404635742458</v>
      </c>
    </row>
    <row r="38" spans="1:25" x14ac:dyDescent="0.3">
      <c r="A38">
        <v>10</v>
      </c>
      <c r="B38" t="s">
        <v>54</v>
      </c>
      <c r="C38">
        <v>590.96258499985561</v>
      </c>
      <c r="D38">
        <v>9.8493764166642599</v>
      </c>
      <c r="E38" t="s">
        <v>55</v>
      </c>
      <c r="G38" t="s">
        <v>27</v>
      </c>
      <c r="H38" t="s">
        <v>56</v>
      </c>
      <c r="J38" t="s">
        <v>29</v>
      </c>
      <c r="K38">
        <v>6.2320108467507587E-2</v>
      </c>
      <c r="L38">
        <v>0</v>
      </c>
      <c r="M38">
        <v>6.2320108467507587E-2</v>
      </c>
      <c r="N38" t="s">
        <v>17</v>
      </c>
      <c r="O38">
        <v>268</v>
      </c>
      <c r="P38" s="3">
        <v>9.7982418060381016E-5</v>
      </c>
      <c r="Q38">
        <v>1E-4</v>
      </c>
      <c r="R38">
        <v>2000</v>
      </c>
      <c r="S38">
        <v>99.526999340355488</v>
      </c>
      <c r="T38">
        <v>1.014346875463896E-3</v>
      </c>
      <c r="U38">
        <v>23.532943380770451</v>
      </c>
      <c r="V38">
        <v>94.837460547568625</v>
      </c>
      <c r="W38">
        <v>90.116796808290914</v>
      </c>
      <c r="X38">
        <v>0.3539777011158442</v>
      </c>
      <c r="Y38">
        <v>62.883968844576231</v>
      </c>
    </row>
    <row r="39" spans="1:25" x14ac:dyDescent="0.3">
      <c r="A39">
        <v>48</v>
      </c>
      <c r="B39" t="s">
        <v>168</v>
      </c>
      <c r="C39">
        <v>557.88736910000443</v>
      </c>
      <c r="D39">
        <v>9.2981228183334075</v>
      </c>
      <c r="E39" t="s">
        <v>169</v>
      </c>
      <c r="G39" t="s">
        <v>27</v>
      </c>
      <c r="H39" t="s">
        <v>170</v>
      </c>
      <c r="J39" t="s">
        <v>29</v>
      </c>
      <c r="K39">
        <v>3.8916968038608862E-2</v>
      </c>
      <c r="L39">
        <v>0</v>
      </c>
      <c r="M39">
        <v>3.8916968038608862E-2</v>
      </c>
      <c r="N39" t="s">
        <v>17</v>
      </c>
      <c r="O39">
        <v>309</v>
      </c>
      <c r="P39" s="3">
        <v>9.943249587874786E-5</v>
      </c>
      <c r="Q39">
        <v>1E-4</v>
      </c>
      <c r="R39">
        <v>2000</v>
      </c>
      <c r="S39">
        <v>99.636155746614151</v>
      </c>
      <c r="T39">
        <v>1.014346875463896E-3</v>
      </c>
      <c r="U39">
        <v>24.68073192906617</v>
      </c>
      <c r="V39">
        <v>94.837460547568625</v>
      </c>
      <c r="W39">
        <v>90.116796808290914</v>
      </c>
      <c r="X39">
        <v>0.3710716231224942</v>
      </c>
      <c r="Y39">
        <v>65.816341208055647</v>
      </c>
    </row>
    <row r="40" spans="1:25" x14ac:dyDescent="0.3">
      <c r="A40">
        <v>8</v>
      </c>
      <c r="B40" t="s">
        <v>48</v>
      </c>
      <c r="C40">
        <v>204.30558339995329</v>
      </c>
      <c r="D40">
        <v>3.4050930566658888</v>
      </c>
      <c r="E40" t="s">
        <v>49</v>
      </c>
      <c r="G40" t="s">
        <v>27</v>
      </c>
      <c r="H40" t="s">
        <v>50</v>
      </c>
      <c r="J40" t="s">
        <v>29</v>
      </c>
      <c r="K40">
        <v>3.2987705117453331E-2</v>
      </c>
      <c r="L40">
        <v>0</v>
      </c>
      <c r="M40">
        <v>3.2987705117453331E-2</v>
      </c>
      <c r="N40" t="s">
        <v>17</v>
      </c>
      <c r="O40">
        <v>100</v>
      </c>
      <c r="P40" s="3">
        <v>9.6019277162633478E-5</v>
      </c>
      <c r="Q40">
        <v>1E-4</v>
      </c>
      <c r="R40">
        <v>2000</v>
      </c>
      <c r="S40">
        <v>99.670789314099181</v>
      </c>
      <c r="T40">
        <v>1.014346875463896E-3</v>
      </c>
      <c r="U40">
        <v>24.89879904412328</v>
      </c>
      <c r="V40">
        <v>94.837460547568625</v>
      </c>
      <c r="W40">
        <v>90.116796808290914</v>
      </c>
      <c r="X40">
        <v>0.39453764080498321</v>
      </c>
      <c r="Y40">
        <v>64.61859751747312</v>
      </c>
    </row>
    <row r="41" spans="1:25" x14ac:dyDescent="0.3">
      <c r="A41">
        <v>7</v>
      </c>
      <c r="B41" t="s">
        <v>45</v>
      </c>
      <c r="C41">
        <v>1104.1869544999211</v>
      </c>
      <c r="D41">
        <v>18.403115908332019</v>
      </c>
      <c r="E41" t="s">
        <v>46</v>
      </c>
      <c r="G41" t="s">
        <v>27</v>
      </c>
      <c r="H41" t="s">
        <v>47</v>
      </c>
      <c r="J41" t="s">
        <v>29</v>
      </c>
      <c r="K41">
        <v>7.3293084148594451E-2</v>
      </c>
      <c r="L41">
        <v>0</v>
      </c>
      <c r="M41">
        <v>7.3293084148594451E-2</v>
      </c>
      <c r="N41" t="s">
        <v>17</v>
      </c>
      <c r="O41">
        <v>470</v>
      </c>
      <c r="P41" s="3">
        <v>9.474576616053416E-5</v>
      </c>
      <c r="Q41">
        <v>1E-4</v>
      </c>
      <c r="R41">
        <v>2000</v>
      </c>
      <c r="S41">
        <v>99.783790134397449</v>
      </c>
      <c r="T41">
        <v>1.014346875463896E-3</v>
      </c>
      <c r="U41">
        <v>24.915962910253789</v>
      </c>
      <c r="V41">
        <v>94.837460547568625</v>
      </c>
      <c r="W41">
        <v>90.116796808290914</v>
      </c>
      <c r="X41">
        <v>0.34441758547565882</v>
      </c>
      <c r="Y41">
        <v>65.31422848926843</v>
      </c>
    </row>
    <row r="42" spans="1:25" x14ac:dyDescent="0.3">
      <c r="A42">
        <v>49</v>
      </c>
      <c r="B42" t="s">
        <v>171</v>
      </c>
      <c r="C42">
        <v>210.11226240010001</v>
      </c>
      <c r="D42">
        <v>3.5018710400016668</v>
      </c>
      <c r="E42" t="s">
        <v>172</v>
      </c>
      <c r="G42" t="s">
        <v>27</v>
      </c>
      <c r="H42" t="s">
        <v>173</v>
      </c>
      <c r="J42" t="s">
        <v>29</v>
      </c>
      <c r="K42">
        <v>5.7414629202154593E-2</v>
      </c>
      <c r="L42">
        <v>0</v>
      </c>
      <c r="M42">
        <v>5.7414629202154593E-2</v>
      </c>
      <c r="N42" t="s">
        <v>17</v>
      </c>
      <c r="O42">
        <v>106</v>
      </c>
      <c r="P42" s="3">
        <v>8.4543066581350493E-5</v>
      </c>
      <c r="Q42">
        <v>1E-4</v>
      </c>
      <c r="R42">
        <v>2000</v>
      </c>
      <c r="S42">
        <v>99.79889713578892</v>
      </c>
      <c r="T42">
        <v>1.014346875463896E-3</v>
      </c>
      <c r="U42">
        <v>23.518783416982579</v>
      </c>
      <c r="V42">
        <v>94.837460547568625</v>
      </c>
      <c r="W42">
        <v>90.116796808290914</v>
      </c>
      <c r="X42">
        <v>0.36444400426295748</v>
      </c>
      <c r="Y42">
        <v>65.401364996361508</v>
      </c>
    </row>
    <row r="43" spans="1:25" x14ac:dyDescent="0.3">
      <c r="A43">
        <v>33</v>
      </c>
      <c r="B43" t="s">
        <v>123</v>
      </c>
      <c r="C43">
        <v>380.45998809998849</v>
      </c>
      <c r="D43">
        <v>6.3409998016664746</v>
      </c>
      <c r="E43" t="s">
        <v>124</v>
      </c>
      <c r="G43" t="s">
        <v>27</v>
      </c>
      <c r="H43" t="s">
        <v>125</v>
      </c>
      <c r="J43" t="s">
        <v>29</v>
      </c>
      <c r="K43">
        <v>5.0229143888754532E-2</v>
      </c>
      <c r="L43">
        <v>0</v>
      </c>
      <c r="M43">
        <v>5.0229143888754532E-2</v>
      </c>
      <c r="N43" t="s">
        <v>17</v>
      </c>
      <c r="O43">
        <v>192</v>
      </c>
      <c r="P43" s="3">
        <v>6.0459074075857378E-5</v>
      </c>
      <c r="Q43">
        <v>1E-4</v>
      </c>
      <c r="R43">
        <v>2000</v>
      </c>
      <c r="S43">
        <v>99.882087636909233</v>
      </c>
      <c r="T43">
        <v>1.014346875463896E-3</v>
      </c>
      <c r="U43">
        <v>24.728059825997121</v>
      </c>
      <c r="V43">
        <v>94.837460547568625</v>
      </c>
      <c r="W43">
        <v>90.116796808290914</v>
      </c>
      <c r="X43">
        <v>0.35200798060467903</v>
      </c>
      <c r="Y43">
        <v>63.171667475254729</v>
      </c>
    </row>
    <row r="44" spans="1:25" s="1" customFormat="1" x14ac:dyDescent="0.3">
      <c r="A44" s="1">
        <v>43</v>
      </c>
      <c r="B44" s="1" t="s">
        <v>153</v>
      </c>
      <c r="C44" s="1">
        <v>3105.5442475997838</v>
      </c>
      <c r="D44" s="1">
        <v>51.759070793329741</v>
      </c>
      <c r="E44" s="1" t="s">
        <v>154</v>
      </c>
      <c r="G44" s="1" t="s">
        <v>27</v>
      </c>
      <c r="H44" s="1" t="s">
        <v>155</v>
      </c>
      <c r="J44" s="1" t="s">
        <v>29</v>
      </c>
      <c r="K44" s="1">
        <v>5.382705752853665E-2</v>
      </c>
      <c r="L44" s="1">
        <v>0</v>
      </c>
      <c r="M44" s="1">
        <v>5.382705752853665E-2</v>
      </c>
      <c r="N44" s="1" t="s">
        <v>17</v>
      </c>
      <c r="O44" s="1">
        <v>2001</v>
      </c>
      <c r="P44" s="2">
        <v>1.178898322208412E-4</v>
      </c>
      <c r="Q44" s="1">
        <v>1E-4</v>
      </c>
      <c r="R44" s="1">
        <v>2000</v>
      </c>
      <c r="S44" s="1">
        <v>99.892034886907325</v>
      </c>
      <c r="T44" s="1">
        <v>1.014346875463896E-3</v>
      </c>
      <c r="U44" s="1">
        <v>21.617010154372331</v>
      </c>
      <c r="V44" s="1">
        <v>94.837460547568625</v>
      </c>
      <c r="W44" s="1">
        <v>90.116796808290914</v>
      </c>
      <c r="X44" s="1">
        <v>0.33549371950717649</v>
      </c>
      <c r="Y44" s="1">
        <v>98.992691403911337</v>
      </c>
    </row>
    <row r="45" spans="1:25" x14ac:dyDescent="0.3">
      <c r="A45">
        <v>38</v>
      </c>
      <c r="B45" t="s">
        <v>138</v>
      </c>
      <c r="C45">
        <v>737.90966840018518</v>
      </c>
      <c r="D45">
        <v>12.298494473336421</v>
      </c>
      <c r="E45" t="s">
        <v>139</v>
      </c>
      <c r="G45" t="s">
        <v>27</v>
      </c>
      <c r="H45" t="s">
        <v>140</v>
      </c>
      <c r="J45" t="s">
        <v>29</v>
      </c>
      <c r="K45">
        <v>3.5598829497713341E-2</v>
      </c>
      <c r="L45">
        <v>0</v>
      </c>
      <c r="M45">
        <v>3.5598829497713341E-2</v>
      </c>
      <c r="N45" t="s">
        <v>17</v>
      </c>
      <c r="O45">
        <v>352</v>
      </c>
      <c r="P45" s="3">
        <v>9.0406407614500124E-5</v>
      </c>
      <c r="Q45">
        <v>1E-4</v>
      </c>
      <c r="R45">
        <v>2000</v>
      </c>
      <c r="S45">
        <v>99.912906552015258</v>
      </c>
      <c r="T45">
        <v>1.014346875463896E-3</v>
      </c>
      <c r="U45">
        <v>20.821368868765319</v>
      </c>
      <c r="V45">
        <v>94.837460547568625</v>
      </c>
      <c r="W45">
        <v>90.116796808290914</v>
      </c>
      <c r="X45">
        <v>0.33845302424133528</v>
      </c>
      <c r="Y45">
        <v>85.007362731688005</v>
      </c>
    </row>
    <row r="46" spans="1:25" x14ac:dyDescent="0.3">
      <c r="A46">
        <v>50</v>
      </c>
      <c r="B46" t="s">
        <v>174</v>
      </c>
      <c r="C46">
        <v>207.80022479989569</v>
      </c>
      <c r="D46">
        <v>3.463337079998261</v>
      </c>
      <c r="E46" t="s">
        <v>175</v>
      </c>
      <c r="G46" t="s">
        <v>27</v>
      </c>
      <c r="H46" t="s">
        <v>176</v>
      </c>
      <c r="J46" t="s">
        <v>29</v>
      </c>
      <c r="K46">
        <v>7.2935370753842738E-2</v>
      </c>
      <c r="L46">
        <v>0</v>
      </c>
      <c r="M46">
        <v>7.2935370753842738E-2</v>
      </c>
      <c r="N46" t="s">
        <v>17</v>
      </c>
      <c r="O46">
        <v>105</v>
      </c>
      <c r="P46" s="3">
        <v>9.4568455569259068E-5</v>
      </c>
      <c r="Q46">
        <v>1E-4</v>
      </c>
      <c r="R46">
        <v>2000</v>
      </c>
      <c r="S46">
        <v>99.916230484895422</v>
      </c>
      <c r="T46">
        <v>1.014346875463896E-3</v>
      </c>
      <c r="U46">
        <v>22.862667105693468</v>
      </c>
      <c r="V46">
        <v>94.837460547568625</v>
      </c>
      <c r="W46">
        <v>90.116796808290914</v>
      </c>
      <c r="X46">
        <v>0.35514734715173157</v>
      </c>
      <c r="Y46">
        <v>73.835615179553159</v>
      </c>
    </row>
    <row r="47" spans="1:25" x14ac:dyDescent="0.3">
      <c r="A47">
        <v>30</v>
      </c>
      <c r="B47" t="s">
        <v>114</v>
      </c>
      <c r="C47">
        <v>595.20419390010647</v>
      </c>
      <c r="D47">
        <v>9.9200698983351074</v>
      </c>
      <c r="E47" t="s">
        <v>115</v>
      </c>
      <c r="G47" t="s">
        <v>27</v>
      </c>
      <c r="H47" t="s">
        <v>116</v>
      </c>
      <c r="J47" t="s">
        <v>29</v>
      </c>
      <c r="K47">
        <v>5.6937064402249042E-2</v>
      </c>
      <c r="L47">
        <v>0</v>
      </c>
      <c r="M47">
        <v>5.6937064402249042E-2</v>
      </c>
      <c r="N47" t="s">
        <v>17</v>
      </c>
      <c r="O47">
        <v>287</v>
      </c>
      <c r="P47" s="3">
        <v>9.6753835954939359E-5</v>
      </c>
      <c r="Q47">
        <v>1E-4</v>
      </c>
      <c r="R47">
        <v>2000</v>
      </c>
      <c r="S47">
        <v>99.946045417887575</v>
      </c>
      <c r="T47">
        <v>1.014346875463896E-3</v>
      </c>
      <c r="U47">
        <v>21.28435771743623</v>
      </c>
      <c r="V47">
        <v>94.837460547568625</v>
      </c>
      <c r="W47">
        <v>90.116796808290914</v>
      </c>
      <c r="X47">
        <v>0.34602393026121392</v>
      </c>
      <c r="Y47">
        <v>64.263081822488445</v>
      </c>
    </row>
    <row r="48" spans="1:25" x14ac:dyDescent="0.3">
      <c r="A48">
        <v>44</v>
      </c>
      <c r="B48" t="s">
        <v>156</v>
      </c>
      <c r="C48">
        <v>239.41525020007981</v>
      </c>
      <c r="D48">
        <v>3.9902541700013292</v>
      </c>
      <c r="E48" t="s">
        <v>157</v>
      </c>
      <c r="G48" t="s">
        <v>27</v>
      </c>
      <c r="H48" t="s">
        <v>158</v>
      </c>
      <c r="J48" t="s">
        <v>29</v>
      </c>
      <c r="K48">
        <v>7.5469640326722209E-2</v>
      </c>
      <c r="L48">
        <v>0</v>
      </c>
      <c r="M48">
        <v>7.5469640326722209E-2</v>
      </c>
      <c r="N48" t="s">
        <v>17</v>
      </c>
      <c r="O48">
        <v>114</v>
      </c>
      <c r="P48" s="3">
        <v>7.3960022371753664E-5</v>
      </c>
      <c r="Q48">
        <v>1E-4</v>
      </c>
      <c r="R48">
        <v>2000</v>
      </c>
      <c r="S48">
        <v>99.989397676008892</v>
      </c>
      <c r="T48">
        <v>1.014346875463896E-3</v>
      </c>
      <c r="U48">
        <v>21.091988725211909</v>
      </c>
      <c r="V48">
        <v>94.837460547568625</v>
      </c>
      <c r="W48">
        <v>90.116796808290914</v>
      </c>
      <c r="X48">
        <v>0.33315346085147562</v>
      </c>
      <c r="Y48">
        <v>66.350265357046965</v>
      </c>
    </row>
    <row r="49" spans="1:25" x14ac:dyDescent="0.3">
      <c r="A49">
        <v>25</v>
      </c>
      <c r="B49" t="s">
        <v>99</v>
      </c>
      <c r="C49">
        <v>253.85502889985219</v>
      </c>
      <c r="D49">
        <v>4.2309171483308701</v>
      </c>
      <c r="E49" t="s">
        <v>100</v>
      </c>
      <c r="G49" t="s">
        <v>27</v>
      </c>
      <c r="H49" t="s">
        <v>101</v>
      </c>
      <c r="J49" t="s">
        <v>29</v>
      </c>
      <c r="K49">
        <v>5.6598905133480218E-2</v>
      </c>
      <c r="L49">
        <v>0</v>
      </c>
      <c r="M49">
        <v>5.6598905133480218E-2</v>
      </c>
      <c r="N49" t="s">
        <v>17</v>
      </c>
      <c r="O49">
        <v>124</v>
      </c>
      <c r="P49" s="3">
        <v>8.463959255841675E-5</v>
      </c>
      <c r="Q49">
        <v>1E-4</v>
      </c>
      <c r="R49">
        <v>2000</v>
      </c>
      <c r="S49">
        <v>99.995104072746898</v>
      </c>
      <c r="T49">
        <v>1.014346875463896E-3</v>
      </c>
      <c r="U49">
        <v>17.464595467440731</v>
      </c>
      <c r="V49">
        <v>94.837460547568625</v>
      </c>
      <c r="W49">
        <v>90.116796808290914</v>
      </c>
      <c r="X49">
        <v>0.34874265185712522</v>
      </c>
      <c r="Y49">
        <v>91.209617933584965</v>
      </c>
    </row>
    <row r="50" spans="1:25" x14ac:dyDescent="0.3">
      <c r="A50">
        <v>6</v>
      </c>
      <c r="B50" t="s">
        <v>42</v>
      </c>
      <c r="C50">
        <v>234.41038600006141</v>
      </c>
      <c r="D50">
        <v>3.90683976666769</v>
      </c>
      <c r="E50" t="s">
        <v>43</v>
      </c>
      <c r="G50" t="s">
        <v>27</v>
      </c>
      <c r="H50" t="s">
        <v>44</v>
      </c>
      <c r="J50" t="s">
        <v>29</v>
      </c>
      <c r="K50">
        <v>3.9705675031621077E-2</v>
      </c>
      <c r="L50">
        <v>0</v>
      </c>
      <c r="M50">
        <v>3.9705675031621077E-2</v>
      </c>
      <c r="N50" t="s">
        <v>17</v>
      </c>
      <c r="O50">
        <v>105</v>
      </c>
      <c r="P50" s="3">
        <v>8.78267841940098E-5</v>
      </c>
      <c r="Q50">
        <v>1E-4</v>
      </c>
      <c r="R50">
        <v>2000</v>
      </c>
      <c r="S50">
        <v>99.996612667497146</v>
      </c>
      <c r="T50">
        <v>1.014346875463896E-3</v>
      </c>
      <c r="U50">
        <v>32.427594630806617</v>
      </c>
      <c r="V50">
        <v>94.837460547568625</v>
      </c>
      <c r="W50">
        <v>90.116796808290914</v>
      </c>
      <c r="X50">
        <v>0.38568694664545572</v>
      </c>
      <c r="Y50">
        <v>84.697145602031227</v>
      </c>
    </row>
    <row r="51" spans="1:25" x14ac:dyDescent="0.3">
      <c r="A51">
        <v>41</v>
      </c>
      <c r="B51" t="s">
        <v>147</v>
      </c>
      <c r="C51">
        <v>467.79273169999942</v>
      </c>
      <c r="D51">
        <v>7.7965455283333238</v>
      </c>
      <c r="E51" t="s">
        <v>148</v>
      </c>
      <c r="G51" t="s">
        <v>27</v>
      </c>
      <c r="H51" t="s">
        <v>149</v>
      </c>
      <c r="J51" t="s">
        <v>29</v>
      </c>
      <c r="K51">
        <v>4.0335078114913901E-2</v>
      </c>
      <c r="L51">
        <v>0</v>
      </c>
      <c r="M51">
        <v>4.0335078114913901E-2</v>
      </c>
      <c r="N51" t="s">
        <v>17</v>
      </c>
      <c r="O51">
        <v>208</v>
      </c>
      <c r="P51" s="3">
        <v>6.4316250236669411E-5</v>
      </c>
      <c r="Q51">
        <v>1E-4</v>
      </c>
      <c r="R51">
        <v>2000</v>
      </c>
      <c r="S51">
        <v>99.999777566903077</v>
      </c>
      <c r="T51">
        <v>1.014346875463896E-3</v>
      </c>
      <c r="U51">
        <v>14.525964310351361</v>
      </c>
      <c r="V51">
        <v>94.837460547568625</v>
      </c>
      <c r="W51">
        <v>90.116796808290914</v>
      </c>
      <c r="X51">
        <v>0.35564251320631851</v>
      </c>
      <c r="Y51">
        <v>0.67423198415802166</v>
      </c>
    </row>
    <row r="53" spans="1:25" x14ac:dyDescent="0.3">
      <c r="S53">
        <f>AVERAGE(S2:S51)</f>
        <v>90.155556276773154</v>
      </c>
      <c r="U53">
        <f t="shared" ref="U53:Y53" si="0">AVERAGE(U2:U51)</f>
        <v>22.950333810865832</v>
      </c>
      <c r="X53">
        <f t="shared" si="0"/>
        <v>0.3572000038114751</v>
      </c>
      <c r="Y53">
        <f t="shared" si="0"/>
        <v>75.203536193072466</v>
      </c>
    </row>
    <row r="54" spans="1:25" x14ac:dyDescent="0.3">
      <c r="S54">
        <f>STDEVA(S2:S51)</f>
        <v>14.921912674712488</v>
      </c>
      <c r="U54">
        <f t="shared" ref="U54:Y54" si="1">STDEVA(U2:U51)</f>
        <v>3.7734189754702276</v>
      </c>
      <c r="X54">
        <f t="shared" si="1"/>
        <v>1.7413042256343662E-2</v>
      </c>
      <c r="Y54">
        <f t="shared" si="1"/>
        <v>19.314212442680635</v>
      </c>
    </row>
  </sheetData>
  <autoFilter ref="A1:Y1" xr:uid="{73A3EF74-9D27-4539-B9D5-9F5DFE360A73}">
    <sortState xmlns:xlrd2="http://schemas.microsoft.com/office/spreadsheetml/2017/richdata2" ref="A2:Y51">
      <sortCondition ref="S1"/>
    </sortState>
  </autoFilter>
  <conditionalFormatting sqref="M2:M51">
    <cfRule type="top10" dxfId="14" priority="1" percent="1" bottom="1" rank="10"/>
  </conditionalFormatting>
  <conditionalFormatting sqref="S2:S51">
    <cfRule type="top10" dxfId="13" priority="4" percent="1" bottom="1" rank="10"/>
    <cfRule type="top10" dxfId="12" priority="5" percent="1" rank="10"/>
    <cfRule type="top10" priority="6" bottom="1" rank="15"/>
  </conditionalFormatting>
  <conditionalFormatting sqref="U2:U51">
    <cfRule type="top10" dxfId="11" priority="2" percent="1" bottom="1" rank="10"/>
    <cfRule type="top10" dxfId="10" priority="3" rank="10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9C5-2A3E-4B35-89BB-730FC51CF90C}">
  <dimension ref="A1:Y25"/>
  <sheetViews>
    <sheetView tabSelected="1" topLeftCell="M1" workbookViewId="0">
      <selection activeCell="AC14" sqref="AC14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>
        <v>376.47378710005432</v>
      </c>
      <c r="D2">
        <v>6.274563118334239</v>
      </c>
      <c r="E2" t="s">
        <v>26</v>
      </c>
      <c r="G2" t="s">
        <v>27</v>
      </c>
      <c r="H2" t="s">
        <v>28</v>
      </c>
      <c r="J2" t="s">
        <v>29</v>
      </c>
      <c r="K2">
        <v>2.3314535961020479E-2</v>
      </c>
      <c r="L2">
        <v>0</v>
      </c>
      <c r="M2">
        <v>2.3314535961020479E-2</v>
      </c>
      <c r="N2" t="s">
        <v>17</v>
      </c>
      <c r="O2">
        <v>157</v>
      </c>
      <c r="P2" s="3">
        <v>9.5369346883164081E-5</v>
      </c>
      <c r="Q2">
        <v>1E-4</v>
      </c>
      <c r="R2">
        <v>2000</v>
      </c>
      <c r="S2">
        <v>95.657769107922363</v>
      </c>
      <c r="T2">
        <v>1.014346875463896E-3</v>
      </c>
      <c r="U2">
        <v>23.820736248282589</v>
      </c>
      <c r="V2">
        <v>94.837460547568625</v>
      </c>
      <c r="W2">
        <v>90.116796808290914</v>
      </c>
      <c r="X2">
        <v>0.37739898761506779</v>
      </c>
      <c r="Y2">
        <v>65.436064262222175</v>
      </c>
    </row>
    <row r="3" spans="1:25" x14ac:dyDescent="0.3">
      <c r="A3">
        <v>4</v>
      </c>
      <c r="B3" t="s">
        <v>36</v>
      </c>
      <c r="C3">
        <v>1613.8154424000529</v>
      </c>
      <c r="D3">
        <v>26.89692404000089</v>
      </c>
      <c r="E3" t="s">
        <v>37</v>
      </c>
      <c r="G3" t="s">
        <v>27</v>
      </c>
      <c r="H3" t="s">
        <v>38</v>
      </c>
      <c r="J3" t="s">
        <v>29</v>
      </c>
      <c r="K3">
        <v>3.8659330547967413E-2</v>
      </c>
      <c r="L3">
        <v>0</v>
      </c>
      <c r="M3">
        <v>3.8659330547967413E-2</v>
      </c>
      <c r="N3" t="s">
        <v>17</v>
      </c>
      <c r="O3">
        <v>650</v>
      </c>
      <c r="P3" s="3">
        <v>8.9585973208368294E-5</v>
      </c>
      <c r="Q3">
        <v>1E-4</v>
      </c>
      <c r="R3">
        <v>2000</v>
      </c>
      <c r="S3">
        <v>95.019368456504282</v>
      </c>
      <c r="T3">
        <v>1.014346875463896E-3</v>
      </c>
      <c r="U3">
        <v>24.235403968214548</v>
      </c>
      <c r="V3">
        <v>94.837460547568625</v>
      </c>
      <c r="W3">
        <v>90.116796808290914</v>
      </c>
      <c r="X3">
        <v>0.38098874317213482</v>
      </c>
      <c r="Y3">
        <v>86.49449488255064</v>
      </c>
    </row>
    <row r="4" spans="1:25" x14ac:dyDescent="0.3">
      <c r="A4">
        <v>9</v>
      </c>
      <c r="B4" t="s">
        <v>51</v>
      </c>
      <c r="C4">
        <v>3685.1048715000511</v>
      </c>
      <c r="D4">
        <v>61.418414525000841</v>
      </c>
      <c r="E4" t="s">
        <v>52</v>
      </c>
      <c r="G4" t="s">
        <v>27</v>
      </c>
      <c r="H4" t="s">
        <v>53</v>
      </c>
      <c r="J4" t="s">
        <v>29</v>
      </c>
      <c r="K4">
        <v>3.8867411282494907E-2</v>
      </c>
      <c r="L4">
        <v>0</v>
      </c>
      <c r="M4">
        <v>3.8867411282494907E-2</v>
      </c>
      <c r="N4" t="s">
        <v>17</v>
      </c>
      <c r="O4">
        <v>1543</v>
      </c>
      <c r="P4" s="3">
        <v>9.9826743701893081E-5</v>
      </c>
      <c r="Q4">
        <v>1E-4</v>
      </c>
      <c r="R4">
        <v>2000</v>
      </c>
      <c r="S4">
        <v>88.906187857997296</v>
      </c>
      <c r="T4">
        <v>1.014346875463896E-3</v>
      </c>
      <c r="U4">
        <v>25.257590925065319</v>
      </c>
      <c r="V4">
        <v>94.837460547568625</v>
      </c>
      <c r="W4">
        <v>90.116796808290914</v>
      </c>
      <c r="X4">
        <v>0.36070925676763771</v>
      </c>
      <c r="Y4">
        <v>99.807691070067207</v>
      </c>
    </row>
    <row r="5" spans="1:25" x14ac:dyDescent="0.3">
      <c r="A5">
        <v>11</v>
      </c>
      <c r="B5" t="s">
        <v>57</v>
      </c>
      <c r="C5">
        <v>2145.3817583001219</v>
      </c>
      <c r="D5">
        <v>35.756362638335368</v>
      </c>
      <c r="E5" t="s">
        <v>58</v>
      </c>
      <c r="G5" t="s">
        <v>27</v>
      </c>
      <c r="H5" t="s">
        <v>59</v>
      </c>
      <c r="J5" t="s">
        <v>29</v>
      </c>
      <c r="K5">
        <v>1.8433150104736441E-2</v>
      </c>
      <c r="L5">
        <v>0</v>
      </c>
      <c r="M5">
        <v>1.8433150104736441E-2</v>
      </c>
      <c r="N5" t="s">
        <v>17</v>
      </c>
      <c r="O5">
        <v>1151</v>
      </c>
      <c r="P5" s="3">
        <v>9.925470957662361E-5</v>
      </c>
      <c r="Q5">
        <v>1E-4</v>
      </c>
      <c r="R5">
        <v>2000</v>
      </c>
      <c r="S5">
        <v>54.002458003203998</v>
      </c>
      <c r="T5">
        <v>1.014346875463896E-3</v>
      </c>
      <c r="U5">
        <v>24.41238556292387</v>
      </c>
      <c r="V5">
        <v>94.837460547568625</v>
      </c>
      <c r="W5">
        <v>90.116796808290914</v>
      </c>
      <c r="X5">
        <v>0.35807632353506608</v>
      </c>
      <c r="Y5">
        <v>76.506583700571284</v>
      </c>
    </row>
    <row r="6" spans="1:25" x14ac:dyDescent="0.3">
      <c r="A6">
        <v>12</v>
      </c>
      <c r="B6" t="s">
        <v>60</v>
      </c>
      <c r="C6">
        <v>360.89116539992392</v>
      </c>
      <c r="D6">
        <v>6.0148527566653991</v>
      </c>
      <c r="E6" t="s">
        <v>61</v>
      </c>
      <c r="G6" t="s">
        <v>27</v>
      </c>
      <c r="H6" t="s">
        <v>62</v>
      </c>
      <c r="J6" t="s">
        <v>29</v>
      </c>
      <c r="K6">
        <v>3.7310205109878328E-2</v>
      </c>
      <c r="L6">
        <v>0</v>
      </c>
      <c r="M6">
        <v>3.7310205109878328E-2</v>
      </c>
      <c r="N6" t="s">
        <v>17</v>
      </c>
      <c r="O6">
        <v>214</v>
      </c>
      <c r="P6" s="3">
        <v>7.3596389375289991E-5</v>
      </c>
      <c r="Q6">
        <v>1E-4</v>
      </c>
      <c r="R6">
        <v>2000</v>
      </c>
      <c r="S6">
        <v>62.730752953594902</v>
      </c>
      <c r="T6">
        <v>1.014346875463896E-3</v>
      </c>
      <c r="U6">
        <v>22.93581722922502</v>
      </c>
      <c r="V6">
        <v>94.837460547568625</v>
      </c>
      <c r="W6">
        <v>90.116796808290914</v>
      </c>
      <c r="X6">
        <v>0.35526974719070181</v>
      </c>
      <c r="Y6">
        <v>99.692861671818662</v>
      </c>
    </row>
    <row r="7" spans="1:25" x14ac:dyDescent="0.3">
      <c r="A7">
        <v>14</v>
      </c>
      <c r="B7" t="s">
        <v>66</v>
      </c>
      <c r="C7">
        <v>2308.8406410999601</v>
      </c>
      <c r="D7">
        <v>38.480677351666003</v>
      </c>
      <c r="E7" t="s">
        <v>67</v>
      </c>
      <c r="G7" t="s">
        <v>27</v>
      </c>
      <c r="H7" t="s">
        <v>68</v>
      </c>
      <c r="J7" t="s">
        <v>29</v>
      </c>
      <c r="K7">
        <v>3.4326435416796551E-2</v>
      </c>
      <c r="L7">
        <v>0</v>
      </c>
      <c r="M7">
        <v>3.4326435416796551E-2</v>
      </c>
      <c r="N7" t="s">
        <v>17</v>
      </c>
      <c r="O7">
        <v>1307</v>
      </c>
      <c r="P7" s="3">
        <v>9.9902998312900046E-5</v>
      </c>
      <c r="Q7">
        <v>1E-4</v>
      </c>
      <c r="R7">
        <v>2000</v>
      </c>
      <c r="S7">
        <v>67.094715243641787</v>
      </c>
      <c r="T7">
        <v>1.014346875463896E-3</v>
      </c>
      <c r="U7">
        <v>32.787910989416133</v>
      </c>
      <c r="V7">
        <v>94.837460547568625</v>
      </c>
      <c r="W7">
        <v>90.116796808290914</v>
      </c>
      <c r="X7">
        <v>0.3668883169054567</v>
      </c>
      <c r="Y7">
        <v>98.233779914948911</v>
      </c>
    </row>
    <row r="8" spans="1:25" x14ac:dyDescent="0.3">
      <c r="A8">
        <v>16</v>
      </c>
      <c r="B8" t="s">
        <v>72</v>
      </c>
      <c r="C8">
        <v>322.70233979984192</v>
      </c>
      <c r="D8">
        <v>5.3783723299973643</v>
      </c>
      <c r="E8" t="s">
        <v>73</v>
      </c>
      <c r="G8" t="s">
        <v>27</v>
      </c>
      <c r="H8" t="s">
        <v>74</v>
      </c>
      <c r="J8" t="s">
        <v>29</v>
      </c>
      <c r="K8">
        <v>5.4919672102592958E-2</v>
      </c>
      <c r="L8">
        <v>0</v>
      </c>
      <c r="M8">
        <v>5.4919672102592958E-2</v>
      </c>
      <c r="N8" t="s">
        <v>17</v>
      </c>
      <c r="O8">
        <v>151</v>
      </c>
      <c r="P8" s="3">
        <v>9.6505790229017732E-5</v>
      </c>
      <c r="Q8">
        <v>1E-4</v>
      </c>
      <c r="R8">
        <v>2000</v>
      </c>
      <c r="S8">
        <v>78.288533449094658</v>
      </c>
      <c r="T8">
        <v>1.014346875463896E-3</v>
      </c>
      <c r="U8">
        <v>25.54682844985081</v>
      </c>
      <c r="V8">
        <v>94.837460547568625</v>
      </c>
      <c r="W8">
        <v>90.116796808290914</v>
      </c>
      <c r="X8">
        <v>0.37437155805999939</v>
      </c>
      <c r="Y8">
        <v>99.254624966816024</v>
      </c>
    </row>
    <row r="9" spans="1:25" x14ac:dyDescent="0.3">
      <c r="A9" s="1">
        <v>17</v>
      </c>
      <c r="B9" s="1" t="s">
        <v>75</v>
      </c>
      <c r="C9" s="1">
        <v>3415.3606555999718</v>
      </c>
      <c r="D9" s="1">
        <v>56.922677593332871</v>
      </c>
      <c r="E9" s="1" t="s">
        <v>76</v>
      </c>
      <c r="F9" s="1"/>
      <c r="G9" s="1" t="s">
        <v>27</v>
      </c>
      <c r="H9" s="1" t="s">
        <v>77</v>
      </c>
      <c r="I9" s="1"/>
      <c r="J9" s="1" t="s">
        <v>29</v>
      </c>
      <c r="K9" s="1">
        <v>2.255959327401005E-2</v>
      </c>
      <c r="L9" s="1">
        <v>0</v>
      </c>
      <c r="M9" s="1">
        <v>2.255959327401005E-2</v>
      </c>
      <c r="N9" s="1" t="s">
        <v>17</v>
      </c>
      <c r="O9" s="1">
        <v>2001</v>
      </c>
      <c r="P9" s="2">
        <v>2.768674496030514E-3</v>
      </c>
      <c r="Q9" s="1">
        <v>1E-4</v>
      </c>
      <c r="R9" s="1">
        <v>2000</v>
      </c>
      <c r="S9" s="1">
        <v>45.365838510814307</v>
      </c>
      <c r="T9" s="1">
        <v>1.014346875463896E-3</v>
      </c>
      <c r="U9" s="1">
        <v>23.647227810312671</v>
      </c>
      <c r="V9" s="1">
        <v>94.837460547568625</v>
      </c>
      <c r="W9" s="1">
        <v>90.116796808290914</v>
      </c>
      <c r="X9" s="1">
        <v>0.37346654397192092</v>
      </c>
      <c r="Y9" s="1">
        <v>75.353037157775518</v>
      </c>
    </row>
    <row r="10" spans="1:25" x14ac:dyDescent="0.3">
      <c r="A10">
        <v>18</v>
      </c>
      <c r="B10" t="s">
        <v>78</v>
      </c>
      <c r="C10">
        <v>137.2456064000726</v>
      </c>
      <c r="D10">
        <v>2.287426773334543</v>
      </c>
      <c r="E10" t="s">
        <v>79</v>
      </c>
      <c r="G10" t="s">
        <v>27</v>
      </c>
      <c r="H10" t="s">
        <v>80</v>
      </c>
      <c r="J10" t="s">
        <v>29</v>
      </c>
      <c r="K10">
        <v>2.9744386296727991E-2</v>
      </c>
      <c r="L10">
        <v>0</v>
      </c>
      <c r="M10">
        <v>2.9744386296727991E-2</v>
      </c>
      <c r="N10" t="s">
        <v>17</v>
      </c>
      <c r="O10">
        <v>65</v>
      </c>
      <c r="P10" s="3">
        <v>8.321131894363699E-5</v>
      </c>
      <c r="Q10">
        <v>1E-4</v>
      </c>
      <c r="R10">
        <v>2000</v>
      </c>
      <c r="S10">
        <v>93.896506085631117</v>
      </c>
      <c r="T10">
        <v>1.014346875463896E-3</v>
      </c>
      <c r="U10">
        <v>24.76698736643695</v>
      </c>
      <c r="V10">
        <v>94.837460547568625</v>
      </c>
      <c r="W10">
        <v>90.116796808290914</v>
      </c>
      <c r="X10">
        <v>0.38390491427201839</v>
      </c>
      <c r="Y10">
        <v>43.938066830601443</v>
      </c>
    </row>
    <row r="11" spans="1:25" x14ac:dyDescent="0.3">
      <c r="A11">
        <v>19</v>
      </c>
      <c r="B11" t="s">
        <v>81</v>
      </c>
      <c r="C11">
        <v>683.72521950001828</v>
      </c>
      <c r="D11">
        <v>11.395420325000311</v>
      </c>
      <c r="E11" t="s">
        <v>82</v>
      </c>
      <c r="G11" t="s">
        <v>27</v>
      </c>
      <c r="H11" t="s">
        <v>83</v>
      </c>
      <c r="J11" t="s">
        <v>29</v>
      </c>
      <c r="K11">
        <v>5.5478069820015907E-2</v>
      </c>
      <c r="L11">
        <v>0</v>
      </c>
      <c r="M11">
        <v>5.5478069820015907E-2</v>
      </c>
      <c r="N11" t="s">
        <v>17</v>
      </c>
      <c r="O11">
        <v>326</v>
      </c>
      <c r="P11" s="3">
        <v>9.8417229426635448E-5</v>
      </c>
      <c r="Q11">
        <v>1E-4</v>
      </c>
      <c r="R11">
        <v>2000</v>
      </c>
      <c r="S11">
        <v>91.532281268643089</v>
      </c>
      <c r="T11">
        <v>1.014346875463896E-3</v>
      </c>
      <c r="U11">
        <v>16.83322690124341</v>
      </c>
      <c r="V11">
        <v>94.837460547568625</v>
      </c>
      <c r="W11">
        <v>90.116796808290914</v>
      </c>
      <c r="X11">
        <v>0.34522048262543642</v>
      </c>
      <c r="Y11">
        <v>67.059440476960717</v>
      </c>
    </row>
    <row r="12" spans="1:25" x14ac:dyDescent="0.3">
      <c r="A12" s="1">
        <v>24</v>
      </c>
      <c r="B12" s="1" t="s">
        <v>96</v>
      </c>
      <c r="C12" s="1">
        <v>3875.3518846998918</v>
      </c>
      <c r="D12" s="1">
        <v>64.589198078331535</v>
      </c>
      <c r="E12" s="1" t="s">
        <v>97</v>
      </c>
      <c r="F12" s="1"/>
      <c r="G12" s="1" t="s">
        <v>27</v>
      </c>
      <c r="H12" s="1" t="s">
        <v>98</v>
      </c>
      <c r="I12" s="1"/>
      <c r="J12" s="1" t="s">
        <v>29</v>
      </c>
      <c r="K12" s="1">
        <v>5.7740419157178272E-2</v>
      </c>
      <c r="L12" s="1">
        <v>0</v>
      </c>
      <c r="M12" s="1">
        <v>5.7740419157178272E-2</v>
      </c>
      <c r="N12" s="1" t="s">
        <v>17</v>
      </c>
      <c r="O12" s="1">
        <v>2001</v>
      </c>
      <c r="P12" s="2">
        <v>3.4748989046410319E-3</v>
      </c>
      <c r="Q12" s="1">
        <v>1E-4</v>
      </c>
      <c r="R12" s="1">
        <v>2000</v>
      </c>
      <c r="S12" s="1">
        <v>80.628877408762094</v>
      </c>
      <c r="T12" s="1">
        <v>1.014346875463896E-3</v>
      </c>
      <c r="U12" s="1">
        <v>23.19635883124457</v>
      </c>
      <c r="V12" s="1">
        <v>94.837460547568625</v>
      </c>
      <c r="W12" s="1">
        <v>90.116796808290914</v>
      </c>
      <c r="X12" s="1">
        <v>0.36292826709219123</v>
      </c>
      <c r="Y12" s="1">
        <v>99.778429567451113</v>
      </c>
    </row>
    <row r="13" spans="1:25" x14ac:dyDescent="0.3">
      <c r="A13">
        <v>27</v>
      </c>
      <c r="B13" t="s">
        <v>105</v>
      </c>
      <c r="C13">
        <v>248.24590789992359</v>
      </c>
      <c r="D13">
        <v>4.1374317983320603</v>
      </c>
      <c r="E13" t="s">
        <v>106</v>
      </c>
      <c r="G13" t="s">
        <v>27</v>
      </c>
      <c r="H13" t="s">
        <v>107</v>
      </c>
      <c r="J13" t="s">
        <v>29</v>
      </c>
      <c r="K13">
        <v>5.408664919924637E-2</v>
      </c>
      <c r="L13">
        <v>0</v>
      </c>
      <c r="M13">
        <v>5.408664919924637E-2</v>
      </c>
      <c r="N13" t="s">
        <v>17</v>
      </c>
      <c r="O13">
        <v>124</v>
      </c>
      <c r="P13" s="3">
        <v>9.994359974118891E-5</v>
      </c>
      <c r="Q13">
        <v>1E-4</v>
      </c>
      <c r="R13">
        <v>2000</v>
      </c>
      <c r="S13">
        <v>95.709367054341911</v>
      </c>
      <c r="T13">
        <v>1.014346875463896E-3</v>
      </c>
      <c r="U13">
        <v>18.559732065692351</v>
      </c>
      <c r="V13">
        <v>94.837460547568625</v>
      </c>
      <c r="W13">
        <v>90.116796808290914</v>
      </c>
      <c r="X13">
        <v>0.34236606414265081</v>
      </c>
      <c r="Y13">
        <v>99.978741258937077</v>
      </c>
    </row>
    <row r="14" spans="1:25" x14ac:dyDescent="0.3">
      <c r="A14">
        <v>29</v>
      </c>
      <c r="B14" t="s">
        <v>111</v>
      </c>
      <c r="C14">
        <v>223.33067639986979</v>
      </c>
      <c r="D14">
        <v>3.722177939997831</v>
      </c>
      <c r="E14" t="s">
        <v>112</v>
      </c>
      <c r="G14" t="s">
        <v>27</v>
      </c>
      <c r="H14" t="s">
        <v>113</v>
      </c>
      <c r="J14" t="s">
        <v>29</v>
      </c>
      <c r="K14">
        <v>4.7766709409184857E-2</v>
      </c>
      <c r="L14">
        <v>0</v>
      </c>
      <c r="M14">
        <v>4.7766709409184857E-2</v>
      </c>
      <c r="N14" t="s">
        <v>17</v>
      </c>
      <c r="O14">
        <v>114</v>
      </c>
      <c r="P14" s="3">
        <v>9.9688826631704641E-5</v>
      </c>
      <c r="Q14">
        <v>1E-4</v>
      </c>
      <c r="R14">
        <v>2000</v>
      </c>
      <c r="S14">
        <v>92.638999665481279</v>
      </c>
      <c r="T14">
        <v>1.014346875463896E-3</v>
      </c>
      <c r="U14">
        <v>22.946526758692649</v>
      </c>
      <c r="V14">
        <v>94.837460547568625</v>
      </c>
      <c r="W14">
        <v>90.116796808290914</v>
      </c>
      <c r="X14">
        <v>0.33106701381523718</v>
      </c>
      <c r="Y14">
        <v>83.000473687608761</v>
      </c>
    </row>
    <row r="15" spans="1:25" x14ac:dyDescent="0.3">
      <c r="A15">
        <v>32</v>
      </c>
      <c r="B15" t="s">
        <v>120</v>
      </c>
      <c r="C15">
        <v>422.97234490001568</v>
      </c>
      <c r="D15">
        <v>7.0495390816669294</v>
      </c>
      <c r="E15" t="s">
        <v>121</v>
      </c>
      <c r="G15" t="s">
        <v>27</v>
      </c>
      <c r="H15" t="s">
        <v>122</v>
      </c>
      <c r="J15" t="s">
        <v>29</v>
      </c>
      <c r="K15">
        <v>3.5049655921136257E-2</v>
      </c>
      <c r="L15">
        <v>0</v>
      </c>
      <c r="M15">
        <v>3.5049655921136257E-2</v>
      </c>
      <c r="N15" t="s">
        <v>17</v>
      </c>
      <c r="O15">
        <v>210</v>
      </c>
      <c r="P15" s="3">
        <v>9.4430085463438358E-5</v>
      </c>
      <c r="Q15">
        <v>1E-4</v>
      </c>
      <c r="R15">
        <v>2000</v>
      </c>
      <c r="S15">
        <v>91.015520376505762</v>
      </c>
      <c r="T15">
        <v>1.014346875463896E-3</v>
      </c>
      <c r="U15">
        <v>27.483063326868269</v>
      </c>
      <c r="V15">
        <v>94.837460547568625</v>
      </c>
      <c r="W15">
        <v>90.116796808290914</v>
      </c>
      <c r="X15">
        <v>0.37140160787108872</v>
      </c>
      <c r="Y15">
        <v>45.684106933648977</v>
      </c>
    </row>
    <row r="16" spans="1:25" x14ac:dyDescent="0.3">
      <c r="A16">
        <v>35</v>
      </c>
      <c r="B16" t="s">
        <v>129</v>
      </c>
      <c r="C16">
        <v>1818.0411464998031</v>
      </c>
      <c r="D16">
        <v>30.300685774996719</v>
      </c>
      <c r="E16" t="s">
        <v>130</v>
      </c>
      <c r="G16" t="s">
        <v>27</v>
      </c>
      <c r="H16" t="s">
        <v>131</v>
      </c>
      <c r="J16" t="s">
        <v>29</v>
      </c>
      <c r="K16">
        <v>2.6396827864363929E-2</v>
      </c>
      <c r="L16">
        <v>0</v>
      </c>
      <c r="M16">
        <v>2.6396827864363929E-2</v>
      </c>
      <c r="N16" t="s">
        <v>17</v>
      </c>
      <c r="O16">
        <v>1032</v>
      </c>
      <c r="P16" s="3">
        <v>9.2419280650609507E-5</v>
      </c>
      <c r="Q16">
        <v>1E-4</v>
      </c>
      <c r="R16">
        <v>2000</v>
      </c>
      <c r="S16">
        <v>51.713945086934757</v>
      </c>
      <c r="T16">
        <v>1.014346875463896E-3</v>
      </c>
      <c r="U16">
        <v>20.64048144018928</v>
      </c>
      <c r="V16">
        <v>94.837460547568625</v>
      </c>
      <c r="W16">
        <v>90.116796808290914</v>
      </c>
      <c r="X16">
        <v>0.33549238973936141</v>
      </c>
      <c r="Y16">
        <v>70.325064206467403</v>
      </c>
    </row>
    <row r="17" spans="1:25" x14ac:dyDescent="0.3">
      <c r="A17">
        <v>36</v>
      </c>
      <c r="B17" t="s">
        <v>132</v>
      </c>
      <c r="C17">
        <v>1729.586340100039</v>
      </c>
      <c r="D17">
        <v>28.82643900166731</v>
      </c>
      <c r="E17" t="s">
        <v>133</v>
      </c>
      <c r="G17" t="s">
        <v>27</v>
      </c>
      <c r="H17" t="s">
        <v>134</v>
      </c>
      <c r="J17" t="s">
        <v>29</v>
      </c>
      <c r="K17">
        <v>3.0936518642834358E-2</v>
      </c>
      <c r="L17">
        <v>0</v>
      </c>
      <c r="M17">
        <v>3.0936518642834358E-2</v>
      </c>
      <c r="N17" t="s">
        <v>17</v>
      </c>
      <c r="O17">
        <v>947</v>
      </c>
      <c r="P17" s="3">
        <v>9.9845795807421551E-5</v>
      </c>
      <c r="Q17">
        <v>1E-4</v>
      </c>
      <c r="R17">
        <v>2000</v>
      </c>
      <c r="S17">
        <v>68.935411377471311</v>
      </c>
      <c r="T17">
        <v>1.014346875463896E-3</v>
      </c>
      <c r="U17">
        <v>16.132374793534449</v>
      </c>
      <c r="V17">
        <v>94.837460547568625</v>
      </c>
      <c r="W17">
        <v>90.116796808290914</v>
      </c>
      <c r="X17">
        <v>0.33755203810383488</v>
      </c>
      <c r="Y17">
        <v>75.099973774377389</v>
      </c>
    </row>
    <row r="18" spans="1:25" x14ac:dyDescent="0.3">
      <c r="A18">
        <v>40</v>
      </c>
      <c r="B18" t="s">
        <v>144</v>
      </c>
      <c r="C18">
        <v>230.79868120001629</v>
      </c>
      <c r="D18">
        <v>3.8466446866669379</v>
      </c>
      <c r="E18" t="s">
        <v>145</v>
      </c>
      <c r="G18" t="s">
        <v>27</v>
      </c>
      <c r="H18" t="s">
        <v>146</v>
      </c>
      <c r="J18" t="s">
        <v>29</v>
      </c>
      <c r="K18">
        <v>3.590621491009769E-2</v>
      </c>
      <c r="L18">
        <v>0</v>
      </c>
      <c r="M18">
        <v>3.590621491009769E-2</v>
      </c>
      <c r="N18" t="s">
        <v>17</v>
      </c>
      <c r="O18">
        <v>135</v>
      </c>
      <c r="P18" s="3">
        <v>9.4251457309611243E-5</v>
      </c>
      <c r="Q18">
        <v>1E-4</v>
      </c>
      <c r="R18">
        <v>2000</v>
      </c>
      <c r="S18">
        <v>64.089862670785806</v>
      </c>
      <c r="T18">
        <v>1.014346875463896E-3</v>
      </c>
      <c r="U18">
        <v>25.178590750527999</v>
      </c>
      <c r="V18">
        <v>94.837460547568625</v>
      </c>
      <c r="W18">
        <v>90.116796808290914</v>
      </c>
      <c r="X18">
        <v>0.37346832155932469</v>
      </c>
      <c r="Y18">
        <v>99.998052365628965</v>
      </c>
    </row>
    <row r="19" spans="1:25" x14ac:dyDescent="0.3">
      <c r="A19">
        <v>42</v>
      </c>
      <c r="B19" t="s">
        <v>150</v>
      </c>
      <c r="C19">
        <v>606.98825539997779</v>
      </c>
      <c r="D19">
        <v>10.11647092333296</v>
      </c>
      <c r="E19" t="s">
        <v>151</v>
      </c>
      <c r="G19" t="s">
        <v>27</v>
      </c>
      <c r="H19" t="s">
        <v>152</v>
      </c>
      <c r="J19" t="s">
        <v>29</v>
      </c>
      <c r="K19">
        <v>1.5719749444827711E-2</v>
      </c>
      <c r="L19">
        <v>0</v>
      </c>
      <c r="M19">
        <v>1.5719749444827711E-2</v>
      </c>
      <c r="N19" t="s">
        <v>17</v>
      </c>
      <c r="O19">
        <v>350</v>
      </c>
      <c r="P19" s="3">
        <v>9.4198186988540667E-5</v>
      </c>
      <c r="Q19">
        <v>1E-4</v>
      </c>
      <c r="R19">
        <v>2000</v>
      </c>
      <c r="S19">
        <v>62.222532494988997</v>
      </c>
      <c r="T19">
        <v>1.014346875463896E-3</v>
      </c>
      <c r="U19">
        <v>22.395512819960761</v>
      </c>
      <c r="V19">
        <v>94.837460547568625</v>
      </c>
      <c r="W19">
        <v>90.116796808290914</v>
      </c>
      <c r="X19">
        <v>0.36753539338202701</v>
      </c>
      <c r="Y19">
        <v>61.158832856266173</v>
      </c>
    </row>
    <row r="20" spans="1:25" x14ac:dyDescent="0.3">
      <c r="A20">
        <v>45</v>
      </c>
      <c r="B20" t="s">
        <v>159</v>
      </c>
      <c r="C20">
        <v>399.84227720019408</v>
      </c>
      <c r="D20">
        <v>6.6640379533365683</v>
      </c>
      <c r="E20" t="s">
        <v>160</v>
      </c>
      <c r="G20" t="s">
        <v>27</v>
      </c>
      <c r="H20" t="s">
        <v>161</v>
      </c>
      <c r="J20" t="s">
        <v>29</v>
      </c>
      <c r="K20">
        <v>4.5723604025450677E-2</v>
      </c>
      <c r="L20">
        <v>0</v>
      </c>
      <c r="M20">
        <v>4.5723604025450677E-2</v>
      </c>
      <c r="N20" t="s">
        <v>17</v>
      </c>
      <c r="O20">
        <v>197</v>
      </c>
      <c r="P20" s="3">
        <v>8.7725487752964623E-5</v>
      </c>
      <c r="Q20">
        <v>1E-4</v>
      </c>
      <c r="R20">
        <v>2000</v>
      </c>
      <c r="S20">
        <v>91.396688940105321</v>
      </c>
      <c r="T20">
        <v>1.014346875463896E-3</v>
      </c>
      <c r="U20">
        <v>19.675646729367131</v>
      </c>
      <c r="V20">
        <v>94.837460547568625</v>
      </c>
      <c r="W20">
        <v>90.116796808290914</v>
      </c>
      <c r="X20">
        <v>0.33676378901715798</v>
      </c>
      <c r="Y20">
        <v>93.782760103904053</v>
      </c>
    </row>
    <row r="21" spans="1:25" x14ac:dyDescent="0.3">
      <c r="A21">
        <v>47</v>
      </c>
      <c r="B21" t="s">
        <v>165</v>
      </c>
      <c r="C21">
        <v>1061.2206647999119</v>
      </c>
      <c r="D21">
        <v>17.687011079998531</v>
      </c>
      <c r="E21" t="s">
        <v>166</v>
      </c>
      <c r="G21" t="s">
        <v>27</v>
      </c>
      <c r="H21" t="s">
        <v>167</v>
      </c>
      <c r="J21" t="s">
        <v>29</v>
      </c>
      <c r="K21">
        <v>2.8869299046597401E-2</v>
      </c>
      <c r="L21">
        <v>0</v>
      </c>
      <c r="M21">
        <v>2.8869299046597401E-2</v>
      </c>
      <c r="N21" t="s">
        <v>17</v>
      </c>
      <c r="O21">
        <v>597</v>
      </c>
      <c r="P21" s="3">
        <v>9.8283503275609684E-5</v>
      </c>
      <c r="Q21">
        <v>1E-4</v>
      </c>
      <c r="R21">
        <v>2000</v>
      </c>
      <c r="S21">
        <v>72.835685226974135</v>
      </c>
      <c r="T21">
        <v>1.014346875463896E-3</v>
      </c>
      <c r="U21">
        <v>15.707697345397801</v>
      </c>
      <c r="V21">
        <v>94.837460547568625</v>
      </c>
      <c r="W21">
        <v>90.116796808290914</v>
      </c>
      <c r="X21">
        <v>0.36975824416387182</v>
      </c>
      <c r="Y21">
        <v>67.351261519539122</v>
      </c>
    </row>
    <row r="23" spans="1:25" x14ac:dyDescent="0.3">
      <c r="A23">
        <f>COUNT(A2:A21)</f>
        <v>20</v>
      </c>
      <c r="S23">
        <f>AVERAGE(S2:S21)</f>
        <v>77.18406506196996</v>
      </c>
      <c r="U23" s="3">
        <f t="shared" ref="T23:Y23" si="0">AVERAGE(U2:U21)</f>
        <v>22.808005015622324</v>
      </c>
      <c r="X23" s="4">
        <f t="shared" si="0"/>
        <v>0.36023140015010935</v>
      </c>
      <c r="Y23">
        <f t="shared" si="0"/>
        <v>80.396717060408079</v>
      </c>
    </row>
    <row r="24" spans="1:25" x14ac:dyDescent="0.3">
      <c r="S24">
        <f>MEDIAN(S2:S21)</f>
        <v>79.458705428928369</v>
      </c>
      <c r="U24">
        <f t="shared" ref="T24:Y24" si="1">MEDIAN(U2:U21)</f>
        <v>23.421793320778619</v>
      </c>
      <c r="X24">
        <f t="shared" si="1"/>
        <v>0.36490829199882396</v>
      </c>
      <c r="Y24">
        <f t="shared" si="1"/>
        <v>79.753528694090022</v>
      </c>
    </row>
    <row r="25" spans="1:25" x14ac:dyDescent="0.3">
      <c r="S25">
        <f>_xlfn.STDEV.S(S2:S21)</f>
        <v>16.641511404710901</v>
      </c>
      <c r="U25">
        <f>_xlfn.STDEV.S(U2:U21)</f>
        <v>4.0674934425002975</v>
      </c>
      <c r="X25">
        <f>_xlfn.STDEV.S(X2:X21)</f>
        <v>1.6636166897111161E-2</v>
      </c>
      <c r="Y25">
        <f>_xlfn.STDEV.S(Y2:Y21)</f>
        <v>18.40426749784238</v>
      </c>
    </row>
  </sheetData>
  <autoFilter ref="A1:Y1" xr:uid="{1E5089C5-2A3E-4B35-89BB-730FC51CF90C}">
    <sortState xmlns:xlrd2="http://schemas.microsoft.com/office/spreadsheetml/2017/richdata2" ref="A2:Y21">
      <sortCondition ref="A1"/>
    </sortState>
  </autoFilter>
  <conditionalFormatting sqref="M2:M20">
    <cfRule type="top10" dxfId="9" priority="7" percent="1" bottom="1" rank="10"/>
  </conditionalFormatting>
  <conditionalFormatting sqref="S2:S20">
    <cfRule type="top10" dxfId="8" priority="10" percent="1" bottom="1" rank="10"/>
    <cfRule type="top10" dxfId="7" priority="11" percent="1" rank="10"/>
    <cfRule type="top10" priority="12" bottom="1" rank="15"/>
  </conditionalFormatting>
  <conditionalFormatting sqref="U2:U20">
    <cfRule type="top10" dxfId="6" priority="8" percent="1" bottom="1" rank="10"/>
    <cfRule type="top10" dxfId="5" priority="9" rank="10"/>
  </conditionalFormatting>
  <conditionalFormatting sqref="M21">
    <cfRule type="top10" dxfId="4" priority="1" percent="1" bottom="1" rank="10"/>
  </conditionalFormatting>
  <conditionalFormatting sqref="S21">
    <cfRule type="top10" dxfId="3" priority="4" percent="1" bottom="1" rank="10"/>
    <cfRule type="top10" dxfId="2" priority="5" percent="1" rank="10"/>
    <cfRule type="top10" priority="6" bottom="1" rank="15"/>
  </conditionalFormatting>
  <conditionalFormatting sqref="U21">
    <cfRule type="top10" dxfId="1" priority="2" percent="1" bottom="1" rank="10"/>
    <cfRule type="top10" dxfId="0" priority="3" rank="1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resultados (2)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2026-05-12T06:26:52Z</dcterms:created>
  <dcterms:modified xsi:type="dcterms:W3CDTF">2026-05-12T15:07:31Z</dcterms:modified>
</cp:coreProperties>
</file>