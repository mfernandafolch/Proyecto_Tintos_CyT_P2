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resultados_cv_pymoo_100k_20260517_202040\"/>
    </mc:Choice>
  </mc:AlternateContent>
  <xr:revisionPtr revIDLastSave="0" documentId="13_ncr:1_{8D108D7A-6513-4781-BB93-316D4EA46F7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ltados" sheetId="1" r:id="rId1"/>
    <sheet name="resultados (2)" sheetId="4" r:id="rId2"/>
  </sheets>
  <definedNames>
    <definedName name="_xlchart.v1.0" hidden="1">'resultados (2)'!$U$1</definedName>
    <definedName name="_xlchart.v1.1" hidden="1">'resultados (2)'!$U$2:$U$6</definedName>
    <definedName name="_xlchart.v1.10" hidden="1">'resultados (2)'!$U$2:$U$6</definedName>
    <definedName name="_xlchart.v1.11" hidden="1">'resultados (2)'!$AC$1</definedName>
    <definedName name="_xlchart.v1.12" hidden="1">'resultados (2)'!$AC$2:$AC$6</definedName>
    <definedName name="_xlchart.v1.13" hidden="1">'resultados (2)'!$V$1</definedName>
    <definedName name="_xlchart.v1.14" hidden="1">'resultados (2)'!$V$2:$V$6</definedName>
    <definedName name="_xlchart.v1.15" hidden="1">'resultados (2)'!$AC$1</definedName>
    <definedName name="_xlchart.v1.16" hidden="1">'resultados (2)'!$AC$2:$AC$6</definedName>
    <definedName name="_xlchart.v1.17" hidden="1">'resultados (2)'!$AD$1</definedName>
    <definedName name="_xlchart.v1.18" hidden="1">'resultados (2)'!$AD$2:$AD$6</definedName>
    <definedName name="_xlchart.v1.19" hidden="1">'resultados (2)'!$AF$1</definedName>
    <definedName name="_xlchart.v1.2" hidden="1">'resultados (2)'!$V$1</definedName>
    <definedName name="_xlchart.v1.20" hidden="1">'resultados (2)'!$AF$2:$AF$6</definedName>
    <definedName name="_xlchart.v1.21" hidden="1">'resultados (2)'!$AD$1</definedName>
    <definedName name="_xlchart.v1.22" hidden="1">'resultados (2)'!$AD$2:$AD$6</definedName>
    <definedName name="_xlchart.v1.23" hidden="1">'resultados (2)'!$AF$1</definedName>
    <definedName name="_xlchart.v1.24" hidden="1">'resultados (2)'!$AF$2:$AF$6</definedName>
    <definedName name="_xlchart.v1.25" hidden="1">'resultados (2)'!$AF$1</definedName>
    <definedName name="_xlchart.v1.26" hidden="1">'resultados (2)'!$AF$2:$AF$6</definedName>
    <definedName name="_xlchart.v1.3" hidden="1">'resultados (2)'!$V$2:$V$6</definedName>
    <definedName name="_xlchart.v1.4" hidden="1">'resultados (2)'!$AB$19</definedName>
    <definedName name="_xlchart.v1.5" hidden="1">'resultados (2)'!$T$1</definedName>
    <definedName name="_xlchart.v1.6" hidden="1">'resultados (2)'!$T$2:$T$6</definedName>
    <definedName name="_xlchart.v1.7" hidden="1">'resultados (2)'!$T$1</definedName>
    <definedName name="_xlchart.v1.8" hidden="1">'resultados (2)'!$T$2:$T$6</definedName>
    <definedName name="_xlchart.v1.9" hidden="1">'resultados (2)'!$U$1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4" l="1"/>
  <c r="V11" i="4"/>
  <c r="AC11" i="4"/>
  <c r="AD11" i="4"/>
  <c r="AF11" i="4"/>
  <c r="AG11" i="4"/>
  <c r="T11" i="4"/>
  <c r="U10" i="4"/>
  <c r="V10" i="4"/>
  <c r="AC10" i="4"/>
  <c r="AD10" i="4"/>
  <c r="AF10" i="4"/>
  <c r="AG10" i="4"/>
  <c r="T10" i="4"/>
  <c r="U9" i="4"/>
  <c r="V9" i="4"/>
  <c r="AC9" i="4"/>
  <c r="AD9" i="4"/>
  <c r="AF9" i="4"/>
  <c r="AG9" i="4"/>
  <c r="T9" i="4"/>
</calcChain>
</file>

<file path=xl/sharedStrings.xml><?xml version="1.0" encoding="utf-8"?>
<sst xmlns="http://schemas.openxmlformats.org/spreadsheetml/2006/main" count="126" uniqueCount="50">
  <si>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</si>
  <si>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</si>
  <si>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</si>
  <si>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</si>
  <si>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</si>
  <si>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</si>
  <si>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</si>
  <si>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</si>
  <si>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</si>
  <si>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costo_validacion_promedio</t>
  </si>
  <si>
    <t>stop_reason</t>
  </si>
  <si>
    <t>stop_iteration</t>
  </si>
  <si>
    <t>final_ratio</t>
  </si>
  <si>
    <t>umbral_relativo</t>
  </si>
  <si>
    <t>max_epoch</t>
  </si>
  <si>
    <t>costo_val_id_3</t>
  </si>
  <si>
    <t>costo_val_id_4</t>
  </si>
  <si>
    <t>costo_val_id_11</t>
  </si>
  <si>
    <t>costo_val_id_14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</si>
  <si>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</si>
  <si>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</si>
  <si>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</si>
  <si>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</si>
  <si>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</si>
  <si>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</si>
  <si>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</si>
  <si>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</si>
  <si>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</si>
  <si>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</si>
  <si>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</si>
  <si>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</si>
  <si>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</si>
  <si>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</si>
  <si>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2026-05-17 22:59:42</t>
  </si>
  <si>
    <t>1,9,10,13,15</t>
  </si>
  <si>
    <t>3,4,11,14</t>
  </si>
  <si>
    <t>Data CS 24 EL BOLDO estanque 30.xlsx | Data ME 25 Q. AGUA estanque 85.xlsx | Data ME 24 QAGUA estanque 54.xlsx | Data CA 24 VAL estanque 31.xlsx | Data CA 24 VAL estanque 62.xlsx</t>
  </si>
  <si>
    <t>Data CS 25 EL BOLDO estanque 55.xlsx | Data CS 25 LOU estanque 61.xlsx | Data ME 25 AURORA + STA MARTA estanque 57.xlsx | Data CA 24 VAL estanque 59.xlsx</t>
  </si>
  <si>
    <t>2026-05-17 22:59:01</t>
  </si>
  <si>
    <t>1,2,8,15,16</t>
  </si>
  <si>
    <t>Data CS 24 EL BOLDO estanque 30.xlsx | Data CS 24 LOU estanque 54.xlsx | Data SY 25 LOU estanque 30.xlsx | Data CA 24 VAL estanque 62.xlsx | Data CA 25 F.N. estanque 68.xlsx</t>
  </si>
  <si>
    <t>2026-05-17 22:10:33</t>
  </si>
  <si>
    <t>1,6,8,13,15</t>
  </si>
  <si>
    <t>Data CS 24 EL BOLDO estanque 30.xlsx | Data SY 24 VAL+STARAQ estanque 56.xlsx | Data SY 25 LOU estanque 30.xlsx | Data CA 24 VAL estanque 31.xlsx | Data CA 24 VAL estanque 62.xlsx</t>
  </si>
  <si>
    <t>2026-05-17 23:47:41</t>
  </si>
  <si>
    <t>1,2,6,9,10</t>
  </si>
  <si>
    <t>Data CS 24 EL BOLDO estanque 30.xlsx | Data CS 24 LOU estanque 54.xlsx | Data SY 24 VAL+STARAQ estanque 56.xlsx | Data ME 25 Q. AGUA estanque 85.xlsx | Data ME 24 QAGUA estanque 54.xlsx</t>
  </si>
  <si>
    <t>2026-05-17 23:56:15</t>
  </si>
  <si>
    <t>1,2,9,12,15</t>
  </si>
  <si>
    <t>Data CS 24 EL BOLDO estanque 30.xlsx | Data CS 24 LOU estanque 54.xlsx | Data ME 25 Q. AGUA estanque 85.xlsx | Data ME 25 STA MARTA estanque 62.xlsx | Data CA 24 VAL estanque 62.xlsx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</si>
</sst>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00000001-1F43-4E76-BC59-57EB9CA276BD}">
          <cx:tx>
            <cx:txData>
              <cx:f>_xlchart.v1.5</cx:f>
              <cx:v>mu0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1BD7B904-7CBE-49FF-8C02-630F9C183BE8}">
          <cx:tx>
            <cx:txData>
              <cx:f>_xlchart.v1.9</cx:f>
              <cx:v>betaG0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05086034-2E49-412C-AAF7-53889EAF20EA}">
          <cx:tx>
            <cx:txData>
              <cx:f>_xlchart.v1.2</cx:f>
              <cx:v>betaF0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620E6B67-290B-4649-8137-621861DE2AB5}">
          <cx:tx>
            <cx:txData>
              <cx:f>_xlchart.v1.11</cx:f>
              <cx:v>Yxn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4D4B88F0-C6D4-4834-9D36-1F86091C79BC}">
          <cx:tx>
            <cx:txData>
              <cx:f>_xlchart.v1.17</cx:f>
              <cx:v>Yxg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965276B5-BCA8-4B5D-902A-B4394A0741E5}">
          <cx:tx>
            <cx:txData>
              <cx:f>_xlchart.v1.23</cx:f>
              <cx:v>Yeg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965276B5-BCA8-4B5D-902A-B4394A0741E5}">
          <cx:tx>
            <cx:txData>
              <cx:f>_xlchart.v1.25</cx:f>
              <cx:v>Yeg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11</xdr:row>
      <xdr:rowOff>87630</xdr:rowOff>
    </xdr:from>
    <xdr:to>
      <xdr:col>19</xdr:col>
      <xdr:colOff>472440</xdr:colOff>
      <xdr:row>26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477EC75-618E-7ECB-A533-0C72943020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7480" y="2099310"/>
              <a:ext cx="1737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502920</xdr:colOff>
      <xdr:row>11</xdr:row>
      <xdr:rowOff>99060</xdr:rowOff>
    </xdr:from>
    <xdr:to>
      <xdr:col>22</xdr:col>
      <xdr:colOff>411480</xdr:colOff>
      <xdr:row>26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5DF668E-75A3-49A9-BEB7-B83938DF7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5320" y="2110740"/>
              <a:ext cx="1737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457200</xdr:colOff>
      <xdr:row>11</xdr:row>
      <xdr:rowOff>114300</xdr:rowOff>
    </xdr:from>
    <xdr:to>
      <xdr:col>25</xdr:col>
      <xdr:colOff>365760</xdr:colOff>
      <xdr:row>26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DD2ACED-15CD-45CB-97DF-771D1D513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8400" y="2125980"/>
              <a:ext cx="1737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26</xdr:col>
      <xdr:colOff>83820</xdr:colOff>
      <xdr:row>11</xdr:row>
      <xdr:rowOff>91440</xdr:rowOff>
    </xdr:from>
    <xdr:to>
      <xdr:col>28</xdr:col>
      <xdr:colOff>601980</xdr:colOff>
      <xdr:row>26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B3C269E-3E51-4D6B-B902-F29AC94A4B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33420" y="2103120"/>
              <a:ext cx="1737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45720</xdr:colOff>
      <xdr:row>11</xdr:row>
      <xdr:rowOff>91440</xdr:rowOff>
    </xdr:from>
    <xdr:to>
      <xdr:col>31</xdr:col>
      <xdr:colOff>563880</xdr:colOff>
      <xdr:row>26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E2E4CA3-4846-484E-A0F1-4F4637303F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24120" y="2103120"/>
              <a:ext cx="1737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32</xdr:col>
      <xdr:colOff>22860</xdr:colOff>
      <xdr:row>11</xdr:row>
      <xdr:rowOff>91440</xdr:rowOff>
    </xdr:from>
    <xdr:to>
      <xdr:col>34</xdr:col>
      <xdr:colOff>541020</xdr:colOff>
      <xdr:row>26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58AAAB8-2741-4B64-927D-18553DAC4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30060" y="2103120"/>
              <a:ext cx="1737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15240</xdr:colOff>
      <xdr:row>11</xdr:row>
      <xdr:rowOff>91440</xdr:rowOff>
    </xdr:from>
    <xdr:to>
      <xdr:col>37</xdr:col>
      <xdr:colOff>533400</xdr:colOff>
      <xdr:row>26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FD501A5E-0E61-44F6-A587-A70113C7A3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51240" y="2103120"/>
              <a:ext cx="1737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workbookViewId="0"/>
  </sheetViews>
  <sheetFormatPr baseColWidth="10" defaultColWidth="8.88671875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t="s">
        <v>33</v>
      </c>
      <c r="C2">
        <v>9529.410186699999</v>
      </c>
      <c r="D2">
        <v>158.82350311166661</v>
      </c>
      <c r="E2" t="s">
        <v>34</v>
      </c>
      <c r="F2" t="s">
        <v>35</v>
      </c>
      <c r="G2" t="s">
        <v>36</v>
      </c>
      <c r="H2" t="s">
        <v>37</v>
      </c>
      <c r="I2">
        <v>1.8026027087604469E-2</v>
      </c>
      <c r="J2">
        <v>0</v>
      </c>
      <c r="K2" t="s">
        <v>14</v>
      </c>
      <c r="L2">
        <v>562</v>
      </c>
      <c r="M2">
        <v>9.4485871021247642E-5</v>
      </c>
      <c r="N2">
        <v>1E-4</v>
      </c>
      <c r="O2">
        <v>3000</v>
      </c>
      <c r="T2">
        <v>3.2450311025043317E-2</v>
      </c>
      <c r="U2">
        <v>8.7304948682419621</v>
      </c>
      <c r="V2">
        <v>1.7795640357876801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1.3344164415959541</v>
      </c>
      <c r="AD2">
        <v>0.47675338003262829</v>
      </c>
      <c r="AE2">
        <v>1.6426339999999999</v>
      </c>
      <c r="AF2">
        <v>0.51772819131656755</v>
      </c>
      <c r="AG2">
        <v>0.21477359583758929</v>
      </c>
    </row>
    <row r="3" spans="1:33" x14ac:dyDescent="0.3">
      <c r="A3">
        <v>2</v>
      </c>
      <c r="B3" t="s">
        <v>38</v>
      </c>
      <c r="C3">
        <v>9488.9972568000085</v>
      </c>
      <c r="D3">
        <v>158.14995428000009</v>
      </c>
      <c r="E3" t="s">
        <v>39</v>
      </c>
      <c r="F3" t="s">
        <v>35</v>
      </c>
      <c r="G3" t="s">
        <v>40</v>
      </c>
      <c r="H3" t="s">
        <v>37</v>
      </c>
      <c r="I3">
        <v>3.853900478996454E-2</v>
      </c>
      <c r="J3">
        <v>0</v>
      </c>
      <c r="K3" t="s">
        <v>14</v>
      </c>
      <c r="L3">
        <v>186</v>
      </c>
      <c r="M3">
        <v>9.3429006186023634E-5</v>
      </c>
      <c r="N3">
        <v>1E-4</v>
      </c>
      <c r="O3">
        <v>3000</v>
      </c>
      <c r="T3">
        <v>0.4728586975072363</v>
      </c>
      <c r="U3">
        <v>2.1215201919537101</v>
      </c>
      <c r="V3">
        <v>5.5218808146724481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1.845403430979339</v>
      </c>
      <c r="AD3">
        <v>0.99991864099470784</v>
      </c>
      <c r="AE3">
        <v>1.6426339999999999</v>
      </c>
      <c r="AF3">
        <v>0.68128029948604862</v>
      </c>
      <c r="AG3">
        <v>0.32928465490687953</v>
      </c>
    </row>
    <row r="4" spans="1:33" x14ac:dyDescent="0.3">
      <c r="A4">
        <v>3</v>
      </c>
      <c r="B4" t="s">
        <v>41</v>
      </c>
      <c r="C4">
        <v>6580.5577586999862</v>
      </c>
      <c r="D4">
        <v>109.6759626449998</v>
      </c>
      <c r="E4" t="s">
        <v>42</v>
      </c>
      <c r="F4" t="s">
        <v>35</v>
      </c>
      <c r="G4" t="s">
        <v>43</v>
      </c>
      <c r="H4" t="s">
        <v>37</v>
      </c>
      <c r="I4">
        <v>3.8128563582652257E-2</v>
      </c>
      <c r="J4">
        <v>0</v>
      </c>
      <c r="K4" t="s">
        <v>14</v>
      </c>
      <c r="L4">
        <v>330</v>
      </c>
      <c r="M4">
        <v>9.4658141884796271E-5</v>
      </c>
      <c r="N4">
        <v>1E-4</v>
      </c>
      <c r="O4">
        <v>3000</v>
      </c>
      <c r="T4">
        <v>0.2156197813273569</v>
      </c>
      <c r="U4">
        <v>1.539162215197361</v>
      </c>
      <c r="V4">
        <v>7.3405834481782044</v>
      </c>
      <c r="W4">
        <v>9.6469999999999993E-3</v>
      </c>
      <c r="X4">
        <v>8.5518540000000005</v>
      </c>
      <c r="Y4">
        <v>7.1656500000000003</v>
      </c>
      <c r="Z4">
        <v>44.150669999999998</v>
      </c>
      <c r="AA4">
        <v>42.528283999999999</v>
      </c>
      <c r="AB4">
        <v>1E-4</v>
      </c>
      <c r="AC4">
        <v>2.2289086849804138</v>
      </c>
      <c r="AD4">
        <v>0.96835797596591977</v>
      </c>
      <c r="AE4">
        <v>1.6426339999999999</v>
      </c>
      <c r="AF4">
        <v>0.44954803501212193</v>
      </c>
      <c r="AG4">
        <v>0.42163579738332052</v>
      </c>
    </row>
    <row r="5" spans="1:33" x14ac:dyDescent="0.3">
      <c r="A5">
        <v>4</v>
      </c>
      <c r="B5" t="s">
        <v>44</v>
      </c>
      <c r="C5">
        <v>12408.47875540002</v>
      </c>
      <c r="D5">
        <v>206.80797925666701</v>
      </c>
      <c r="E5" t="s">
        <v>45</v>
      </c>
      <c r="F5" t="s">
        <v>35</v>
      </c>
      <c r="G5" t="s">
        <v>46</v>
      </c>
      <c r="H5" t="s">
        <v>37</v>
      </c>
      <c r="I5">
        <v>2.7053295322586639E-2</v>
      </c>
      <c r="J5">
        <v>0</v>
      </c>
      <c r="K5" t="s">
        <v>14</v>
      </c>
      <c r="L5">
        <v>217</v>
      </c>
      <c r="M5">
        <v>9.3797172828260082E-5</v>
      </c>
      <c r="N5">
        <v>1E-4</v>
      </c>
      <c r="O5">
        <v>3000</v>
      </c>
      <c r="T5">
        <v>0.22676865532738319</v>
      </c>
      <c r="U5">
        <v>2.977142638003464</v>
      </c>
      <c r="V5">
        <v>0.48578060618523461</v>
      </c>
      <c r="W5">
        <v>9.6469999999999993E-3</v>
      </c>
      <c r="X5">
        <v>8.5518540000000005</v>
      </c>
      <c r="Y5">
        <v>7.1656500000000003</v>
      </c>
      <c r="Z5">
        <v>44.150669999999998</v>
      </c>
      <c r="AA5">
        <v>42.528283999999999</v>
      </c>
      <c r="AB5">
        <v>1E-4</v>
      </c>
      <c r="AC5">
        <v>3.5020236720922688</v>
      </c>
      <c r="AD5">
        <v>0.99971509281955062</v>
      </c>
      <c r="AE5">
        <v>1.6426339999999999</v>
      </c>
      <c r="AF5">
        <v>0.58113844706053652</v>
      </c>
      <c r="AG5">
        <v>0.18633869039632531</v>
      </c>
    </row>
    <row r="6" spans="1:33" x14ac:dyDescent="0.3">
      <c r="A6">
        <v>5</v>
      </c>
      <c r="B6" t="s">
        <v>47</v>
      </c>
      <c r="C6">
        <v>12922.862921600001</v>
      </c>
      <c r="D6">
        <v>215.3810486933333</v>
      </c>
      <c r="E6" t="s">
        <v>48</v>
      </c>
      <c r="F6" t="s">
        <v>35</v>
      </c>
      <c r="G6" t="s">
        <v>49</v>
      </c>
      <c r="H6" t="s">
        <v>37</v>
      </c>
      <c r="I6">
        <v>1.3606320218398429E-2</v>
      </c>
      <c r="J6">
        <v>0</v>
      </c>
      <c r="K6" t="s">
        <v>14</v>
      </c>
      <c r="L6">
        <v>136</v>
      </c>
      <c r="M6">
        <v>9.8399779378960679E-5</v>
      </c>
      <c r="N6">
        <v>1E-4</v>
      </c>
      <c r="O6">
        <v>3000</v>
      </c>
      <c r="T6">
        <v>6.472871915222754E-2</v>
      </c>
      <c r="U6">
        <v>3.9702093993711252</v>
      </c>
      <c r="V6">
        <v>1.180538637321028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1.7779311466140399</v>
      </c>
      <c r="AD6">
        <v>0.21868182914115469</v>
      </c>
      <c r="AE6">
        <v>1.6426339999999999</v>
      </c>
      <c r="AF6">
        <v>0.50789262577800998</v>
      </c>
      <c r="AG6">
        <v>0.24431553740673689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6486-C93B-498F-872D-97338EC0FEB8}">
  <dimension ref="A1:AG11"/>
  <sheetViews>
    <sheetView tabSelected="1" topLeftCell="O1" workbookViewId="0">
      <selection activeCell="Z8" sqref="Z8"/>
    </sheetView>
  </sheetViews>
  <sheetFormatPr baseColWidth="10" defaultColWidth="8.88671875" defaultRowHeight="14.4" x14ac:dyDescent="0.3"/>
  <cols>
    <col min="20" max="22" width="9.44140625" bestFit="1" customWidth="1"/>
    <col min="29" max="30" width="9.44140625" bestFit="1" customWidth="1"/>
    <col min="32" max="33" width="9.441406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t="s">
        <v>33</v>
      </c>
      <c r="C2">
        <v>9529.410186699999</v>
      </c>
      <c r="D2">
        <v>158.82350311166661</v>
      </c>
      <c r="E2" t="s">
        <v>34</v>
      </c>
      <c r="F2" t="s">
        <v>35</v>
      </c>
      <c r="G2" t="s">
        <v>36</v>
      </c>
      <c r="H2" t="s">
        <v>37</v>
      </c>
      <c r="I2">
        <v>1.8026027087604469E-2</v>
      </c>
      <c r="J2">
        <v>0</v>
      </c>
      <c r="K2" t="s">
        <v>14</v>
      </c>
      <c r="L2">
        <v>562</v>
      </c>
      <c r="M2">
        <v>9.4485871021247642E-5</v>
      </c>
      <c r="N2">
        <v>1E-4</v>
      </c>
      <c r="O2">
        <v>3000</v>
      </c>
      <c r="T2">
        <v>3.2450311025043317E-2</v>
      </c>
      <c r="U2">
        <v>8.7304948682419621</v>
      </c>
      <c r="V2">
        <v>1.7795640357876801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1.3344164415959541</v>
      </c>
      <c r="AD2">
        <v>0.47675338003262829</v>
      </c>
      <c r="AE2">
        <v>1.6426339999999999</v>
      </c>
      <c r="AF2">
        <v>0.51772819131656755</v>
      </c>
      <c r="AG2">
        <v>0.21477359583758929</v>
      </c>
    </row>
    <row r="3" spans="1:33" x14ac:dyDescent="0.3">
      <c r="A3">
        <v>2</v>
      </c>
      <c r="B3" t="s">
        <v>38</v>
      </c>
      <c r="C3">
        <v>9488.9972568000085</v>
      </c>
      <c r="D3">
        <v>158.14995428000009</v>
      </c>
      <c r="E3" t="s">
        <v>39</v>
      </c>
      <c r="F3" t="s">
        <v>35</v>
      </c>
      <c r="G3" t="s">
        <v>40</v>
      </c>
      <c r="H3" t="s">
        <v>37</v>
      </c>
      <c r="I3">
        <v>3.853900478996454E-2</v>
      </c>
      <c r="J3">
        <v>0</v>
      </c>
      <c r="K3" t="s">
        <v>14</v>
      </c>
      <c r="L3">
        <v>186</v>
      </c>
      <c r="M3">
        <v>9.3429006186023634E-5</v>
      </c>
      <c r="N3">
        <v>1E-4</v>
      </c>
      <c r="O3">
        <v>3000</v>
      </c>
      <c r="T3">
        <v>0.4728586975072363</v>
      </c>
      <c r="U3">
        <v>2.1215201919537101</v>
      </c>
      <c r="V3">
        <v>5.5218808146724481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1.845403430979339</v>
      </c>
      <c r="AD3">
        <v>0.99991864099470784</v>
      </c>
      <c r="AE3">
        <v>1.6426339999999999</v>
      </c>
      <c r="AF3">
        <v>0.68128029948604862</v>
      </c>
      <c r="AG3">
        <v>0.32928465490687953</v>
      </c>
    </row>
    <row r="4" spans="1:33" x14ac:dyDescent="0.3">
      <c r="A4">
        <v>3</v>
      </c>
      <c r="B4" t="s">
        <v>41</v>
      </c>
      <c r="C4">
        <v>6580.5577586999862</v>
      </c>
      <c r="D4">
        <v>109.6759626449998</v>
      </c>
      <c r="E4" t="s">
        <v>42</v>
      </c>
      <c r="F4" t="s">
        <v>35</v>
      </c>
      <c r="G4" t="s">
        <v>43</v>
      </c>
      <c r="H4" t="s">
        <v>37</v>
      </c>
      <c r="I4">
        <v>3.8128563582652257E-2</v>
      </c>
      <c r="J4">
        <v>0</v>
      </c>
      <c r="K4" t="s">
        <v>14</v>
      </c>
      <c r="L4">
        <v>330</v>
      </c>
      <c r="M4">
        <v>9.4658141884796271E-5</v>
      </c>
      <c r="N4">
        <v>1E-4</v>
      </c>
      <c r="O4">
        <v>3000</v>
      </c>
      <c r="T4">
        <v>0.2156197813273569</v>
      </c>
      <c r="U4">
        <v>1.539162215197361</v>
      </c>
      <c r="V4">
        <v>7.3405834481782044</v>
      </c>
      <c r="W4">
        <v>9.6469999999999993E-3</v>
      </c>
      <c r="X4">
        <v>8.5518540000000005</v>
      </c>
      <c r="Y4">
        <v>7.1656500000000003</v>
      </c>
      <c r="Z4">
        <v>44.150669999999998</v>
      </c>
      <c r="AA4">
        <v>42.528283999999999</v>
      </c>
      <c r="AB4">
        <v>1E-4</v>
      </c>
      <c r="AC4">
        <v>2.2289086849804138</v>
      </c>
      <c r="AD4">
        <v>0.96835797596591977</v>
      </c>
      <c r="AE4">
        <v>1.6426339999999999</v>
      </c>
      <c r="AF4">
        <v>0.44954803501212193</v>
      </c>
      <c r="AG4">
        <v>0.42163579738332052</v>
      </c>
    </row>
    <row r="5" spans="1:33" x14ac:dyDescent="0.3">
      <c r="A5">
        <v>4</v>
      </c>
      <c r="B5" t="s">
        <v>44</v>
      </c>
      <c r="C5">
        <v>12408.47875540002</v>
      </c>
      <c r="D5">
        <v>206.80797925666701</v>
      </c>
      <c r="E5" t="s">
        <v>45</v>
      </c>
      <c r="F5" t="s">
        <v>35</v>
      </c>
      <c r="G5" t="s">
        <v>46</v>
      </c>
      <c r="H5" t="s">
        <v>37</v>
      </c>
      <c r="I5">
        <v>2.7053295322586639E-2</v>
      </c>
      <c r="J5">
        <v>0</v>
      </c>
      <c r="K5" t="s">
        <v>14</v>
      </c>
      <c r="L5">
        <v>217</v>
      </c>
      <c r="M5">
        <v>9.3797172828260082E-5</v>
      </c>
      <c r="N5">
        <v>1E-4</v>
      </c>
      <c r="O5">
        <v>3000</v>
      </c>
      <c r="T5">
        <v>0.22676865532738319</v>
      </c>
      <c r="U5">
        <v>2.977142638003464</v>
      </c>
      <c r="V5">
        <v>0.48578060618523461</v>
      </c>
      <c r="W5">
        <v>9.6469999999999993E-3</v>
      </c>
      <c r="X5">
        <v>8.5518540000000005</v>
      </c>
      <c r="Y5">
        <v>7.1656500000000003</v>
      </c>
      <c r="Z5">
        <v>44.150669999999998</v>
      </c>
      <c r="AA5">
        <v>42.528283999999999</v>
      </c>
      <c r="AB5">
        <v>1E-4</v>
      </c>
      <c r="AC5">
        <v>3.5020236720922688</v>
      </c>
      <c r="AD5">
        <v>0.99971509281955062</v>
      </c>
      <c r="AE5">
        <v>1.6426339999999999</v>
      </c>
      <c r="AF5">
        <v>0.58113844706053652</v>
      </c>
      <c r="AG5">
        <v>0.18633869039632531</v>
      </c>
    </row>
    <row r="6" spans="1:33" x14ac:dyDescent="0.3">
      <c r="A6">
        <v>5</v>
      </c>
      <c r="B6" t="s">
        <v>47</v>
      </c>
      <c r="C6">
        <v>12922.862921600001</v>
      </c>
      <c r="D6">
        <v>215.3810486933333</v>
      </c>
      <c r="E6" t="s">
        <v>48</v>
      </c>
      <c r="F6" t="s">
        <v>35</v>
      </c>
      <c r="G6" t="s">
        <v>49</v>
      </c>
      <c r="H6" t="s">
        <v>37</v>
      </c>
      <c r="I6">
        <v>1.3606320218398429E-2</v>
      </c>
      <c r="J6">
        <v>0</v>
      </c>
      <c r="K6" t="s">
        <v>14</v>
      </c>
      <c r="L6">
        <v>136</v>
      </c>
      <c r="M6">
        <v>9.8399779378960679E-5</v>
      </c>
      <c r="N6">
        <v>1E-4</v>
      </c>
      <c r="O6">
        <v>3000</v>
      </c>
      <c r="T6">
        <v>6.472871915222754E-2</v>
      </c>
      <c r="U6">
        <v>3.9702093993711252</v>
      </c>
      <c r="V6">
        <v>1.180538637321028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1.7779311466140399</v>
      </c>
      <c r="AD6">
        <v>0.21868182914115469</v>
      </c>
      <c r="AE6">
        <v>1.6426339999999999</v>
      </c>
      <c r="AF6">
        <v>0.50789262577800998</v>
      </c>
      <c r="AG6">
        <v>0.24431553740673689</v>
      </c>
    </row>
    <row r="9" spans="1:33" x14ac:dyDescent="0.3">
      <c r="T9" s="1">
        <f>AVERAGE(T2:T6)</f>
        <v>0.20248523286784947</v>
      </c>
      <c r="U9" s="1">
        <f t="shared" ref="U9:AG9" si="0">AVERAGE(U2:U6)</f>
        <v>3.8677058625535246</v>
      </c>
      <c r="V9" s="1">
        <f t="shared" si="0"/>
        <v>3.2616695084289189</v>
      </c>
      <c r="W9" s="1"/>
      <c r="X9" s="1"/>
      <c r="Y9" s="1"/>
      <c r="Z9" s="1"/>
      <c r="AA9" s="1"/>
      <c r="AB9" s="1"/>
      <c r="AC9" s="1">
        <f t="shared" si="0"/>
        <v>2.1377366752524032</v>
      </c>
      <c r="AD9" s="1">
        <f t="shared" si="0"/>
        <v>0.73268538379079218</v>
      </c>
      <c r="AE9" s="1"/>
      <c r="AF9" s="1">
        <f t="shared" si="0"/>
        <v>0.54751751973065699</v>
      </c>
      <c r="AG9" s="1">
        <f t="shared" si="0"/>
        <v>0.27926965518617031</v>
      </c>
    </row>
    <row r="10" spans="1:33" x14ac:dyDescent="0.3">
      <c r="T10" s="1">
        <f>MEDIAN(T2:T7)</f>
        <v>0.2156197813273569</v>
      </c>
      <c r="U10" s="1">
        <f t="shared" ref="U10:AG10" si="1">MEDIAN(U2:U7)</f>
        <v>2.977142638003464</v>
      </c>
      <c r="V10" s="1">
        <f t="shared" si="1"/>
        <v>1.7795640357876801</v>
      </c>
      <c r="W10" s="1"/>
      <c r="X10" s="1"/>
      <c r="Y10" s="1"/>
      <c r="Z10" s="1"/>
      <c r="AA10" s="1"/>
      <c r="AB10" s="1"/>
      <c r="AC10" s="1">
        <f t="shared" si="1"/>
        <v>1.845403430979339</v>
      </c>
      <c r="AD10" s="1">
        <f t="shared" si="1"/>
        <v>0.96835797596591977</v>
      </c>
      <c r="AE10" s="1"/>
      <c r="AF10" s="1">
        <f t="shared" si="1"/>
        <v>0.51772819131656755</v>
      </c>
      <c r="AG10" s="1">
        <f t="shared" si="1"/>
        <v>0.24431553740673689</v>
      </c>
    </row>
    <row r="11" spans="1:33" x14ac:dyDescent="0.3">
      <c r="T11" s="1">
        <f>STDEVA(T2:T6)</f>
        <v>0.17446542857243996</v>
      </c>
      <c r="U11" s="1">
        <f t="shared" ref="U11:AG11" si="2">STDEVA(U2:U6)</f>
        <v>2.8688676624966658</v>
      </c>
      <c r="V11" s="1">
        <f t="shared" si="2"/>
        <v>2.9991413608340958</v>
      </c>
      <c r="W11" s="1"/>
      <c r="X11" s="1"/>
      <c r="Y11" s="1"/>
      <c r="Z11" s="1"/>
      <c r="AA11" s="1"/>
      <c r="AB11" s="1"/>
      <c r="AC11" s="1">
        <f t="shared" si="2"/>
        <v>0.82611038715355467</v>
      </c>
      <c r="AD11" s="1">
        <f t="shared" si="2"/>
        <v>0.36330458801894921</v>
      </c>
      <c r="AE11" s="1"/>
      <c r="AF11" s="1">
        <f t="shared" si="2"/>
        <v>8.8145340555452562E-2</v>
      </c>
      <c r="AG11" s="1">
        <f t="shared" si="2"/>
        <v>9.5900097600533377E-2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resultados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2026-05-18T03:56:16Z</dcterms:created>
  <dcterms:modified xsi:type="dcterms:W3CDTF">2026-05-18T12:21:59Z</dcterms:modified>
</cp:coreProperties>
</file>