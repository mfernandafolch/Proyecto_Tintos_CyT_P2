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oficiales\codigos_optimizacion\optimizacion_pymoo\resultados_cv_pymoo_100k_20260516_201720\"/>
    </mc:Choice>
  </mc:AlternateContent>
  <xr:revisionPtr revIDLastSave="0" documentId="13_ncr:1_{BE2193ED-D038-4B7F-AD69-C9D06860686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ltados" sheetId="1" r:id="rId1"/>
    <sheet name="resultados (2)" sheetId="3" r:id="rId2"/>
  </sheets>
  <definedNames>
    <definedName name="_xlnm._FilterDatabase" localSheetId="1" hidden="1">'resultados (2)'!$A$1:$AG$51</definedName>
    <definedName name="_xlchart.v1.0" hidden="1">'resultados (2)'!$T$1</definedName>
    <definedName name="_xlchart.v1.1" hidden="1">'resultados (2)'!$T$2:$T$51</definedName>
    <definedName name="_xlchart.v1.10" hidden="1">'resultados (2)'!$V$1</definedName>
    <definedName name="_xlchart.v1.11" hidden="1">'resultados (2)'!$V$2:$V$51</definedName>
    <definedName name="_xlchart.v1.12" hidden="1">'resultados (2)'!$AC$1</definedName>
    <definedName name="_xlchart.v1.13" hidden="1">'resultados (2)'!$AC$2:$AC$51</definedName>
    <definedName name="_xlchart.v1.14" hidden="1">'resultados (2)'!$AD$1</definedName>
    <definedName name="_xlchart.v1.15" hidden="1">'resultados (2)'!$AD$2:$AD$51</definedName>
    <definedName name="_xlchart.v1.16" hidden="1">'resultados (2)'!$AC$1</definedName>
    <definedName name="_xlchart.v1.17" hidden="1">'resultados (2)'!$AC$2:$AC$51</definedName>
    <definedName name="_xlchart.v1.18" hidden="1">'resultados (2)'!$V$1</definedName>
    <definedName name="_xlchart.v1.19" hidden="1">'resultados (2)'!$V$2:$V$51</definedName>
    <definedName name="_xlchart.v1.2" hidden="1">'resultados (2)'!$U$1</definedName>
    <definedName name="_xlchart.v1.20" hidden="1">'resultados (2)'!$AF$1</definedName>
    <definedName name="_xlchart.v1.21" hidden="1">'resultados (2)'!$AF$2:$AF$51</definedName>
    <definedName name="_xlchart.v1.22" hidden="1">'resultados (2)'!$AG$1</definedName>
    <definedName name="_xlchart.v1.23" hidden="1">'resultados (2)'!$AG$2:$AG$51</definedName>
    <definedName name="_xlchart.v1.24" hidden="1">'resultados (2)'!$AD$1</definedName>
    <definedName name="_xlchart.v1.25" hidden="1">'resultados (2)'!$AD$2:$AD$51</definedName>
    <definedName name="_xlchart.v1.26" hidden="1">'resultados (2)'!$AF$1</definedName>
    <definedName name="_xlchart.v1.27" hidden="1">'resultados (2)'!$AF$2:$AF$51</definedName>
    <definedName name="_xlchart.v1.3" hidden="1">'resultados (2)'!$U$2:$U$51</definedName>
    <definedName name="_xlchart.v1.4" hidden="1">'resultados (2)'!$T$1</definedName>
    <definedName name="_xlchart.v1.5" hidden="1">'resultados (2)'!$T$2:$T$51</definedName>
    <definedName name="_xlchart.v1.6" hidden="1">'resultados (2)'!$AF$1</definedName>
    <definedName name="_xlchart.v1.7" hidden="1">'resultados (2)'!$AF$2:$AF$51</definedName>
    <definedName name="_xlchart.v1.8" hidden="1">'resultados (2)'!$U$1</definedName>
    <definedName name="_xlchart.v1.9" hidden="1">'resultados (2)'!$U$2:$U$51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6" i="3" l="1"/>
  <c r="V56" i="3"/>
  <c r="AC56" i="3"/>
  <c r="AD56" i="3"/>
  <c r="AF56" i="3"/>
  <c r="AG56" i="3"/>
  <c r="T56" i="3"/>
  <c r="U55" i="3"/>
  <c r="V55" i="3"/>
  <c r="AC55" i="3"/>
  <c r="AD55" i="3"/>
  <c r="AF55" i="3"/>
  <c r="AG55" i="3"/>
  <c r="T55" i="3"/>
  <c r="U54" i="3"/>
  <c r="V54" i="3"/>
  <c r="AC54" i="3"/>
  <c r="AD54" i="3"/>
  <c r="AF54" i="3"/>
  <c r="AG54" i="3"/>
  <c r="T54" i="3"/>
</calcChain>
</file>

<file path=xl/sharedStrings.xml><?xml version="1.0" encoding="utf-8"?>
<sst xmlns="http://schemas.openxmlformats.org/spreadsheetml/2006/main" count="666" uniqueCount="185">
  <si>
    <t>iteracion</t>
  </si>
  <si>
    <t>hora_fin</t>
  </si>
  <si>
    <t>duracion_s</t>
  </si>
  <si>
    <t>duracion_min</t>
  </si>
  <si>
    <t>ids_ajuste</t>
  </si>
  <si>
    <t>ids_validacion</t>
  </si>
  <si>
    <t>nombres_ajuste</t>
  </si>
  <si>
    <t>nombres_validacion</t>
  </si>
  <si>
    <t>costo_ajuste</t>
  </si>
  <si>
    <t>costo_validacion_promedio</t>
  </si>
  <si>
    <t>stop_reason</t>
  </si>
  <si>
    <t>stop_iteration</t>
  </si>
  <si>
    <t>final_ratio</t>
  </si>
  <si>
    <t>umbral_relativo</t>
  </si>
  <si>
    <t>max_epoch</t>
  </si>
  <si>
    <t>costo_val_id_3</t>
  </si>
  <si>
    <t>costo_val_id_4</t>
  </si>
  <si>
    <t>costo_val_id_11</t>
  </si>
  <si>
    <t>costo_val_id_14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</si>
  <si>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</si>
  <si>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</si>
  <si>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</si>
  <si>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</si>
  <si>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</si>
  <si>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</si>
  <si>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</si>
  <si>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</si>
  <si>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</si>
  <si>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</si>
  <si>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</si>
  <si>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</si>
  <si>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</si>
  <si>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</si>
  <si>
    <t>2026-05-16 20:41:48</t>
  </si>
  <si>
    <t>1,7,12,13,15</t>
  </si>
  <si>
    <t>3,4,11,14</t>
  </si>
  <si>
    <t>Data CS 24 EL BOLDO estanque 30.xlsx | Data SY 24 LOU estanque 62.xlsx | Data ME 25 STA MARTA estanque 62.xlsx | Data CA 24 VAL estanque 31.xlsx | Data CA 24 VAL estanque 62.xlsx</t>
  </si>
  <si>
    <t>Data CS 25 EL BOLDO estanque 55.xlsx | Data CS 25 LOU estanque 61.xlsx | Data ME 25 AURORA + STA MARTA estanque 57.xlsx | Data CA 24 VAL estanque 59.xlsx</t>
  </si>
  <si>
    <t>2026-05-16 22:00:40</t>
  </si>
  <si>
    <t>5,7,9,12,13</t>
  </si>
  <si>
    <t>Data SY 24 LOU+VAL+FN estanque 36.xlsx | Data SY 24 LOU estanque 62.xlsx | Data ME 25 Q. AGUA estanque 85.xlsx | Data ME 25 STA MARTA estanque 62.xlsx | Data CA 24 VAL estanque 31.xlsx</t>
  </si>
  <si>
    <t>2026-05-16 21:19:11</t>
  </si>
  <si>
    <t>1,12,13,15,16</t>
  </si>
  <si>
    <t>Data CS 24 EL BOLDO estanque 30.xlsx | Data ME 25 STA MARTA estanque 62.xlsx | Data CA 24 VAL estanque 31.xlsx | Data CA 24 VAL estanque 62.xlsx | Data CA 25 F.N. estanque 68.xlsx</t>
  </si>
  <si>
    <t>2026-05-16 20:44:44</t>
  </si>
  <si>
    <t>2,5,6,9,12</t>
  </si>
  <si>
    <t>Data CS 24 LOU estanque 54.xlsx | Data SY 24 LOU+VAL+FN estanque 36.xlsx | Data SY 24 VAL+STARAQ estanque 56.xlsx | Data ME 25 Q. AGUA estanque 85.xlsx | Data ME 25 STA MARTA estanque 62.xlsx</t>
  </si>
  <si>
    <t>2026-05-17 01:42:24</t>
  </si>
  <si>
    <t>1,2,5,9,13</t>
  </si>
  <si>
    <t>Data CS 24 EL BOLDO estanque 30.xlsx | Data CS 24 LOU estanque 54.xlsx | Data SY 24 LOU+VAL+FN estanque 36.xlsx | Data ME 25 Q. AGUA estanque 85.xlsx | Data CA 24 VAL estanque 31.xlsx</t>
  </si>
  <si>
    <t>2026-05-16 20:53:53</t>
  </si>
  <si>
    <t>1,7,8,9,16</t>
  </si>
  <si>
    <t>Data CS 24 EL BOLDO estanque 30.xlsx | Data SY 24 LOU estanque 62.xlsx | Data SY 25 LOU estanque 30.xlsx | Data ME 25 Q. AGUA estanque 85.xlsx | Data CA 25 F.N. estanque 68.xlsx</t>
  </si>
  <si>
    <t>2026-05-16 21:13:17</t>
  </si>
  <si>
    <t>7,9,10,12,13</t>
  </si>
  <si>
    <t>Data SY 24 LOU estanque 62.xlsx | Data ME 25 Q. AGUA estanque 85.xlsx | Data ME 24 QAGUA estanque 54.xlsx | Data ME 25 STA MARTA estanque 62.xlsx | Data CA 24 VAL estanque 31.xlsx</t>
  </si>
  <si>
    <t>2026-05-16 21:21:54</t>
  </si>
  <si>
    <t>6,8,12,15,16</t>
  </si>
  <si>
    <t>Data SY 24 VAL+STARAQ estanque 56.xlsx | Data SY 25 LOU estanque 30.xlsx | Data ME 25 STA MARTA estanque 62.xlsx | Data CA 24 VAL estanque 62.xlsx | Data CA 25 F.N. estanque 68.xlsx</t>
  </si>
  <si>
    <t>2026-05-16 22:59:27</t>
  </si>
  <si>
    <t>2,5,8,12,16</t>
  </si>
  <si>
    <t>Data CS 24 LOU estanque 54.xlsx | Data SY 24 LOU+VAL+FN estanque 36.xlsx | Data SY 25 LOU estanque 30.xlsx | Data ME 25 STA MARTA estanque 62.xlsx | Data CA 25 F.N. estanque 68.xlsx</t>
  </si>
  <si>
    <t>2026-05-16 21:26:41</t>
  </si>
  <si>
    <t>1,6,8,9,16</t>
  </si>
  <si>
    <t>Data CS 24 EL BOLDO estanque 30.xlsx | Data SY 24 VAL+STARAQ estanque 56.xlsx | Data SY 25 LOU estanque 30.xlsx | Data ME 25 Q. AGUA estanque 85.xlsx | Data CA 25 F.N. estanque 68.xlsx</t>
  </si>
  <si>
    <t>2026-05-16 22:11:35</t>
  </si>
  <si>
    <t>2,5,10,13,16</t>
  </si>
  <si>
    <t>Data CS 24 LOU estanque 54.xlsx | Data SY 24 LOU+VAL+FN estanque 36.xlsx | Data ME 24 QAGUA estanque 54.xlsx | Data CA 24 VAL estanque 31.xlsx | Data CA 25 F.N. estanque 68.xlsx</t>
  </si>
  <si>
    <t>2026-05-17 01:24:27</t>
  </si>
  <si>
    <t>5,7,8,12,13</t>
  </si>
  <si>
    <t>Data SY 24 LOU+VAL+FN estanque 36.xlsx | Data SY 24 LOU estanque 62.xlsx | Data SY 25 LOU estanque 30.xlsx | Data ME 25 STA MARTA estanque 62.xlsx | Data CA 24 VAL estanque 31.xlsx</t>
  </si>
  <si>
    <t>2026-05-16 22:12:40</t>
  </si>
  <si>
    <t>2,5,6,12,15</t>
  </si>
  <si>
    <t>Data CS 24 LOU estanque 54.xlsx | Data SY 24 LOU+VAL+FN estanque 36.xlsx | Data SY 24 VAL+STARAQ estanque 56.xlsx | Data ME 25 STA MARTA estanque 62.xlsx | Data CA 24 VAL estanque 62.xlsx</t>
  </si>
  <si>
    <t>2026-05-16 23:02:13</t>
  </si>
  <si>
    <t>1,6,10,12,16</t>
  </si>
  <si>
    <t>Data CS 24 EL BOLDO estanque 30.xlsx | Data SY 24 VAL+STARAQ estanque 56.xlsx | Data ME 24 QAGUA estanque 54.xlsx | Data ME 25 STA MARTA estanque 62.xlsx | Data CA 25 F.N. estanque 68.xlsx</t>
  </si>
  <si>
    <t>2026-05-17 00:23:30</t>
  </si>
  <si>
    <t>1,5,7,9,12</t>
  </si>
  <si>
    <t>Data CS 24 EL BOLDO estanque 30.xlsx | Data SY 24 LOU+VAL+FN estanque 36.xlsx | Data SY 24 LOU estanque 62.xlsx | Data ME 25 Q. AGUA estanque 85.xlsx | Data ME 25 STA MARTA estanque 62.xlsx</t>
  </si>
  <si>
    <t>2026-05-16 23:17:04</t>
  </si>
  <si>
    <t>1,2,6,13,16</t>
  </si>
  <si>
    <t>Data CS 24 EL BOLDO estanque 30.xlsx | Data CS 24 LOU estanque 54.xlsx | Data SY 24 VAL+STARAQ estanque 56.xlsx | Data CA 24 VAL estanque 31.xlsx | Data CA 25 F.N. estanque 68.xlsx</t>
  </si>
  <si>
    <t>2026-05-17 04:00:11</t>
  </si>
  <si>
    <t>1,2,6,9,12</t>
  </si>
  <si>
    <t>Data CS 24 EL BOLDO estanque 30.xlsx | Data CS 24 LOU estanque 54.xlsx | Data SY 24 VAL+STARAQ estanque 56.xlsx | Data ME 25 Q. AGUA estanque 85.xlsx | Data ME 25 STA MARTA estanque 62.xlsx</t>
  </si>
  <si>
    <t>2026-05-16 23:53:10</t>
  </si>
  <si>
    <t>1,2,9,10,13</t>
  </si>
  <si>
    <t>Data CS 24 EL BOLDO estanque 30.xlsx | Data CS 24 LOU estanque 54.xlsx | Data ME 25 Q. AGUA estanque 85.xlsx | Data ME 24 QAGUA estanque 54.xlsx | Data CA 24 VAL estanque 31.xlsx</t>
  </si>
  <si>
    <t>2026-05-17 00:01:56</t>
  </si>
  <si>
    <t>5,6,7,8,12</t>
  </si>
  <si>
    <t>Data SY 24 LOU+VAL+FN estanque 36.xlsx | Data SY 24 VAL+STARAQ estanque 56.xlsx | Data SY 24 LOU estanque 62.xlsx | Data SY 25 LOU estanque 30.xlsx | Data ME 25 STA MARTA estanque 62.xlsx</t>
  </si>
  <si>
    <t>2026-05-17 01:40:28</t>
  </si>
  <si>
    <t>1,5,6,10,16</t>
  </si>
  <si>
    <t>Data CS 24 EL BOLDO estanque 30.xlsx | Data SY 24 LOU+VAL+FN estanque 36.xlsx | Data SY 24 VAL+STARAQ estanque 56.xlsx | Data ME 24 QAGUA estanque 54.xlsx | Data CA 25 F.N. estanque 68.xlsx</t>
  </si>
  <si>
    <t>2026-05-17 01:50:17</t>
  </si>
  <si>
    <t>1,2,5,7,15</t>
  </si>
  <si>
    <t>Data CS 24 EL BOLDO estanque 30.xlsx | Data CS 24 LOU estanque 54.xlsx | Data SY 24 LOU+VAL+FN estanque 36.xlsx | Data SY 24 LOU estanque 62.xlsx | Data CA 24 VAL estanque 62.xlsx</t>
  </si>
  <si>
    <t>2026-05-17 01:56:14</t>
  </si>
  <si>
    <t>2,8,12,13,15</t>
  </si>
  <si>
    <t>Data CS 24 LOU estanque 54.xlsx | Data SY 25 LOU estanque 30.xlsx | Data ME 25 STA MARTA estanque 62.xlsx | Data CA 24 VAL estanque 31.xlsx | Data CA 24 VAL estanque 62.xlsx</t>
  </si>
  <si>
    <t>2026-05-17 02:10:52</t>
  </si>
  <si>
    <t>5,6,7,15,16</t>
  </si>
  <si>
    <t>Data SY 24 LOU+VAL+FN estanque 36.xlsx | Data SY 24 VAL+STARAQ estanque 56.xlsx | Data SY 24 LOU estanque 62.xlsx | Data CA 24 VAL estanque 62.xlsx | Data CA 25 F.N. estanque 68.xlsx</t>
  </si>
  <si>
    <t>2026-05-17 01:53:04</t>
  </si>
  <si>
    <t>5,8,10,12,16</t>
  </si>
  <si>
    <t>Data SY 24 LOU+VAL+FN estanque 36.xlsx | Data SY 25 LOU estanque 30.xlsx | Data ME 24 QAGUA estanque 54.xlsx | Data ME 25 STA MARTA estanque 62.xlsx | Data CA 25 F.N. estanque 68.xlsx</t>
  </si>
  <si>
    <t>2026-05-17 03:21:41</t>
  </si>
  <si>
    <t>2,5,6,7,13</t>
  </si>
  <si>
    <t>Data CS 24 LOU estanque 54.xlsx | Data SY 24 LOU+VAL+FN estanque 36.xlsx | Data SY 24 VAL+STARAQ estanque 56.xlsx | Data SY 24 LOU estanque 62.xlsx | Data CA 24 VAL estanque 31.xlsx</t>
  </si>
  <si>
    <t>2026-05-17 05:32:26</t>
  </si>
  <si>
    <t>1,6,10,13,15</t>
  </si>
  <si>
    <t>Data CS 24 EL BOLDO estanque 30.xlsx | Data SY 24 VAL+STARAQ estanque 56.xlsx | Data ME 24 QAGUA estanque 54.xlsx | Data CA 24 VAL estanque 31.xlsx | Data CA 24 VAL estanque 62.xlsx</t>
  </si>
  <si>
    <t>2026-05-17 02:33:47</t>
  </si>
  <si>
    <t>7,9,10,12,15</t>
  </si>
  <si>
    <t>Data SY 24 LOU estanque 62.xlsx | Data ME 25 Q. AGUA estanque 85.xlsx | Data ME 24 QAGUA estanque 54.xlsx | Data ME 25 STA MARTA estanque 62.xlsx | Data CA 24 VAL estanque 62.xlsx</t>
  </si>
  <si>
    <t>2026-05-17 02:50:57</t>
  </si>
  <si>
    <t>2,5,12,15,16</t>
  </si>
  <si>
    <t>Data CS 24 LOU estanque 54.xlsx | Data SY 24 LOU+VAL+FN estanque 36.xlsx | Data ME 25 STA MARTA estanque 62.xlsx | Data CA 24 VAL estanque 62.xlsx | Data CA 25 F.N. estanque 68.xlsx</t>
  </si>
  <si>
    <t>2026-05-17 03:04:25</t>
  </si>
  <si>
    <t>1,2,10,12,16</t>
  </si>
  <si>
    <t>Data CS 24 EL BOLDO estanque 30.xlsx | Data CS 24 LOU estanque 54.xlsx | Data ME 24 QAGUA estanque 54.xlsx | Data ME 25 STA MARTA estanque 62.xlsx | Data CA 25 F.N. estanque 68.xlsx</t>
  </si>
  <si>
    <t>2026-05-17 03:04:51</t>
  </si>
  <si>
    <t>1,2,7,8,16</t>
  </si>
  <si>
    <t>Data CS 24 EL BOLDO estanque 30.xlsx | Data CS 24 LOU estanque 54.xlsx | Data SY 24 LOU estanque 62.xlsx | Data SY 25 LOU estanque 30.xlsx | Data CA 25 F.N. estanque 68.xlsx</t>
  </si>
  <si>
    <t>2026-05-17 03:36:50</t>
  </si>
  <si>
    <t>6,7,10,12,16</t>
  </si>
  <si>
    <t>Data SY 24 VAL+STARAQ estanque 56.xlsx | Data SY 24 LOU estanque 62.xlsx | Data ME 24 QAGUA estanque 54.xlsx | Data ME 25 STA MARTA estanque 62.xlsx | Data CA 25 F.N. estanque 68.xlsx</t>
  </si>
  <si>
    <t>2026-05-17 03:31:48</t>
  </si>
  <si>
    <t>1,6,7,12,13</t>
  </si>
  <si>
    <t>Data CS 24 EL BOLDO estanque 30.xlsx | Data SY 24 VAL+STARAQ estanque 56.xlsx | Data SY 24 LOU estanque 62.xlsx | Data ME 25 STA MARTA estanque 62.xlsx | Data CA 24 VAL estanque 31.xlsx</t>
  </si>
  <si>
    <t>2026-05-17 03:39:51</t>
  </si>
  <si>
    <t>7,8,9,12,13</t>
  </si>
  <si>
    <t>Data SY 24 LOU estanque 62.xlsx | Data SY 25 LOU estanque 30.xlsx | Data ME 25 Q. AGUA estanque 85.xlsx | Data ME 25 STA MARTA estanque 62.xlsx | Data CA 24 VAL estanque 31.xlsx</t>
  </si>
  <si>
    <t>2026-05-17 03:55:52</t>
  </si>
  <si>
    <t>6,7,10,12,15</t>
  </si>
  <si>
    <t>Data SY 24 VAL+STARAQ estanque 56.xlsx | Data SY 24 LOU estanque 62.xlsx | Data ME 24 QAGUA estanque 54.xlsx | Data ME 25 STA MARTA estanque 62.xlsx | Data CA 24 VAL estanque 62.xlsx</t>
  </si>
  <si>
    <t>2026-05-17 04:57:08</t>
  </si>
  <si>
    <t>2,7,8,10,13</t>
  </si>
  <si>
    <t>Data CS 24 LOU estanque 54.xlsx | Data SY 24 LOU estanque 62.xlsx | Data SY 25 LOU estanque 30.xlsx | Data ME 24 QAGUA estanque 54.xlsx | Data CA 24 VAL estanque 31.xlsx</t>
  </si>
  <si>
    <t>2026-05-17 03:53:48</t>
  </si>
  <si>
    <t>7,8,10,15,16</t>
  </si>
  <si>
    <t>Data SY 24 LOU estanque 62.xlsx | Data SY 25 LOU estanque 30.xlsx | Data ME 24 QAGUA estanque 54.xlsx | Data CA 24 VAL estanque 62.xlsx | Data CA 25 F.N. estanque 68.xlsx</t>
  </si>
  <si>
    <t>2026-05-17 04:00:26</t>
  </si>
  <si>
    <t>1,8,9,12,13</t>
  </si>
  <si>
    <t>Data CS 24 EL BOLDO estanque 30.xlsx | Data SY 25 LOU estanque 30.xlsx | Data ME 25 Q. AGUA estanque 85.xlsx | Data ME 25 STA MARTA estanque 62.xlsx | Data CA 24 VAL estanque 31.xlsx</t>
  </si>
  <si>
    <t>2026-05-17 04:38:13</t>
  </si>
  <si>
    <t>1,5,6,7,9</t>
  </si>
  <si>
    <t>Data CS 24 EL BOLDO estanque 30.xlsx | Data SY 24 LOU+VAL+FN estanque 36.xlsx | Data SY 24 VAL+STARAQ estanque 56.xlsx | Data SY 24 LOU estanque 62.xlsx | Data ME 25 Q. AGUA estanque 85.xlsx</t>
  </si>
  <si>
    <t>2026-05-17 05:23:19</t>
  </si>
  <si>
    <t>5,7,10,12,16</t>
  </si>
  <si>
    <t>Data SY 24 LOU+VAL+FN estanque 36.xlsx | Data SY 24 LOU estanque 62.xlsx | Data ME 24 QAGUA estanque 54.xlsx | Data ME 25 STA MARTA estanque 62.xlsx | Data CA 25 F.N. estanque 68.xlsx</t>
  </si>
  <si>
    <t>2026-05-17 09:05:30</t>
  </si>
  <si>
    <t>1,2,5,10,13</t>
  </si>
  <si>
    <t>Data CS 24 EL BOLDO estanque 30.xlsx | Data CS 24 LOU estanque 54.xlsx | Data SY 24 LOU+VAL+FN estanque 36.xlsx | Data ME 24 QAGUA estanque 54.xlsx | Data CA 24 VAL estanque 31.xlsx</t>
  </si>
  <si>
    <t>2026-05-17 05:26:42</t>
  </si>
  <si>
    <t>7,9,10,13,15</t>
  </si>
  <si>
    <t>Data SY 24 LOU estanque 62.xlsx | Data ME 25 Q. AGUA estanque 85.xlsx | Data ME 24 QAGUA estanque 54.xlsx | Data CA 24 VAL estanque 31.xlsx | Data CA 24 VAL estanque 62.xlsx</t>
  </si>
  <si>
    <t>2026-05-17 07:00:57</t>
  </si>
  <si>
    <t>6,8,9,12,16</t>
  </si>
  <si>
    <t>Data SY 24 VAL+STARAQ estanque 56.xlsx | Data SY 25 LOU estanque 30.xlsx | Data ME 25 Q. AGUA estanque 85.xlsx | Data ME 25 STA MARTA estanque 62.xlsx | Data CA 25 F.N. estanque 68.xlsx</t>
  </si>
  <si>
    <t>2026-05-17 05:42:15</t>
  </si>
  <si>
    <t>2,6,7,8,9</t>
  </si>
  <si>
    <t>Data CS 24 LOU estanque 54.xlsx | Data SY 24 VAL+STARAQ estanque 56.xlsx | Data SY 24 LOU estanque 62.xlsx | Data SY 25 LOU estanque 30.xlsx | Data ME 25 Q. AGUA estanque 85.xlsx</t>
  </si>
  <si>
    <t>2026-05-17 06:31:46</t>
  </si>
  <si>
    <t>2,5,6,8,13</t>
  </si>
  <si>
    <t>Data CS 24 LOU estanque 54.xlsx | Data SY 24 LOU+VAL+FN estanque 36.xlsx | Data SY 24 VAL+STARAQ estanque 56.xlsx | Data SY 25 LOU estanque 30.xlsx | Data CA 24 VAL estanque 31.xlsx</t>
  </si>
  <si>
    <t>2026-05-17 07:39:16</t>
  </si>
  <si>
    <t>1,7,13,15,16</t>
  </si>
  <si>
    <t>Data CS 24 EL BOLDO estanque 30.xlsx | Data SY 24 LOU estanque 62.xlsx | Data CA 24 VAL estanque 31.xlsx | Data CA 24 VAL estanque 62.xlsx | Data CA 25 F.N. estanque 68.xlsx</t>
  </si>
  <si>
    <t>2026-05-17 05:58:06</t>
  </si>
  <si>
    <t>5,6,9,12,16</t>
  </si>
  <si>
    <t>Data SY 24 LOU+VAL+FN estanque 36.xlsx | Data SY 24 VAL+STARAQ estanque 56.xlsx | Data ME 25 Q. AGUA estanque 85.xlsx | Data ME 25 STA MARTA estanque 62.xlsx | Data CA 25 F.N. estanque 68.xlsx</t>
  </si>
  <si>
    <t>2026-05-17 09:11:27</t>
  </si>
  <si>
    <t>7,8,10,13,16</t>
  </si>
  <si>
    <t>Data SY 24 LOU estanque 62.xlsx | Data SY 25 LOU estanque 30.xlsx | Data ME 24 QAGUA estanque 54.xlsx | Data CA 24 VAL estanque 31.xlsx | Data CA 25 F.N. estanque 68.xlsx</t>
  </si>
  <si>
    <t>2026-05-17 06:55:22</t>
  </si>
  <si>
    <t>1,6,7,9,12</t>
  </si>
  <si>
    <t>Data CS 24 EL BOLDO estanque 30.xlsx | Data SY 24 VAL+STARAQ estanque 56.xlsx | Data SY 24 LOU estanque 62.xlsx | Data ME 25 Q. AGUA estanque 85.xlsx | Data ME 25 STA MARTA estanque 62.xlsx</t>
  </si>
  <si>
    <t>2026-05-17 07:26:29</t>
  </si>
  <si>
    <t>2,5,7,8,16</t>
  </si>
  <si>
    <t>Data CS 24 LOU estanque 54.xlsx | Data SY 24 LOU+VAL+FN estanque 36.xlsx | Data SY 24 LOU estanque 62.xlsx | Data SY 25 LOU estanque 30.xlsx | Data CA 25 F.N. estanque 68.xlsx</t>
  </si>
  <si>
    <t>2026-05-17 10:51:28</t>
  </si>
  <si>
    <t>2,5,7,10,13</t>
  </si>
  <si>
    <t>Data CS 24 LOU estanque 54.xlsx | Data SY 24 LOU+VAL+FN estanque 36.xlsx | Data SY 24 LOU estanque 62.xlsx | Data ME 24 QAGUA estanque 54.xlsx | Data CA 24 VAL estanque 31.xlsx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</si>
</sst>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mu0</a:t>
          </a:r>
        </a:p>
      </cx:txPr>
    </cx:title>
    <cx:plotArea>
      <cx:plotAreaRegion>
        <cx:series layoutId="boxWhisker" uniqueId="{201BAB77-F272-4204-A093-CC008EE6BDF3}">
          <cx:tx>
            <cx:txData>
              <cx:f>_xlchart.v1.4</cx:f>
              <cx:v>mu0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betaG0</a:t>
          </a:r>
        </a:p>
      </cx:txPr>
    </cx:title>
    <cx:plotArea>
      <cx:plotAreaRegion>
        <cx:series layoutId="boxWhisker" uniqueId="{5CB198EA-666C-45D1-824E-B268707E7DEE}">
          <cx:tx>
            <cx:txData>
              <cx:f>_xlchart.v1.2</cx:f>
              <cx:v>betaG0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.5" min="2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betaF0</a:t>
          </a:r>
        </a:p>
      </cx:txPr>
    </cx:title>
    <cx:plotArea>
      <cx:plotAreaRegion>
        <cx:series layoutId="boxWhisker" uniqueId="{EFDFC199-A301-4A8E-9CC6-BBFD543A2465}">
          <cx:tx>
            <cx:txData>
              <cx:f>_xlchart.v1.10</cx:f>
              <cx:v>betaF0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5.5" min="2"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Yxn</a:t>
          </a:r>
        </a:p>
      </cx:txPr>
    </cx:title>
    <cx:plotArea>
      <cx:plotAreaRegion>
        <cx:series layoutId="boxWhisker" uniqueId="{BA4F4DF2-E1EB-4BD7-907B-937F55CB6540}">
          <cx:tx>
            <cx:txData>
              <cx:f>_xlchart.v1.16</cx:f>
              <cx:v>Yxn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.5" min="0"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Yxg</a:t>
          </a:r>
        </a:p>
      </cx:txPr>
    </cx:title>
    <cx:plotArea>
      <cx:plotAreaRegion>
        <cx:series layoutId="boxWhisker" uniqueId="{BD1FAD29-D495-4F0E-95EF-911CE49F7312}">
          <cx:tx>
            <cx:txData>
              <cx:f>_xlchart.v1.14</cx:f>
              <cx:v>Yxg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" min="0"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Yeg</a:t>
          </a:r>
        </a:p>
      </cx:txPr>
    </cx:title>
    <cx:plotArea>
      <cx:plotAreaRegion>
        <cx:series layoutId="boxWhisker" uniqueId="{ADD9A8FC-A0B4-4244-9C3E-011D637A80AB}">
          <cx:tx>
            <cx:txData>
              <cx:f>_xlchart.v1.26</cx:f>
              <cx:v>Yeg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70000000000000007" min="0.30000000000000004"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Yef</a:t>
          </a:r>
        </a:p>
      </cx:txPr>
    </cx:title>
    <cx:plotArea>
      <cx:plotAreaRegion>
        <cx:series layoutId="boxWhisker" uniqueId="{9306AA6E-3236-4AB9-B4A9-EDF98E211103}">
          <cx:tx>
            <cx:txData>
              <cx:f>_xlchart.v1.22</cx:f>
              <cx:v>Yef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0.60000000000000009" min="0.10000000000000001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502920</xdr:colOff>
      <xdr:row>59</xdr:row>
      <xdr:rowOff>19050</xdr:rowOff>
    </xdr:from>
    <xdr:to>
      <xdr:col>18</xdr:col>
      <xdr:colOff>205740</xdr:colOff>
      <xdr:row>74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B23806A-B3DA-5C7A-7547-ACE87E4E2A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7320" y="9528810"/>
              <a:ext cx="2141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266700</xdr:colOff>
      <xdr:row>59</xdr:row>
      <xdr:rowOff>15240</xdr:rowOff>
    </xdr:from>
    <xdr:to>
      <xdr:col>21</xdr:col>
      <xdr:colOff>579120</xdr:colOff>
      <xdr:row>74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A34B46A-797E-4D3D-AC80-F47F9983E0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9500" y="9525000"/>
              <a:ext cx="2141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59</xdr:row>
      <xdr:rowOff>0</xdr:rowOff>
    </xdr:from>
    <xdr:to>
      <xdr:col>25</xdr:col>
      <xdr:colOff>312420</xdr:colOff>
      <xdr:row>74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79EF3CF-B35C-4C14-BC8D-BE1EBE8758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1200" y="9509760"/>
              <a:ext cx="2141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464820</xdr:colOff>
      <xdr:row>59</xdr:row>
      <xdr:rowOff>22860</xdr:rowOff>
    </xdr:from>
    <xdr:to>
      <xdr:col>29</xdr:col>
      <xdr:colOff>167640</xdr:colOff>
      <xdr:row>74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D7FC27F2-97DC-4DAA-9D9A-FC5367C1BC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04820" y="9532620"/>
              <a:ext cx="2141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213360</xdr:colOff>
      <xdr:row>59</xdr:row>
      <xdr:rowOff>7620</xdr:rowOff>
    </xdr:from>
    <xdr:to>
      <xdr:col>32</xdr:col>
      <xdr:colOff>525780</xdr:colOff>
      <xdr:row>74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2C934333-C1CD-4903-B3C5-76B05D80CE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1760" y="9517380"/>
              <a:ext cx="2141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33</xdr:col>
      <xdr:colOff>38100</xdr:colOff>
      <xdr:row>59</xdr:row>
      <xdr:rowOff>22860</xdr:rowOff>
    </xdr:from>
    <xdr:to>
      <xdr:col>36</xdr:col>
      <xdr:colOff>350520</xdr:colOff>
      <xdr:row>74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8BB58419-0FCD-4A83-9C3B-704F2E2B9A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54900" y="9532620"/>
              <a:ext cx="2141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36</xdr:col>
      <xdr:colOff>388620</xdr:colOff>
      <xdr:row>59</xdr:row>
      <xdr:rowOff>30480</xdr:rowOff>
    </xdr:from>
    <xdr:to>
      <xdr:col>40</xdr:col>
      <xdr:colOff>91440</xdr:colOff>
      <xdr:row>74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748DFD69-2E82-493D-9101-A9AC408122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34220" y="9540240"/>
              <a:ext cx="21412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1"/>
  <sheetViews>
    <sheetView workbookViewId="0"/>
  </sheetViews>
  <sheetFormatPr baseColWidth="10" defaultColWidth="8.88671875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t="s">
        <v>33</v>
      </c>
      <c r="C2">
        <v>1457.3522376999899</v>
      </c>
      <c r="D2">
        <v>24.289203961666502</v>
      </c>
      <c r="E2" t="s">
        <v>34</v>
      </c>
      <c r="F2" t="s">
        <v>35</v>
      </c>
      <c r="G2" t="s">
        <v>36</v>
      </c>
      <c r="H2" t="s">
        <v>37</v>
      </c>
      <c r="I2">
        <v>2.3763380605479039E-2</v>
      </c>
      <c r="J2">
        <v>0</v>
      </c>
      <c r="K2" t="s">
        <v>14</v>
      </c>
      <c r="L2">
        <v>246</v>
      </c>
      <c r="M2">
        <v>8.2323446181345794E-5</v>
      </c>
      <c r="N2">
        <v>1E-4</v>
      </c>
      <c r="O2">
        <v>3000</v>
      </c>
      <c r="T2">
        <v>9.3396867949509119E-2</v>
      </c>
      <c r="U2">
        <v>3.906906550678507</v>
      </c>
      <c r="V2">
        <v>3.552850425408324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0.99975650448074316</v>
      </c>
      <c r="AD2">
        <v>0.59381718187937127</v>
      </c>
      <c r="AE2">
        <v>1.6426339999999999</v>
      </c>
      <c r="AF2">
        <v>0.39628041840755102</v>
      </c>
      <c r="AG2">
        <v>0.39985162314581107</v>
      </c>
    </row>
    <row r="3" spans="1:33" x14ac:dyDescent="0.3">
      <c r="A3">
        <v>2</v>
      </c>
      <c r="B3" t="s">
        <v>38</v>
      </c>
      <c r="C3">
        <v>6189.2884576999932</v>
      </c>
      <c r="D3">
        <v>103.1548076283332</v>
      </c>
      <c r="E3" t="s">
        <v>39</v>
      </c>
      <c r="F3" t="s">
        <v>35</v>
      </c>
      <c r="G3" t="s">
        <v>40</v>
      </c>
      <c r="H3" t="s">
        <v>37</v>
      </c>
      <c r="I3">
        <v>2.6072921000739269E-2</v>
      </c>
      <c r="J3">
        <v>0</v>
      </c>
      <c r="K3" t="s">
        <v>14</v>
      </c>
      <c r="L3">
        <v>928</v>
      </c>
      <c r="M3">
        <v>8.3605415942322113E-5</v>
      </c>
      <c r="N3">
        <v>1E-4</v>
      </c>
      <c r="O3">
        <v>3000</v>
      </c>
      <c r="T3">
        <v>8.6994194406883066E-2</v>
      </c>
      <c r="U3">
        <v>4.4549260555312369</v>
      </c>
      <c r="V3">
        <v>3.0322326289449122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0.98509468636691488</v>
      </c>
      <c r="AD3">
        <v>0.69565479793091611</v>
      </c>
      <c r="AE3">
        <v>1.6426339999999999</v>
      </c>
      <c r="AF3">
        <v>0.43792261414562322</v>
      </c>
      <c r="AG3">
        <v>0.37264556726744069</v>
      </c>
    </row>
    <row r="4" spans="1:33" x14ac:dyDescent="0.3">
      <c r="A4">
        <v>3</v>
      </c>
      <c r="B4" t="s">
        <v>41</v>
      </c>
      <c r="C4">
        <v>3700.012638900007</v>
      </c>
      <c r="D4">
        <v>61.666877315000107</v>
      </c>
      <c r="E4" t="s">
        <v>42</v>
      </c>
      <c r="F4" t="s">
        <v>35</v>
      </c>
      <c r="G4" t="s">
        <v>43</v>
      </c>
      <c r="H4" t="s">
        <v>37</v>
      </c>
      <c r="I4">
        <v>3.3892062631845167E-2</v>
      </c>
      <c r="J4">
        <v>0</v>
      </c>
      <c r="K4" t="s">
        <v>14</v>
      </c>
      <c r="L4">
        <v>729</v>
      </c>
      <c r="M4">
        <v>8.8099891160143656E-5</v>
      </c>
      <c r="N4">
        <v>1E-4</v>
      </c>
      <c r="O4">
        <v>3000</v>
      </c>
      <c r="T4">
        <v>0.23592865733740759</v>
      </c>
      <c r="U4">
        <v>3.798404918870073</v>
      </c>
      <c r="V4">
        <v>3.5936992963126979</v>
      </c>
      <c r="W4">
        <v>9.6469999999999993E-3</v>
      </c>
      <c r="X4">
        <v>8.5518540000000005</v>
      </c>
      <c r="Y4">
        <v>7.1656500000000003</v>
      </c>
      <c r="Z4">
        <v>44.150669999999998</v>
      </c>
      <c r="AA4">
        <v>42.528283999999999</v>
      </c>
      <c r="AB4">
        <v>1E-4</v>
      </c>
      <c r="AC4">
        <v>0.9974120281303489</v>
      </c>
      <c r="AD4">
        <v>0.56590453873864355</v>
      </c>
      <c r="AE4">
        <v>1.6426339999999999</v>
      </c>
      <c r="AF4">
        <v>0.41681069441065532</v>
      </c>
      <c r="AG4">
        <v>0.35150233197779468</v>
      </c>
    </row>
    <row r="5" spans="1:33" x14ac:dyDescent="0.3">
      <c r="A5">
        <v>4</v>
      </c>
      <c r="B5" t="s">
        <v>44</v>
      </c>
      <c r="C5">
        <v>1632.5199943000041</v>
      </c>
      <c r="D5">
        <v>27.20866657166674</v>
      </c>
      <c r="E5" t="s">
        <v>45</v>
      </c>
      <c r="F5" t="s">
        <v>35</v>
      </c>
      <c r="G5" t="s">
        <v>46</v>
      </c>
      <c r="H5" t="s">
        <v>37</v>
      </c>
      <c r="I5">
        <v>4.1644362008545828E-2</v>
      </c>
      <c r="J5">
        <v>0</v>
      </c>
      <c r="K5" t="s">
        <v>14</v>
      </c>
      <c r="L5">
        <v>266</v>
      </c>
      <c r="M5">
        <v>9.417325146823047E-5</v>
      </c>
      <c r="N5">
        <v>1E-4</v>
      </c>
      <c r="O5">
        <v>3000</v>
      </c>
      <c r="T5">
        <v>0.54437184339852773</v>
      </c>
      <c r="U5">
        <v>4.9988631121415006</v>
      </c>
      <c r="V5">
        <v>2.6981673755769662</v>
      </c>
      <c r="W5">
        <v>9.6469999999999993E-3</v>
      </c>
      <c r="X5">
        <v>8.5518540000000005</v>
      </c>
      <c r="Y5">
        <v>7.1656500000000003</v>
      </c>
      <c r="Z5">
        <v>44.150669999999998</v>
      </c>
      <c r="AA5">
        <v>42.528283999999999</v>
      </c>
      <c r="AB5">
        <v>1E-4</v>
      </c>
      <c r="AC5">
        <v>0.99993965253761219</v>
      </c>
      <c r="AD5">
        <v>0.35735291069441288</v>
      </c>
      <c r="AE5">
        <v>1.6426339999999999</v>
      </c>
      <c r="AF5">
        <v>0.44049825928574299</v>
      </c>
      <c r="AG5">
        <v>0.42254993453660011</v>
      </c>
    </row>
    <row r="6" spans="1:33" x14ac:dyDescent="0.3">
      <c r="A6">
        <v>5</v>
      </c>
      <c r="B6" t="s">
        <v>47</v>
      </c>
      <c r="C6">
        <v>19493.2069008</v>
      </c>
      <c r="D6">
        <v>324.88678168000001</v>
      </c>
      <c r="E6" t="s">
        <v>48</v>
      </c>
      <c r="F6" t="s">
        <v>35</v>
      </c>
      <c r="G6" t="s">
        <v>49</v>
      </c>
      <c r="H6" t="s">
        <v>37</v>
      </c>
      <c r="I6">
        <v>1.718031232063056E-2</v>
      </c>
      <c r="J6">
        <v>0</v>
      </c>
      <c r="K6" t="s">
        <v>14</v>
      </c>
      <c r="L6">
        <v>3001</v>
      </c>
      <c r="M6">
        <v>1.700991891431464E-3</v>
      </c>
      <c r="N6">
        <v>1E-4</v>
      </c>
      <c r="O6">
        <v>3000</v>
      </c>
      <c r="T6">
        <v>5.9860505276976138E-2</v>
      </c>
      <c r="U6">
        <v>4.6194273304010576</v>
      </c>
      <c r="V6">
        <v>4.9708590173504561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0.81622818306988032</v>
      </c>
      <c r="AD6">
        <v>0.53631614793375526</v>
      </c>
      <c r="AE6">
        <v>1.6426339999999999</v>
      </c>
      <c r="AF6">
        <v>0.48797505726878221</v>
      </c>
      <c r="AG6">
        <v>0.30496793571708969</v>
      </c>
    </row>
    <row r="7" spans="1:33" x14ac:dyDescent="0.3">
      <c r="A7">
        <v>6</v>
      </c>
      <c r="B7" t="s">
        <v>50</v>
      </c>
      <c r="C7">
        <v>724.69335629999114</v>
      </c>
      <c r="D7">
        <v>12.07822260499985</v>
      </c>
      <c r="E7" t="s">
        <v>51</v>
      </c>
      <c r="F7" t="s">
        <v>35</v>
      </c>
      <c r="G7" t="s">
        <v>52</v>
      </c>
      <c r="H7" t="s">
        <v>37</v>
      </c>
      <c r="I7">
        <v>4.7448704902963393E-2</v>
      </c>
      <c r="J7">
        <v>0</v>
      </c>
      <c r="K7" t="s">
        <v>14</v>
      </c>
      <c r="L7">
        <v>117</v>
      </c>
      <c r="M7">
        <v>8.3577591680239515E-5</v>
      </c>
      <c r="N7">
        <v>1E-4</v>
      </c>
      <c r="O7">
        <v>3000</v>
      </c>
      <c r="T7">
        <v>0.114108858424406</v>
      </c>
      <c r="U7">
        <v>4.9309279802397734</v>
      </c>
      <c r="V7">
        <v>3.906240000964142</v>
      </c>
      <c r="W7">
        <v>9.6469999999999993E-3</v>
      </c>
      <c r="X7">
        <v>8.5518540000000005</v>
      </c>
      <c r="Y7">
        <v>7.1656500000000003</v>
      </c>
      <c r="Z7">
        <v>44.150669999999998</v>
      </c>
      <c r="AA7">
        <v>42.528283999999999</v>
      </c>
      <c r="AB7">
        <v>1E-4</v>
      </c>
      <c r="AC7">
        <v>0.99949439865433021</v>
      </c>
      <c r="AD7">
        <v>0.69860758765947273</v>
      </c>
      <c r="AE7">
        <v>1.6426339999999999</v>
      </c>
      <c r="AF7">
        <v>0.45236769485315093</v>
      </c>
      <c r="AG7">
        <v>0.44982093614372859</v>
      </c>
    </row>
    <row r="8" spans="1:33" x14ac:dyDescent="0.3">
      <c r="A8">
        <v>7</v>
      </c>
      <c r="B8" t="s">
        <v>53</v>
      </c>
      <c r="C8">
        <v>1713.2369443999919</v>
      </c>
      <c r="D8">
        <v>28.553949073333211</v>
      </c>
      <c r="E8" t="s">
        <v>54</v>
      </c>
      <c r="F8" t="s">
        <v>35</v>
      </c>
      <c r="G8" t="s">
        <v>55</v>
      </c>
      <c r="H8" t="s">
        <v>37</v>
      </c>
      <c r="I8">
        <v>2.899397510564353E-2</v>
      </c>
      <c r="J8">
        <v>0</v>
      </c>
      <c r="K8" t="s">
        <v>14</v>
      </c>
      <c r="L8">
        <v>275</v>
      </c>
      <c r="M8">
        <v>9.3397758487789802E-5</v>
      </c>
      <c r="N8">
        <v>1E-4</v>
      </c>
      <c r="O8">
        <v>3000</v>
      </c>
      <c r="T8">
        <v>8.8548115806694763E-2</v>
      </c>
      <c r="U8">
        <v>4.7614371782394498</v>
      </c>
      <c r="V8">
        <v>3.4149462110082829</v>
      </c>
      <c r="W8">
        <v>9.6469999999999993E-3</v>
      </c>
      <c r="X8">
        <v>8.5518540000000005</v>
      </c>
      <c r="Y8">
        <v>7.1656500000000003</v>
      </c>
      <c r="Z8">
        <v>44.150669999999998</v>
      </c>
      <c r="AA8">
        <v>42.528283999999999</v>
      </c>
      <c r="AB8">
        <v>1E-4</v>
      </c>
      <c r="AC8">
        <v>0.99992513204568045</v>
      </c>
      <c r="AD8">
        <v>0.31707281844810781</v>
      </c>
      <c r="AE8">
        <v>1.6426339999999999</v>
      </c>
      <c r="AF8">
        <v>0.3839271016054614</v>
      </c>
      <c r="AG8">
        <v>0.50568170668504253</v>
      </c>
    </row>
    <row r="9" spans="1:33" x14ac:dyDescent="0.3">
      <c r="A9">
        <v>8</v>
      </c>
      <c r="B9" t="s">
        <v>56</v>
      </c>
      <c r="C9">
        <v>1680.6024630000029</v>
      </c>
      <c r="D9">
        <v>28.010041050000051</v>
      </c>
      <c r="E9" t="s">
        <v>57</v>
      </c>
      <c r="F9" t="s">
        <v>35</v>
      </c>
      <c r="G9" t="s">
        <v>58</v>
      </c>
      <c r="H9" t="s">
        <v>37</v>
      </c>
      <c r="I9">
        <v>6.8179794755132098E-2</v>
      </c>
      <c r="J9">
        <v>0</v>
      </c>
      <c r="K9" t="s">
        <v>14</v>
      </c>
      <c r="L9">
        <v>335</v>
      </c>
      <c r="M9">
        <v>9.9649831967077242E-5</v>
      </c>
      <c r="N9">
        <v>1E-4</v>
      </c>
      <c r="O9">
        <v>3000</v>
      </c>
      <c r="T9">
        <v>0.6535133088730144</v>
      </c>
      <c r="U9">
        <v>4.9969211789300747</v>
      </c>
      <c r="V9">
        <v>3.4010516235480801</v>
      </c>
      <c r="W9">
        <v>9.6469999999999993E-3</v>
      </c>
      <c r="X9">
        <v>8.5518540000000005</v>
      </c>
      <c r="Y9">
        <v>7.1656500000000003</v>
      </c>
      <c r="Z9">
        <v>44.150669999999998</v>
      </c>
      <c r="AA9">
        <v>42.528283999999999</v>
      </c>
      <c r="AB9">
        <v>1E-4</v>
      </c>
      <c r="AC9">
        <v>0.99974258229713198</v>
      </c>
      <c r="AD9">
        <v>0.36705703277120122</v>
      </c>
      <c r="AE9">
        <v>1.6426339999999999</v>
      </c>
      <c r="AF9">
        <v>0.4647182303561212</v>
      </c>
      <c r="AG9">
        <v>0.33658771201975168</v>
      </c>
    </row>
    <row r="10" spans="1:33" x14ac:dyDescent="0.3">
      <c r="A10">
        <v>9</v>
      </c>
      <c r="B10" t="s">
        <v>59</v>
      </c>
      <c r="C10">
        <v>6369.6560671999914</v>
      </c>
      <c r="D10">
        <v>106.1609344533332</v>
      </c>
      <c r="E10" t="s">
        <v>60</v>
      </c>
      <c r="F10" t="s">
        <v>35</v>
      </c>
      <c r="G10" t="s">
        <v>61</v>
      </c>
      <c r="H10" t="s">
        <v>37</v>
      </c>
      <c r="I10">
        <v>4.7525237298336562E-2</v>
      </c>
      <c r="J10">
        <v>0</v>
      </c>
      <c r="K10" t="s">
        <v>14</v>
      </c>
      <c r="L10">
        <v>1307</v>
      </c>
      <c r="M10">
        <v>9.4023532562869798E-5</v>
      </c>
      <c r="N10">
        <v>1E-4</v>
      </c>
      <c r="O10">
        <v>3000</v>
      </c>
      <c r="T10">
        <v>0.65349306341367552</v>
      </c>
      <c r="U10">
        <v>4.9999941358925648</v>
      </c>
      <c r="V10">
        <v>3.3768799431976322</v>
      </c>
      <c r="W10">
        <v>9.6469999999999993E-3</v>
      </c>
      <c r="X10">
        <v>8.5518540000000005</v>
      </c>
      <c r="Y10">
        <v>7.1656500000000003</v>
      </c>
      <c r="Z10">
        <v>44.150669999999998</v>
      </c>
      <c r="AA10">
        <v>42.528283999999999</v>
      </c>
      <c r="AB10">
        <v>1E-4</v>
      </c>
      <c r="AC10">
        <v>0.99999997305702903</v>
      </c>
      <c r="AD10">
        <v>0.69938223140590383</v>
      </c>
      <c r="AE10">
        <v>1.6426339999999999</v>
      </c>
      <c r="AF10">
        <v>0.48432163227536618</v>
      </c>
      <c r="AG10">
        <v>0.38652366369530822</v>
      </c>
    </row>
    <row r="11" spans="1:33" x14ac:dyDescent="0.3">
      <c r="A11">
        <v>10</v>
      </c>
      <c r="B11" t="s">
        <v>62</v>
      </c>
      <c r="C11">
        <v>449.52430869999807</v>
      </c>
      <c r="D11">
        <v>7.4920718116666336</v>
      </c>
      <c r="E11" t="s">
        <v>63</v>
      </c>
      <c r="F11" t="s">
        <v>35</v>
      </c>
      <c r="G11" t="s">
        <v>64</v>
      </c>
      <c r="H11" t="s">
        <v>37</v>
      </c>
      <c r="I11">
        <v>6.2181443191359827E-2</v>
      </c>
      <c r="J11">
        <v>0</v>
      </c>
      <c r="K11" t="s">
        <v>14</v>
      </c>
      <c r="L11">
        <v>88</v>
      </c>
      <c r="M11">
        <v>9.9697045971855816E-5</v>
      </c>
      <c r="N11">
        <v>1E-4</v>
      </c>
      <c r="O11">
        <v>3000</v>
      </c>
      <c r="T11">
        <v>0.37762873491861609</v>
      </c>
      <c r="U11">
        <v>4.9915485887428552</v>
      </c>
      <c r="V11">
        <v>4.0834185913553256</v>
      </c>
      <c r="W11">
        <v>9.6469999999999993E-3</v>
      </c>
      <c r="X11">
        <v>8.5518540000000005</v>
      </c>
      <c r="Y11">
        <v>7.1656500000000003</v>
      </c>
      <c r="Z11">
        <v>44.150669999999998</v>
      </c>
      <c r="AA11">
        <v>42.528283999999999</v>
      </c>
      <c r="AB11">
        <v>1E-4</v>
      </c>
      <c r="AC11">
        <v>0.99499379169527702</v>
      </c>
      <c r="AD11">
        <v>0.69955874414233477</v>
      </c>
      <c r="AE11">
        <v>1.6426339999999999</v>
      </c>
      <c r="AF11">
        <v>0.44995920724788568</v>
      </c>
      <c r="AG11">
        <v>0.4301643326049211</v>
      </c>
    </row>
    <row r="12" spans="1:33" x14ac:dyDescent="0.3">
      <c r="A12">
        <v>11</v>
      </c>
      <c r="B12" t="s">
        <v>65</v>
      </c>
      <c r="C12">
        <v>2981.083351000008</v>
      </c>
      <c r="D12">
        <v>49.68472251666681</v>
      </c>
      <c r="E12" t="s">
        <v>66</v>
      </c>
      <c r="F12" t="s">
        <v>35</v>
      </c>
      <c r="G12" t="s">
        <v>67</v>
      </c>
      <c r="H12" t="s">
        <v>37</v>
      </c>
      <c r="I12">
        <v>7.9153665368111113E-3</v>
      </c>
      <c r="J12">
        <v>0</v>
      </c>
      <c r="K12" t="s">
        <v>14</v>
      </c>
      <c r="L12">
        <v>491</v>
      </c>
      <c r="M12">
        <v>9.8120658451593992E-5</v>
      </c>
      <c r="N12">
        <v>1E-4</v>
      </c>
      <c r="O12">
        <v>3000</v>
      </c>
      <c r="T12">
        <v>7.2189782905382888E-2</v>
      </c>
      <c r="U12">
        <v>4.9860379117148312</v>
      </c>
      <c r="V12">
        <v>4.9972326244802519</v>
      </c>
      <c r="W12">
        <v>9.6469999999999993E-3</v>
      </c>
      <c r="X12">
        <v>8.5518540000000005</v>
      </c>
      <c r="Y12">
        <v>7.1656500000000003</v>
      </c>
      <c r="Z12">
        <v>44.150669999999998</v>
      </c>
      <c r="AA12">
        <v>42.528283999999999</v>
      </c>
      <c r="AB12">
        <v>1E-4</v>
      </c>
      <c r="AC12">
        <v>0.99971104142765466</v>
      </c>
      <c r="AD12">
        <v>0.46019495835237312</v>
      </c>
      <c r="AE12">
        <v>1.6426339999999999</v>
      </c>
      <c r="AF12">
        <v>0.46794774188225557</v>
      </c>
      <c r="AG12">
        <v>0.37614496125742841</v>
      </c>
    </row>
    <row r="13" spans="1:33" x14ac:dyDescent="0.3">
      <c r="A13">
        <v>12</v>
      </c>
      <c r="B13" t="s">
        <v>68</v>
      </c>
      <c r="C13">
        <v>14266.720024800021</v>
      </c>
      <c r="D13">
        <v>237.77866708000019</v>
      </c>
      <c r="E13" t="s">
        <v>69</v>
      </c>
      <c r="F13" t="s">
        <v>35</v>
      </c>
      <c r="G13" t="s">
        <v>70</v>
      </c>
      <c r="H13" t="s">
        <v>37</v>
      </c>
      <c r="I13">
        <v>4.6908903238087649E-2</v>
      </c>
      <c r="J13">
        <v>0</v>
      </c>
      <c r="K13" t="s">
        <v>14</v>
      </c>
      <c r="L13">
        <v>2157</v>
      </c>
      <c r="M13">
        <v>8.0913288395689982E-5</v>
      </c>
      <c r="N13">
        <v>1E-4</v>
      </c>
      <c r="O13">
        <v>3000</v>
      </c>
      <c r="T13">
        <v>0.29123113525208111</v>
      </c>
      <c r="U13">
        <v>4.9999849593923731</v>
      </c>
      <c r="V13">
        <v>3.1097110327333501</v>
      </c>
      <c r="W13">
        <v>9.6469999999999993E-3</v>
      </c>
      <c r="X13">
        <v>8.5518540000000005</v>
      </c>
      <c r="Y13">
        <v>7.1656500000000003</v>
      </c>
      <c r="Z13">
        <v>44.150669999999998</v>
      </c>
      <c r="AA13">
        <v>42.528283999999999</v>
      </c>
      <c r="AB13">
        <v>1E-4</v>
      </c>
      <c r="AC13">
        <v>0.9998421165693181</v>
      </c>
      <c r="AD13">
        <v>0.69997380918776264</v>
      </c>
      <c r="AE13">
        <v>1.6426339999999999</v>
      </c>
      <c r="AF13">
        <v>0.46860433960354198</v>
      </c>
      <c r="AG13">
        <v>0.38891835995184681</v>
      </c>
    </row>
    <row r="14" spans="1:33" x14ac:dyDescent="0.3">
      <c r="A14">
        <v>13</v>
      </c>
      <c r="B14" t="s">
        <v>71</v>
      </c>
      <c r="C14">
        <v>719.71074500001851</v>
      </c>
      <c r="D14">
        <v>11.995179083333641</v>
      </c>
      <c r="E14" t="s">
        <v>72</v>
      </c>
      <c r="F14" t="s">
        <v>35</v>
      </c>
      <c r="G14" t="s">
        <v>73</v>
      </c>
      <c r="H14" t="s">
        <v>37</v>
      </c>
      <c r="I14">
        <v>4.0785541174723508E-2</v>
      </c>
      <c r="J14">
        <v>0</v>
      </c>
      <c r="K14" t="s">
        <v>14</v>
      </c>
      <c r="L14">
        <v>110</v>
      </c>
      <c r="M14">
        <v>9.8896046106505424E-5</v>
      </c>
      <c r="N14">
        <v>1E-4</v>
      </c>
      <c r="O14">
        <v>3000</v>
      </c>
      <c r="T14">
        <v>0.46817226232493259</v>
      </c>
      <c r="U14">
        <v>4.181094624694059</v>
      </c>
      <c r="V14">
        <v>3.5499323408935468</v>
      </c>
      <c r="W14">
        <v>9.6469999999999993E-3</v>
      </c>
      <c r="X14">
        <v>8.5518540000000005</v>
      </c>
      <c r="Y14">
        <v>7.1656500000000003</v>
      </c>
      <c r="Z14">
        <v>44.150669999999998</v>
      </c>
      <c r="AA14">
        <v>42.528283999999999</v>
      </c>
      <c r="AB14">
        <v>1E-4</v>
      </c>
      <c r="AC14">
        <v>0.9999806066763165</v>
      </c>
      <c r="AD14">
        <v>0.36686965150013179</v>
      </c>
      <c r="AE14">
        <v>1.6426339999999999</v>
      </c>
      <c r="AF14">
        <v>0.38388448083913729</v>
      </c>
      <c r="AG14">
        <v>0.4685531359801558</v>
      </c>
    </row>
    <row r="15" spans="1:33" x14ac:dyDescent="0.3">
      <c r="A15">
        <v>14</v>
      </c>
      <c r="B15" t="s">
        <v>74</v>
      </c>
      <c r="C15">
        <v>3037.9601575999991</v>
      </c>
      <c r="D15">
        <v>50.632669293333308</v>
      </c>
      <c r="E15" t="s">
        <v>75</v>
      </c>
      <c r="F15" t="s">
        <v>35</v>
      </c>
      <c r="G15" t="s">
        <v>76</v>
      </c>
      <c r="H15" t="s">
        <v>37</v>
      </c>
      <c r="I15">
        <v>4.2313627654809671E-2</v>
      </c>
      <c r="J15">
        <v>0</v>
      </c>
      <c r="K15" t="s">
        <v>14</v>
      </c>
      <c r="L15">
        <v>493</v>
      </c>
      <c r="M15">
        <v>8.367738021985524E-5</v>
      </c>
      <c r="N15">
        <v>1E-4</v>
      </c>
      <c r="O15">
        <v>3000</v>
      </c>
      <c r="T15">
        <v>0.52447190667868493</v>
      </c>
      <c r="U15">
        <v>4.9894863363727717</v>
      </c>
      <c r="V15">
        <v>3.7779456881558988</v>
      </c>
      <c r="W15">
        <v>9.6469999999999993E-3</v>
      </c>
      <c r="X15">
        <v>8.5518540000000005</v>
      </c>
      <c r="Y15">
        <v>7.1656500000000003</v>
      </c>
      <c r="Z15">
        <v>44.150669999999998</v>
      </c>
      <c r="AA15">
        <v>42.528283999999999</v>
      </c>
      <c r="AB15">
        <v>1E-4</v>
      </c>
      <c r="AC15">
        <v>0.99661248408023229</v>
      </c>
      <c r="AD15">
        <v>0.69001496097353709</v>
      </c>
      <c r="AE15">
        <v>1.6426339999999999</v>
      </c>
      <c r="AF15">
        <v>0.39638625478499301</v>
      </c>
      <c r="AG15">
        <v>0.46581382418612849</v>
      </c>
    </row>
    <row r="16" spans="1:33" x14ac:dyDescent="0.3">
      <c r="A16">
        <v>15</v>
      </c>
      <c r="B16" t="s">
        <v>77</v>
      </c>
      <c r="C16">
        <v>7849.9804301999966</v>
      </c>
      <c r="D16">
        <v>130.83300716999989</v>
      </c>
      <c r="E16" t="s">
        <v>78</v>
      </c>
      <c r="F16" t="s">
        <v>35</v>
      </c>
      <c r="G16" t="s">
        <v>79</v>
      </c>
      <c r="H16" t="s">
        <v>37</v>
      </c>
      <c r="I16">
        <v>1.5413742888640289E-2</v>
      </c>
      <c r="J16">
        <v>0</v>
      </c>
      <c r="K16" t="s">
        <v>14</v>
      </c>
      <c r="L16">
        <v>1258</v>
      </c>
      <c r="M16">
        <v>8.37726517295007E-5</v>
      </c>
      <c r="N16">
        <v>1E-4</v>
      </c>
      <c r="O16">
        <v>3000</v>
      </c>
      <c r="T16">
        <v>0.43107121672278359</v>
      </c>
      <c r="U16">
        <v>3.0583031171028772</v>
      </c>
      <c r="V16">
        <v>3.382315696065282</v>
      </c>
      <c r="W16">
        <v>9.6469999999999993E-3</v>
      </c>
      <c r="X16">
        <v>8.5518540000000005</v>
      </c>
      <c r="Y16">
        <v>7.1656500000000003</v>
      </c>
      <c r="Z16">
        <v>44.150669999999998</v>
      </c>
      <c r="AA16">
        <v>42.528283999999999</v>
      </c>
      <c r="AB16">
        <v>1E-4</v>
      </c>
      <c r="AC16">
        <v>0.9988920487303371</v>
      </c>
      <c r="AD16">
        <v>0.5439866088114933</v>
      </c>
      <c r="AE16">
        <v>1.6426339999999999</v>
      </c>
      <c r="AF16">
        <v>0.41589669827768572</v>
      </c>
      <c r="AG16">
        <v>0.43262356472505931</v>
      </c>
    </row>
    <row r="17" spans="1:33" x14ac:dyDescent="0.3">
      <c r="A17">
        <v>16</v>
      </c>
      <c r="B17" t="s">
        <v>80</v>
      </c>
      <c r="C17">
        <v>1057.705570299993</v>
      </c>
      <c r="D17">
        <v>17.62842617166655</v>
      </c>
      <c r="E17" t="s">
        <v>81</v>
      </c>
      <c r="F17" t="s">
        <v>35</v>
      </c>
      <c r="G17" t="s">
        <v>82</v>
      </c>
      <c r="H17" t="s">
        <v>37</v>
      </c>
      <c r="I17">
        <v>2.4016235338011799E-2</v>
      </c>
      <c r="J17">
        <v>0</v>
      </c>
      <c r="K17" t="s">
        <v>14</v>
      </c>
      <c r="L17">
        <v>180</v>
      </c>
      <c r="M17">
        <v>9.942421321529415E-5</v>
      </c>
      <c r="N17">
        <v>1E-4</v>
      </c>
      <c r="O17">
        <v>3000</v>
      </c>
      <c r="T17">
        <v>0.54236472444590389</v>
      </c>
      <c r="U17">
        <v>4.9569624739119131</v>
      </c>
      <c r="V17">
        <v>4.9286720156954189</v>
      </c>
      <c r="W17">
        <v>9.6469999999999993E-3</v>
      </c>
      <c r="X17">
        <v>8.5518540000000005</v>
      </c>
      <c r="Y17">
        <v>7.1656500000000003</v>
      </c>
      <c r="Z17">
        <v>44.150669999999998</v>
      </c>
      <c r="AA17">
        <v>42.528283999999999</v>
      </c>
      <c r="AB17">
        <v>1E-4</v>
      </c>
      <c r="AC17">
        <v>0.99999105166699642</v>
      </c>
      <c r="AD17">
        <v>0.40092758821177749</v>
      </c>
      <c r="AE17">
        <v>1.6426339999999999</v>
      </c>
      <c r="AF17">
        <v>0.43238777232619402</v>
      </c>
      <c r="AG17">
        <v>0.42253150677258478</v>
      </c>
    </row>
    <row r="18" spans="1:33" x14ac:dyDescent="0.3">
      <c r="A18">
        <v>17</v>
      </c>
      <c r="B18" t="s">
        <v>83</v>
      </c>
      <c r="C18">
        <v>17878.443668700002</v>
      </c>
      <c r="D18">
        <v>297.97406114500001</v>
      </c>
      <c r="E18" t="s">
        <v>84</v>
      </c>
      <c r="F18" t="s">
        <v>35</v>
      </c>
      <c r="G18" t="s">
        <v>85</v>
      </c>
      <c r="H18" t="s">
        <v>37</v>
      </c>
      <c r="I18">
        <v>4.1773127690062847E-2</v>
      </c>
      <c r="J18">
        <v>0</v>
      </c>
      <c r="K18" t="s">
        <v>14</v>
      </c>
      <c r="L18">
        <v>3001</v>
      </c>
      <c r="M18">
        <v>1.714849120535755E-4</v>
      </c>
      <c r="N18">
        <v>1E-4</v>
      </c>
      <c r="O18">
        <v>3000</v>
      </c>
      <c r="T18">
        <v>0.56834778401524588</v>
      </c>
      <c r="U18">
        <v>4.5329937598178001</v>
      </c>
      <c r="V18">
        <v>3.350767235464839</v>
      </c>
      <c r="W18">
        <v>9.6469999999999993E-3</v>
      </c>
      <c r="X18">
        <v>8.5518540000000005</v>
      </c>
      <c r="Y18">
        <v>7.1656500000000003</v>
      </c>
      <c r="Z18">
        <v>44.150669999999998</v>
      </c>
      <c r="AA18">
        <v>42.528283999999999</v>
      </c>
      <c r="AB18">
        <v>1E-4</v>
      </c>
      <c r="AC18">
        <v>0.99934454413303342</v>
      </c>
      <c r="AD18">
        <v>0.2079022208027147</v>
      </c>
      <c r="AE18">
        <v>1.6426339999999999</v>
      </c>
      <c r="AF18">
        <v>0.38119647588216782</v>
      </c>
      <c r="AG18">
        <v>0.55494207651160044</v>
      </c>
    </row>
    <row r="19" spans="1:33" x14ac:dyDescent="0.3">
      <c r="A19">
        <v>18</v>
      </c>
      <c r="B19" t="s">
        <v>86</v>
      </c>
      <c r="C19">
        <v>2166.0016560000081</v>
      </c>
      <c r="D19">
        <v>36.100027600000132</v>
      </c>
      <c r="E19" t="s">
        <v>87</v>
      </c>
      <c r="F19" t="s">
        <v>35</v>
      </c>
      <c r="G19" t="s">
        <v>88</v>
      </c>
      <c r="H19" t="s">
        <v>37</v>
      </c>
      <c r="I19">
        <v>2.0746719285903679E-2</v>
      </c>
      <c r="J19">
        <v>0</v>
      </c>
      <c r="K19" t="s">
        <v>14</v>
      </c>
      <c r="L19">
        <v>371</v>
      </c>
      <c r="M19">
        <v>3.9824280905130838E-5</v>
      </c>
      <c r="N19">
        <v>1E-4</v>
      </c>
      <c r="O19">
        <v>3000</v>
      </c>
      <c r="T19">
        <v>9.171125616385431E-2</v>
      </c>
      <c r="U19">
        <v>4.972996943774243</v>
      </c>
      <c r="V19">
        <v>3.112644436513953</v>
      </c>
      <c r="W19">
        <v>9.6469999999999993E-3</v>
      </c>
      <c r="X19">
        <v>8.5518540000000005</v>
      </c>
      <c r="Y19">
        <v>7.1656500000000003</v>
      </c>
      <c r="Z19">
        <v>44.150669999999998</v>
      </c>
      <c r="AA19">
        <v>42.528283999999999</v>
      </c>
      <c r="AB19">
        <v>1E-4</v>
      </c>
      <c r="AC19">
        <v>0.98791655445676241</v>
      </c>
      <c r="AD19">
        <v>0.69995114620206378</v>
      </c>
      <c r="AE19">
        <v>1.6426339999999999</v>
      </c>
      <c r="AF19">
        <v>0.50180799228593076</v>
      </c>
      <c r="AG19">
        <v>0.27398812494870411</v>
      </c>
    </row>
    <row r="20" spans="1:33" x14ac:dyDescent="0.3">
      <c r="A20">
        <v>19</v>
      </c>
      <c r="B20" t="s">
        <v>89</v>
      </c>
      <c r="C20">
        <v>526.17649099999107</v>
      </c>
      <c r="D20">
        <v>8.7696081833331849</v>
      </c>
      <c r="E20" t="s">
        <v>90</v>
      </c>
      <c r="F20" t="s">
        <v>35</v>
      </c>
      <c r="G20" t="s">
        <v>91</v>
      </c>
      <c r="H20" t="s">
        <v>37</v>
      </c>
      <c r="I20">
        <v>5.909442716366551E-2</v>
      </c>
      <c r="J20">
        <v>0</v>
      </c>
      <c r="K20" t="s">
        <v>14</v>
      </c>
      <c r="L20">
        <v>89</v>
      </c>
      <c r="M20">
        <v>4.0660927500202408E-5</v>
      </c>
      <c r="N20">
        <v>1E-4</v>
      </c>
      <c r="O20">
        <v>3000</v>
      </c>
      <c r="T20">
        <v>0.29560047009268298</v>
      </c>
      <c r="U20">
        <v>4.9999954106884879</v>
      </c>
      <c r="V20">
        <v>3.4851365927768869</v>
      </c>
      <c r="W20">
        <v>9.6469999999999993E-3</v>
      </c>
      <c r="X20">
        <v>8.5518540000000005</v>
      </c>
      <c r="Y20">
        <v>7.1656500000000003</v>
      </c>
      <c r="Z20">
        <v>44.150669999999998</v>
      </c>
      <c r="AA20">
        <v>42.528283999999999</v>
      </c>
      <c r="AB20">
        <v>1E-4</v>
      </c>
      <c r="AC20">
        <v>0.99999994016869787</v>
      </c>
      <c r="AD20">
        <v>0.32119779079152982</v>
      </c>
      <c r="AE20">
        <v>1.6426339999999999</v>
      </c>
      <c r="AF20">
        <v>0.45473983272238899</v>
      </c>
      <c r="AG20">
        <v>0.42233582039840339</v>
      </c>
    </row>
    <row r="21" spans="1:33" x14ac:dyDescent="0.3">
      <c r="A21">
        <v>20</v>
      </c>
      <c r="B21" t="s">
        <v>92</v>
      </c>
      <c r="C21">
        <v>5911.8939173000108</v>
      </c>
      <c r="D21">
        <v>98.53156528833351</v>
      </c>
      <c r="E21" t="s">
        <v>93</v>
      </c>
      <c r="F21" t="s">
        <v>35</v>
      </c>
      <c r="G21" t="s">
        <v>94</v>
      </c>
      <c r="H21" t="s">
        <v>37</v>
      </c>
      <c r="I21">
        <v>2.637728132363034E-2</v>
      </c>
      <c r="J21">
        <v>0</v>
      </c>
      <c r="K21" t="s">
        <v>14</v>
      </c>
      <c r="L21">
        <v>1005</v>
      </c>
      <c r="M21">
        <v>8.1527047968720203E-5</v>
      </c>
      <c r="N21">
        <v>1E-4</v>
      </c>
      <c r="O21">
        <v>3000</v>
      </c>
      <c r="T21">
        <v>0.29390566888505759</v>
      </c>
      <c r="U21">
        <v>4.4546738956800027</v>
      </c>
      <c r="V21">
        <v>4.9354699571988272</v>
      </c>
      <c r="W21">
        <v>9.6469999999999993E-3</v>
      </c>
      <c r="X21">
        <v>8.5518540000000005</v>
      </c>
      <c r="Y21">
        <v>7.1656500000000003</v>
      </c>
      <c r="Z21">
        <v>44.150669999999998</v>
      </c>
      <c r="AA21">
        <v>42.528283999999999</v>
      </c>
      <c r="AB21">
        <v>1E-4</v>
      </c>
      <c r="AC21">
        <v>0.99986136377515122</v>
      </c>
      <c r="AD21">
        <v>0.55252022624776698</v>
      </c>
      <c r="AE21">
        <v>1.6426339999999999</v>
      </c>
      <c r="AF21">
        <v>0.54166854022596223</v>
      </c>
      <c r="AG21">
        <v>0.31123364992236979</v>
      </c>
    </row>
    <row r="22" spans="1:33" x14ac:dyDescent="0.3">
      <c r="A22">
        <v>21</v>
      </c>
      <c r="B22" t="s">
        <v>95</v>
      </c>
      <c r="C22">
        <v>5206.6881801999989</v>
      </c>
      <c r="D22">
        <v>86.778136336666648</v>
      </c>
      <c r="E22" t="s">
        <v>96</v>
      </c>
      <c r="F22" t="s">
        <v>35</v>
      </c>
      <c r="G22" t="s">
        <v>97</v>
      </c>
      <c r="H22" t="s">
        <v>37</v>
      </c>
      <c r="I22">
        <v>1.070340112778276E-2</v>
      </c>
      <c r="J22">
        <v>0</v>
      </c>
      <c r="K22" t="s">
        <v>14</v>
      </c>
      <c r="L22">
        <v>794</v>
      </c>
      <c r="M22">
        <v>4.1211298522193451E-5</v>
      </c>
      <c r="N22">
        <v>1E-4</v>
      </c>
      <c r="O22">
        <v>3000</v>
      </c>
      <c r="T22">
        <v>0.10685116206984881</v>
      </c>
      <c r="U22">
        <v>3.812666529909396</v>
      </c>
      <c r="V22">
        <v>4.1309728236815433</v>
      </c>
      <c r="W22">
        <v>9.6469999999999993E-3</v>
      </c>
      <c r="X22">
        <v>8.5518540000000005</v>
      </c>
      <c r="Y22">
        <v>7.1656500000000003</v>
      </c>
      <c r="Z22">
        <v>44.150669999999998</v>
      </c>
      <c r="AA22">
        <v>42.528283999999999</v>
      </c>
      <c r="AB22">
        <v>1E-4</v>
      </c>
      <c r="AC22">
        <v>0.99938988438375043</v>
      </c>
      <c r="AD22">
        <v>0.69264647051417561</v>
      </c>
      <c r="AE22">
        <v>1.6426339999999999</v>
      </c>
      <c r="AF22">
        <v>0.41202568667729578</v>
      </c>
      <c r="AG22">
        <v>0.44318785979941228</v>
      </c>
    </row>
    <row r="23" spans="1:33" x14ac:dyDescent="0.3">
      <c r="A23">
        <v>22</v>
      </c>
      <c r="B23" t="s">
        <v>98</v>
      </c>
      <c r="C23">
        <v>1906.68284959998</v>
      </c>
      <c r="D23">
        <v>31.778047493332998</v>
      </c>
      <c r="E23" t="s">
        <v>99</v>
      </c>
      <c r="F23" t="s">
        <v>35</v>
      </c>
      <c r="G23" t="s">
        <v>100</v>
      </c>
      <c r="H23" t="s">
        <v>37</v>
      </c>
      <c r="I23">
        <v>4.976848154820622E-2</v>
      </c>
      <c r="J23">
        <v>0</v>
      </c>
      <c r="K23" t="s">
        <v>14</v>
      </c>
      <c r="L23">
        <v>322</v>
      </c>
      <c r="M23">
        <v>9.0534953078388303E-5</v>
      </c>
      <c r="N23">
        <v>1E-4</v>
      </c>
      <c r="O23">
        <v>3000</v>
      </c>
      <c r="T23">
        <v>0.25436834915252038</v>
      </c>
      <c r="U23">
        <v>4.9999999690669519</v>
      </c>
      <c r="V23">
        <v>3.041576569758691</v>
      </c>
      <c r="W23">
        <v>9.6469999999999993E-3</v>
      </c>
      <c r="X23">
        <v>8.5518540000000005</v>
      </c>
      <c r="Y23">
        <v>7.1656500000000003</v>
      </c>
      <c r="Z23">
        <v>44.150669999999998</v>
      </c>
      <c r="AA23">
        <v>42.528283999999999</v>
      </c>
      <c r="AB23">
        <v>1E-4</v>
      </c>
      <c r="AC23">
        <v>0.99999999854664101</v>
      </c>
      <c r="AD23">
        <v>0.6998576369283136</v>
      </c>
      <c r="AE23">
        <v>1.6426339999999999</v>
      </c>
      <c r="AF23">
        <v>0.46857028101905329</v>
      </c>
      <c r="AG23">
        <v>0.33545677692865977</v>
      </c>
    </row>
    <row r="24" spans="1:33" x14ac:dyDescent="0.3">
      <c r="A24">
        <v>23</v>
      </c>
      <c r="B24" t="s">
        <v>101</v>
      </c>
      <c r="C24">
        <v>1823.3475739999849</v>
      </c>
      <c r="D24">
        <v>30.38912623333308</v>
      </c>
      <c r="E24" t="s">
        <v>102</v>
      </c>
      <c r="F24" t="s">
        <v>35</v>
      </c>
      <c r="G24" t="s">
        <v>103</v>
      </c>
      <c r="H24" t="s">
        <v>37</v>
      </c>
      <c r="I24">
        <v>3.7557732960729673E-2</v>
      </c>
      <c r="J24">
        <v>0</v>
      </c>
      <c r="K24" t="s">
        <v>14</v>
      </c>
      <c r="L24">
        <v>351</v>
      </c>
      <c r="M24">
        <v>9.4518332998522601E-5</v>
      </c>
      <c r="N24">
        <v>1E-4</v>
      </c>
      <c r="O24">
        <v>3000</v>
      </c>
      <c r="T24">
        <v>0.25747190110636847</v>
      </c>
      <c r="U24">
        <v>4.5565308758458496</v>
      </c>
      <c r="V24">
        <v>4.4375668571043461</v>
      </c>
      <c r="W24">
        <v>9.6469999999999993E-3</v>
      </c>
      <c r="X24">
        <v>8.5518540000000005</v>
      </c>
      <c r="Y24">
        <v>7.1656500000000003</v>
      </c>
      <c r="Z24">
        <v>44.150669999999998</v>
      </c>
      <c r="AA24">
        <v>42.528283999999999</v>
      </c>
      <c r="AB24">
        <v>1E-4</v>
      </c>
      <c r="AC24">
        <v>0.99888999048367144</v>
      </c>
      <c r="AD24">
        <v>0.69998342654322865</v>
      </c>
      <c r="AE24">
        <v>1.6426339999999999</v>
      </c>
      <c r="AF24">
        <v>0.45062692926243669</v>
      </c>
      <c r="AG24">
        <v>0.39293439402365299</v>
      </c>
    </row>
    <row r="25" spans="1:33" x14ac:dyDescent="0.3">
      <c r="A25">
        <v>24</v>
      </c>
      <c r="B25" t="s">
        <v>104</v>
      </c>
      <c r="C25">
        <v>639.69710260001011</v>
      </c>
      <c r="D25">
        <v>10.661618376666841</v>
      </c>
      <c r="E25" t="s">
        <v>105</v>
      </c>
      <c r="F25" t="s">
        <v>35</v>
      </c>
      <c r="G25" t="s">
        <v>106</v>
      </c>
      <c r="H25" t="s">
        <v>37</v>
      </c>
      <c r="I25">
        <v>4.872104282215399E-2</v>
      </c>
      <c r="J25">
        <v>0</v>
      </c>
      <c r="K25" t="s">
        <v>14</v>
      </c>
      <c r="L25">
        <v>127</v>
      </c>
      <c r="M25">
        <v>9.3977386448309034E-5</v>
      </c>
      <c r="N25">
        <v>1E-4</v>
      </c>
      <c r="O25">
        <v>3000</v>
      </c>
      <c r="T25">
        <v>0.29126366060196229</v>
      </c>
      <c r="U25">
        <v>4.9998329120060623</v>
      </c>
      <c r="V25">
        <v>3.4139200572621049</v>
      </c>
      <c r="W25">
        <v>9.6469999999999993E-3</v>
      </c>
      <c r="X25">
        <v>8.5518540000000005</v>
      </c>
      <c r="Y25">
        <v>7.1656500000000003</v>
      </c>
      <c r="Z25">
        <v>44.150669999999998</v>
      </c>
      <c r="AA25">
        <v>42.528283999999999</v>
      </c>
      <c r="AB25">
        <v>1E-4</v>
      </c>
      <c r="AC25">
        <v>0.99999938617243633</v>
      </c>
      <c r="AD25">
        <v>0.52493244685336315</v>
      </c>
      <c r="AE25">
        <v>1.6426339999999999</v>
      </c>
      <c r="AF25">
        <v>0.46052962410422221</v>
      </c>
      <c r="AG25">
        <v>0.39946744640113269</v>
      </c>
    </row>
    <row r="26" spans="1:33" x14ac:dyDescent="0.3">
      <c r="A26">
        <v>25</v>
      </c>
      <c r="B26" t="s">
        <v>107</v>
      </c>
      <c r="C26">
        <v>5484.4524854999909</v>
      </c>
      <c r="D26">
        <v>91.407541424999849</v>
      </c>
      <c r="E26" t="s">
        <v>108</v>
      </c>
      <c r="F26" t="s">
        <v>35</v>
      </c>
      <c r="G26" t="s">
        <v>109</v>
      </c>
      <c r="H26" t="s">
        <v>37</v>
      </c>
      <c r="I26">
        <v>2.3142100724888929E-2</v>
      </c>
      <c r="J26">
        <v>0</v>
      </c>
      <c r="K26" t="s">
        <v>14</v>
      </c>
      <c r="L26">
        <v>938</v>
      </c>
      <c r="M26">
        <v>9.269053538805615E-5</v>
      </c>
      <c r="N26">
        <v>1E-4</v>
      </c>
      <c r="O26">
        <v>3000</v>
      </c>
      <c r="T26">
        <v>0.62991296837565225</v>
      </c>
      <c r="U26">
        <v>4.9013070639746106</v>
      </c>
      <c r="V26">
        <v>4.9993991819918611</v>
      </c>
      <c r="W26">
        <v>9.6469999999999993E-3</v>
      </c>
      <c r="X26">
        <v>8.5518540000000005</v>
      </c>
      <c r="Y26">
        <v>7.1656500000000003</v>
      </c>
      <c r="Z26">
        <v>44.150669999999998</v>
      </c>
      <c r="AA26">
        <v>42.528283999999999</v>
      </c>
      <c r="AB26">
        <v>1E-4</v>
      </c>
      <c r="AC26">
        <v>0.98826339627402993</v>
      </c>
      <c r="AD26">
        <v>0.69999978306822508</v>
      </c>
      <c r="AE26">
        <v>1.6426339999999999</v>
      </c>
      <c r="AF26">
        <v>0.4634525515777716</v>
      </c>
      <c r="AG26">
        <v>0.3879714605175022</v>
      </c>
    </row>
    <row r="27" spans="1:33" x14ac:dyDescent="0.3">
      <c r="A27">
        <v>26</v>
      </c>
      <c r="B27" t="s">
        <v>110</v>
      </c>
      <c r="C27">
        <v>13162.154727799991</v>
      </c>
      <c r="D27">
        <v>219.36924546333319</v>
      </c>
      <c r="E27" t="s">
        <v>111</v>
      </c>
      <c r="F27" t="s">
        <v>35</v>
      </c>
      <c r="G27" t="s">
        <v>112</v>
      </c>
      <c r="H27" t="s">
        <v>37</v>
      </c>
      <c r="I27">
        <v>3.1286700553341082E-2</v>
      </c>
      <c r="J27">
        <v>0</v>
      </c>
      <c r="K27" t="s">
        <v>14</v>
      </c>
      <c r="L27">
        <v>2019</v>
      </c>
      <c r="M27">
        <v>9.6625771055448172E-5</v>
      </c>
      <c r="N27">
        <v>1E-4</v>
      </c>
      <c r="O27">
        <v>3000</v>
      </c>
      <c r="T27">
        <v>0.63906965754389566</v>
      </c>
      <c r="U27">
        <v>4.9998370416334614</v>
      </c>
      <c r="V27">
        <v>3.2809492282833959</v>
      </c>
      <c r="W27">
        <v>9.6469999999999993E-3</v>
      </c>
      <c r="X27">
        <v>8.5518540000000005</v>
      </c>
      <c r="Y27">
        <v>7.1656500000000003</v>
      </c>
      <c r="Z27">
        <v>44.150669999999998</v>
      </c>
      <c r="AA27">
        <v>42.528283999999999</v>
      </c>
      <c r="AB27">
        <v>1E-4</v>
      </c>
      <c r="AC27">
        <v>0.99833710179450019</v>
      </c>
      <c r="AD27">
        <v>0.2320672554790344</v>
      </c>
      <c r="AE27">
        <v>1.6426339999999999</v>
      </c>
      <c r="AF27">
        <v>0.4965122745309889</v>
      </c>
      <c r="AG27">
        <v>0.24397670332928659</v>
      </c>
    </row>
    <row r="28" spans="1:33" x14ac:dyDescent="0.3">
      <c r="A28">
        <v>27</v>
      </c>
      <c r="B28" t="s">
        <v>113</v>
      </c>
      <c r="C28">
        <v>2253.453351300006</v>
      </c>
      <c r="D28">
        <v>37.557555855000103</v>
      </c>
      <c r="E28" t="s">
        <v>114</v>
      </c>
      <c r="F28" t="s">
        <v>35</v>
      </c>
      <c r="G28" t="s">
        <v>115</v>
      </c>
      <c r="H28" t="s">
        <v>37</v>
      </c>
      <c r="I28">
        <v>2.272985416875865E-2</v>
      </c>
      <c r="J28">
        <v>0</v>
      </c>
      <c r="K28" t="s">
        <v>14</v>
      </c>
      <c r="L28">
        <v>431</v>
      </c>
      <c r="M28">
        <v>4.3484450833636833E-5</v>
      </c>
      <c r="N28">
        <v>1E-4</v>
      </c>
      <c r="O28">
        <v>3000</v>
      </c>
      <c r="T28">
        <v>0.3381861782868304</v>
      </c>
      <c r="U28">
        <v>3.9166257865117911</v>
      </c>
      <c r="V28">
        <v>2.1045926003161668</v>
      </c>
      <c r="W28">
        <v>9.6469999999999993E-3</v>
      </c>
      <c r="X28">
        <v>8.5518540000000005</v>
      </c>
      <c r="Y28">
        <v>7.1656500000000003</v>
      </c>
      <c r="Z28">
        <v>44.150669999999998</v>
      </c>
      <c r="AA28">
        <v>42.528283999999999</v>
      </c>
      <c r="AB28">
        <v>1E-4</v>
      </c>
      <c r="AC28">
        <v>0.99750844296927044</v>
      </c>
      <c r="AD28">
        <v>0.69919122491780161</v>
      </c>
      <c r="AE28">
        <v>1.6426339999999999</v>
      </c>
      <c r="AF28">
        <v>0.59999445911592131</v>
      </c>
      <c r="AG28">
        <v>0.1938398819548966</v>
      </c>
    </row>
    <row r="29" spans="1:33" x14ac:dyDescent="0.3">
      <c r="A29">
        <v>28</v>
      </c>
      <c r="B29" t="s">
        <v>116</v>
      </c>
      <c r="C29">
        <v>2405.7802904000268</v>
      </c>
      <c r="D29">
        <v>40.096338173333791</v>
      </c>
      <c r="E29" t="s">
        <v>117</v>
      </c>
      <c r="F29" t="s">
        <v>35</v>
      </c>
      <c r="G29" t="s">
        <v>118</v>
      </c>
      <c r="H29" t="s">
        <v>37</v>
      </c>
      <c r="I29">
        <v>2.9717848603742221E-2</v>
      </c>
      <c r="J29">
        <v>0</v>
      </c>
      <c r="K29" t="s">
        <v>14</v>
      </c>
      <c r="L29">
        <v>423</v>
      </c>
      <c r="M29">
        <v>9.7674401843518435E-5</v>
      </c>
      <c r="N29">
        <v>1E-4</v>
      </c>
      <c r="O29">
        <v>3000</v>
      </c>
      <c r="T29">
        <v>0.34752376784352262</v>
      </c>
      <c r="U29">
        <v>4.0013663708227307</v>
      </c>
      <c r="V29">
        <v>3.294438813828692</v>
      </c>
      <c r="W29">
        <v>9.6469999999999993E-3</v>
      </c>
      <c r="X29">
        <v>8.5518540000000005</v>
      </c>
      <c r="Y29">
        <v>7.1656500000000003</v>
      </c>
      <c r="Z29">
        <v>44.150669999999998</v>
      </c>
      <c r="AA29">
        <v>42.528283999999999</v>
      </c>
      <c r="AB29">
        <v>1E-4</v>
      </c>
      <c r="AC29">
        <v>0.99868628091231215</v>
      </c>
      <c r="AD29">
        <v>0.69921119961271327</v>
      </c>
      <c r="AE29">
        <v>1.6426339999999999</v>
      </c>
      <c r="AF29">
        <v>0.44132202940938059</v>
      </c>
      <c r="AG29">
        <v>0.37145564373780537</v>
      </c>
    </row>
    <row r="30" spans="1:33" x14ac:dyDescent="0.3">
      <c r="A30">
        <v>29</v>
      </c>
      <c r="B30" t="s">
        <v>119</v>
      </c>
      <c r="C30">
        <v>1837.2171314999871</v>
      </c>
      <c r="D30">
        <v>30.62028552499978</v>
      </c>
      <c r="E30" t="s">
        <v>120</v>
      </c>
      <c r="F30" t="s">
        <v>35</v>
      </c>
      <c r="G30" t="s">
        <v>121</v>
      </c>
      <c r="H30" t="s">
        <v>37</v>
      </c>
      <c r="I30">
        <v>2.6631756124359088E-2</v>
      </c>
      <c r="J30">
        <v>0</v>
      </c>
      <c r="K30" t="s">
        <v>14</v>
      </c>
      <c r="L30">
        <v>310</v>
      </c>
      <c r="M30">
        <v>7.9420620316545643E-5</v>
      </c>
      <c r="N30">
        <v>1E-4</v>
      </c>
      <c r="O30">
        <v>3000</v>
      </c>
      <c r="T30">
        <v>0.24398172356291209</v>
      </c>
      <c r="U30">
        <v>4.5816454693239939</v>
      </c>
      <c r="V30">
        <v>3.3617001689822219</v>
      </c>
      <c r="W30">
        <v>9.6469999999999993E-3</v>
      </c>
      <c r="X30">
        <v>8.5518540000000005</v>
      </c>
      <c r="Y30">
        <v>7.1656500000000003</v>
      </c>
      <c r="Z30">
        <v>44.150669999999998</v>
      </c>
      <c r="AA30">
        <v>42.528283999999999</v>
      </c>
      <c r="AB30">
        <v>1E-4</v>
      </c>
      <c r="AC30">
        <v>0.9993299931246924</v>
      </c>
      <c r="AD30">
        <v>0.48830156060475938</v>
      </c>
      <c r="AE30">
        <v>1.6426339999999999</v>
      </c>
      <c r="AF30">
        <v>0.44370534872650119</v>
      </c>
      <c r="AG30">
        <v>0.3967249937725848</v>
      </c>
    </row>
    <row r="31" spans="1:33" x14ac:dyDescent="0.3">
      <c r="A31">
        <v>30</v>
      </c>
      <c r="B31" t="s">
        <v>122</v>
      </c>
      <c r="C31">
        <v>833.86364749999484</v>
      </c>
      <c r="D31">
        <v>13.89772745833325</v>
      </c>
      <c r="E31" t="s">
        <v>123</v>
      </c>
      <c r="F31" t="s">
        <v>35</v>
      </c>
      <c r="G31" t="s">
        <v>124</v>
      </c>
      <c r="H31" t="s">
        <v>37</v>
      </c>
      <c r="I31">
        <v>3.1855670846929272E-2</v>
      </c>
      <c r="J31">
        <v>0</v>
      </c>
      <c r="K31" t="s">
        <v>14</v>
      </c>
      <c r="L31">
        <v>135</v>
      </c>
      <c r="M31">
        <v>8.8728829917631967E-5</v>
      </c>
      <c r="N31">
        <v>1E-4</v>
      </c>
      <c r="O31">
        <v>3000</v>
      </c>
      <c r="T31">
        <v>0.47005536065334969</v>
      </c>
      <c r="U31">
        <v>4.3645115593188653</v>
      </c>
      <c r="V31">
        <v>4.8902570211697132</v>
      </c>
      <c r="W31">
        <v>9.6469999999999993E-3</v>
      </c>
      <c r="X31">
        <v>8.5518540000000005</v>
      </c>
      <c r="Y31">
        <v>7.1656500000000003</v>
      </c>
      <c r="Z31">
        <v>44.150669999999998</v>
      </c>
      <c r="AA31">
        <v>42.528283999999999</v>
      </c>
      <c r="AB31">
        <v>1E-4</v>
      </c>
      <c r="AC31">
        <v>0.99336069971370677</v>
      </c>
      <c r="AD31">
        <v>0.69919688034674321</v>
      </c>
      <c r="AE31">
        <v>1.6426339999999999</v>
      </c>
      <c r="AF31">
        <v>0.4780421237744516</v>
      </c>
      <c r="AG31">
        <v>0.44464794327758422</v>
      </c>
    </row>
    <row r="32" spans="1:33" x14ac:dyDescent="0.3">
      <c r="A32">
        <v>31</v>
      </c>
      <c r="B32" t="s">
        <v>125</v>
      </c>
      <c r="C32">
        <v>1945.5699713999929</v>
      </c>
      <c r="D32">
        <v>32.426166189999883</v>
      </c>
      <c r="E32" t="s">
        <v>126</v>
      </c>
      <c r="F32" t="s">
        <v>35</v>
      </c>
      <c r="G32" t="s">
        <v>127</v>
      </c>
      <c r="H32" t="s">
        <v>37</v>
      </c>
      <c r="I32">
        <v>4.5153499328776242E-2</v>
      </c>
      <c r="J32">
        <v>0</v>
      </c>
      <c r="K32" t="s">
        <v>14</v>
      </c>
      <c r="L32">
        <v>292</v>
      </c>
      <c r="M32">
        <v>9.6387548870786736E-5</v>
      </c>
      <c r="N32">
        <v>1E-4</v>
      </c>
      <c r="O32">
        <v>3000</v>
      </c>
      <c r="T32">
        <v>0.65165568488068359</v>
      </c>
      <c r="U32">
        <v>4.9999512528224672</v>
      </c>
      <c r="V32">
        <v>3.5724662632234971</v>
      </c>
      <c r="W32">
        <v>9.6469999999999993E-3</v>
      </c>
      <c r="X32">
        <v>8.5518540000000005</v>
      </c>
      <c r="Y32">
        <v>7.1656500000000003</v>
      </c>
      <c r="Z32">
        <v>44.150669999999998</v>
      </c>
      <c r="AA32">
        <v>42.528283999999999</v>
      </c>
      <c r="AB32">
        <v>1E-4</v>
      </c>
      <c r="AC32">
        <v>0.99999384302978411</v>
      </c>
      <c r="AD32">
        <v>0.36563810521058648</v>
      </c>
      <c r="AE32">
        <v>1.6426339999999999</v>
      </c>
      <c r="AF32">
        <v>0.4340377103482026</v>
      </c>
      <c r="AG32">
        <v>0.4383671813751393</v>
      </c>
    </row>
    <row r="33" spans="1:33" x14ac:dyDescent="0.3">
      <c r="A33">
        <v>32</v>
      </c>
      <c r="B33" t="s">
        <v>128</v>
      </c>
      <c r="C33">
        <v>1616.5718427000099</v>
      </c>
      <c r="D33">
        <v>26.942864045000171</v>
      </c>
      <c r="E33" t="s">
        <v>129</v>
      </c>
      <c r="F33" t="s">
        <v>35</v>
      </c>
      <c r="G33" t="s">
        <v>130</v>
      </c>
      <c r="H33" t="s">
        <v>37</v>
      </c>
      <c r="I33">
        <v>4.0182913174914237E-2</v>
      </c>
      <c r="J33">
        <v>0</v>
      </c>
      <c r="K33" t="s">
        <v>14</v>
      </c>
      <c r="L33">
        <v>241</v>
      </c>
      <c r="M33">
        <v>9.9554119115511077E-5</v>
      </c>
      <c r="N33">
        <v>1E-4</v>
      </c>
      <c r="O33">
        <v>3000</v>
      </c>
      <c r="T33">
        <v>0.35918995077039828</v>
      </c>
      <c r="U33">
        <v>4.996004687493051</v>
      </c>
      <c r="V33">
        <v>3.3452341440423128</v>
      </c>
      <c r="W33">
        <v>9.6469999999999993E-3</v>
      </c>
      <c r="X33">
        <v>8.5518540000000005</v>
      </c>
      <c r="Y33">
        <v>7.1656500000000003</v>
      </c>
      <c r="Z33">
        <v>44.150669999999998</v>
      </c>
      <c r="AA33">
        <v>42.528283999999999</v>
      </c>
      <c r="AB33">
        <v>1E-4</v>
      </c>
      <c r="AC33">
        <v>0.99912721085845291</v>
      </c>
      <c r="AD33">
        <v>0.51813291626510671</v>
      </c>
      <c r="AE33">
        <v>1.6426339999999999</v>
      </c>
      <c r="AF33">
        <v>0.41966425052957101</v>
      </c>
      <c r="AG33">
        <v>0.42526630307723118</v>
      </c>
    </row>
    <row r="34" spans="1:33" x14ac:dyDescent="0.3">
      <c r="A34">
        <v>33</v>
      </c>
      <c r="B34" t="s">
        <v>131</v>
      </c>
      <c r="C34">
        <v>1090.2880530999969</v>
      </c>
      <c r="D34">
        <v>18.17146755166662</v>
      </c>
      <c r="E34" t="s">
        <v>132</v>
      </c>
      <c r="F34" t="s">
        <v>35</v>
      </c>
      <c r="G34" t="s">
        <v>133</v>
      </c>
      <c r="H34" t="s">
        <v>37</v>
      </c>
      <c r="I34">
        <v>5.4806031205122729E-2</v>
      </c>
      <c r="J34">
        <v>0</v>
      </c>
      <c r="K34" t="s">
        <v>14</v>
      </c>
      <c r="L34">
        <v>190</v>
      </c>
      <c r="M34">
        <v>9.4008651931310353E-5</v>
      </c>
      <c r="N34">
        <v>1E-4</v>
      </c>
      <c r="O34">
        <v>3000</v>
      </c>
      <c r="T34">
        <v>0.18275541264815939</v>
      </c>
      <c r="U34">
        <v>4.9973436184492224</v>
      </c>
      <c r="V34">
        <v>2.7871335393957528</v>
      </c>
      <c r="W34">
        <v>9.6469999999999993E-3</v>
      </c>
      <c r="X34">
        <v>8.5518540000000005</v>
      </c>
      <c r="Y34">
        <v>7.1656500000000003</v>
      </c>
      <c r="Z34">
        <v>44.150669999999998</v>
      </c>
      <c r="AA34">
        <v>42.528283999999999</v>
      </c>
      <c r="AB34">
        <v>1E-4</v>
      </c>
      <c r="AC34">
        <v>0.99630784272507211</v>
      </c>
      <c r="AD34">
        <v>0.69937242173615322</v>
      </c>
      <c r="AE34">
        <v>1.6426339999999999</v>
      </c>
      <c r="AF34">
        <v>0.46580425598023378</v>
      </c>
      <c r="AG34">
        <v>0.38547135815776812</v>
      </c>
    </row>
    <row r="35" spans="1:33" x14ac:dyDescent="0.3">
      <c r="A35">
        <v>34</v>
      </c>
      <c r="B35" t="s">
        <v>134</v>
      </c>
      <c r="C35">
        <v>1444.001316800015</v>
      </c>
      <c r="D35">
        <v>24.066688613333589</v>
      </c>
      <c r="E35" t="s">
        <v>135</v>
      </c>
      <c r="F35" t="s">
        <v>35</v>
      </c>
      <c r="G35" t="s">
        <v>136</v>
      </c>
      <c r="H35" t="s">
        <v>37</v>
      </c>
      <c r="I35">
        <v>4.0495303965838697E-2</v>
      </c>
      <c r="J35">
        <v>0</v>
      </c>
      <c r="K35" t="s">
        <v>14</v>
      </c>
      <c r="L35">
        <v>203</v>
      </c>
      <c r="M35">
        <v>5.9187963796774798E-5</v>
      </c>
      <c r="N35">
        <v>1E-4</v>
      </c>
      <c r="O35">
        <v>3000</v>
      </c>
      <c r="T35">
        <v>0.57078958060942742</v>
      </c>
      <c r="U35">
        <v>4.9999998785187714</v>
      </c>
      <c r="V35">
        <v>2.9812119842056028</v>
      </c>
      <c r="W35">
        <v>9.6469999999999993E-3</v>
      </c>
      <c r="X35">
        <v>8.5518540000000005</v>
      </c>
      <c r="Y35">
        <v>7.1656500000000003</v>
      </c>
      <c r="Z35">
        <v>44.150669999999998</v>
      </c>
      <c r="AA35">
        <v>42.528283999999999</v>
      </c>
      <c r="AB35">
        <v>1E-4</v>
      </c>
      <c r="AC35">
        <v>0.99995495767433651</v>
      </c>
      <c r="AD35">
        <v>0.69999993434679464</v>
      </c>
      <c r="AE35">
        <v>1.6426339999999999</v>
      </c>
      <c r="AF35">
        <v>0.43246519194107819</v>
      </c>
      <c r="AG35">
        <v>0.43426339107853962</v>
      </c>
    </row>
    <row r="36" spans="1:33" x14ac:dyDescent="0.3">
      <c r="A36">
        <v>35</v>
      </c>
      <c r="B36" t="s">
        <v>137</v>
      </c>
      <c r="C36">
        <v>4817.296459300007</v>
      </c>
      <c r="D36">
        <v>80.288274321666776</v>
      </c>
      <c r="E36" t="s">
        <v>138</v>
      </c>
      <c r="F36" t="s">
        <v>35</v>
      </c>
      <c r="G36" t="s">
        <v>139</v>
      </c>
      <c r="H36" t="s">
        <v>37</v>
      </c>
      <c r="I36">
        <v>2.4092788023245212E-2</v>
      </c>
      <c r="J36">
        <v>0</v>
      </c>
      <c r="K36" t="s">
        <v>14</v>
      </c>
      <c r="L36">
        <v>786</v>
      </c>
      <c r="M36">
        <v>9.6872710413635827E-5</v>
      </c>
      <c r="N36">
        <v>1E-4</v>
      </c>
      <c r="O36">
        <v>3000</v>
      </c>
      <c r="T36">
        <v>0.12741665495060681</v>
      </c>
      <c r="U36">
        <v>4.9977559114061654</v>
      </c>
      <c r="V36">
        <v>4.9999958054677416</v>
      </c>
      <c r="W36">
        <v>9.6469999999999993E-3</v>
      </c>
      <c r="X36">
        <v>8.5518540000000005</v>
      </c>
      <c r="Y36">
        <v>7.1656500000000003</v>
      </c>
      <c r="Z36">
        <v>44.150669999999998</v>
      </c>
      <c r="AA36">
        <v>42.528283999999999</v>
      </c>
      <c r="AB36">
        <v>1E-4</v>
      </c>
      <c r="AC36">
        <v>0.99920868634270543</v>
      </c>
      <c r="AD36">
        <v>0.57223463618294046</v>
      </c>
      <c r="AE36">
        <v>1.6426339999999999</v>
      </c>
      <c r="AF36">
        <v>0.47037902861586878</v>
      </c>
      <c r="AG36">
        <v>0.39320094279240819</v>
      </c>
    </row>
    <row r="37" spans="1:33" x14ac:dyDescent="0.3">
      <c r="A37">
        <v>36</v>
      </c>
      <c r="B37" t="s">
        <v>140</v>
      </c>
      <c r="C37">
        <v>837.01638350001303</v>
      </c>
      <c r="D37">
        <v>13.950273058333551</v>
      </c>
      <c r="E37" t="s">
        <v>141</v>
      </c>
      <c r="F37" t="s">
        <v>35</v>
      </c>
      <c r="G37" t="s">
        <v>142</v>
      </c>
      <c r="H37" t="s">
        <v>37</v>
      </c>
      <c r="I37">
        <v>3.9796600125608962E-2</v>
      </c>
      <c r="J37">
        <v>0</v>
      </c>
      <c r="K37" t="s">
        <v>14</v>
      </c>
      <c r="L37">
        <v>174</v>
      </c>
      <c r="M37">
        <v>5.8707324824113813E-5</v>
      </c>
      <c r="N37">
        <v>1E-4</v>
      </c>
      <c r="O37">
        <v>3000</v>
      </c>
      <c r="T37">
        <v>0.12717370928146729</v>
      </c>
      <c r="U37">
        <v>4.999914875879087</v>
      </c>
      <c r="V37">
        <v>4.258323499610043</v>
      </c>
      <c r="W37">
        <v>9.6469999999999993E-3</v>
      </c>
      <c r="X37">
        <v>8.5518540000000005</v>
      </c>
      <c r="Y37">
        <v>7.1656500000000003</v>
      </c>
      <c r="Z37">
        <v>44.150669999999998</v>
      </c>
      <c r="AA37">
        <v>42.528283999999999</v>
      </c>
      <c r="AB37">
        <v>1E-4</v>
      </c>
      <c r="AC37">
        <v>0.99871761142412674</v>
      </c>
      <c r="AD37">
        <v>0.69988586870364655</v>
      </c>
      <c r="AE37">
        <v>1.6426339999999999</v>
      </c>
      <c r="AF37">
        <v>0.47899641425917072</v>
      </c>
      <c r="AG37">
        <v>0.38410199447700832</v>
      </c>
    </row>
    <row r="38" spans="1:33" x14ac:dyDescent="0.3">
      <c r="A38">
        <v>37</v>
      </c>
      <c r="B38" t="s">
        <v>143</v>
      </c>
      <c r="C38">
        <v>397.92617180000519</v>
      </c>
      <c r="D38">
        <v>6.6321028633334196</v>
      </c>
      <c r="E38" t="s">
        <v>144</v>
      </c>
      <c r="F38" t="s">
        <v>35</v>
      </c>
      <c r="G38" t="s">
        <v>145</v>
      </c>
      <c r="H38" t="s">
        <v>37</v>
      </c>
      <c r="I38">
        <v>5.1150619612580987E-2</v>
      </c>
      <c r="J38">
        <v>0</v>
      </c>
      <c r="K38" t="s">
        <v>14</v>
      </c>
      <c r="L38">
        <v>80</v>
      </c>
      <c r="M38">
        <v>8.8222452269702331E-5</v>
      </c>
      <c r="N38">
        <v>1E-4</v>
      </c>
      <c r="O38">
        <v>3000</v>
      </c>
      <c r="T38">
        <v>0.25626305996605592</v>
      </c>
      <c r="U38">
        <v>4.9999302630490261</v>
      </c>
      <c r="V38">
        <v>2.550474056280986</v>
      </c>
      <c r="W38">
        <v>9.6469999999999993E-3</v>
      </c>
      <c r="X38">
        <v>8.5518540000000005</v>
      </c>
      <c r="Y38">
        <v>7.1656500000000003</v>
      </c>
      <c r="Z38">
        <v>44.150669999999998</v>
      </c>
      <c r="AA38">
        <v>42.528283999999999</v>
      </c>
      <c r="AB38">
        <v>1E-4</v>
      </c>
      <c r="AC38">
        <v>0.99999948674501371</v>
      </c>
      <c r="AD38">
        <v>0.42715737946817522</v>
      </c>
      <c r="AE38">
        <v>1.6426339999999999</v>
      </c>
      <c r="AF38">
        <v>0.46931414634837698</v>
      </c>
      <c r="AG38">
        <v>0.3378429006197069</v>
      </c>
    </row>
    <row r="39" spans="1:33" x14ac:dyDescent="0.3">
      <c r="A39">
        <v>38</v>
      </c>
      <c r="B39" t="s">
        <v>146</v>
      </c>
      <c r="C39">
        <v>2541.0910249000008</v>
      </c>
      <c r="D39">
        <v>42.351517081666678</v>
      </c>
      <c r="E39" t="s">
        <v>147</v>
      </c>
      <c r="F39" t="s">
        <v>35</v>
      </c>
      <c r="G39" t="s">
        <v>148</v>
      </c>
      <c r="H39" t="s">
        <v>37</v>
      </c>
      <c r="I39">
        <v>3.6621184571897711E-2</v>
      </c>
      <c r="J39">
        <v>0</v>
      </c>
      <c r="K39" t="s">
        <v>14</v>
      </c>
      <c r="L39">
        <v>363</v>
      </c>
      <c r="M39">
        <v>9.925292447762903E-5</v>
      </c>
      <c r="N39">
        <v>1E-4</v>
      </c>
      <c r="O39">
        <v>3000</v>
      </c>
      <c r="T39">
        <v>0.25129475807964419</v>
      </c>
      <c r="U39">
        <v>4.9169339995227199</v>
      </c>
      <c r="V39">
        <v>3.361311938007201</v>
      </c>
      <c r="W39">
        <v>9.6469999999999993E-3</v>
      </c>
      <c r="X39">
        <v>8.5518540000000005</v>
      </c>
      <c r="Y39">
        <v>7.1656500000000003</v>
      </c>
      <c r="Z39">
        <v>44.150669999999998</v>
      </c>
      <c r="AA39">
        <v>42.528283999999999</v>
      </c>
      <c r="AB39">
        <v>1E-4</v>
      </c>
      <c r="AC39">
        <v>0.99950318516890913</v>
      </c>
      <c r="AD39">
        <v>0.69995934748937216</v>
      </c>
      <c r="AE39">
        <v>1.6426339999999999</v>
      </c>
      <c r="AF39">
        <v>0.42109260080039768</v>
      </c>
      <c r="AG39">
        <v>0.50672349040353726</v>
      </c>
    </row>
    <row r="40" spans="1:33" x14ac:dyDescent="0.3">
      <c r="A40">
        <v>39</v>
      </c>
      <c r="B40" t="s">
        <v>149</v>
      </c>
      <c r="C40">
        <v>4987.363488300005</v>
      </c>
      <c r="D40">
        <v>83.12272480500009</v>
      </c>
      <c r="E40" t="s">
        <v>150</v>
      </c>
      <c r="F40" t="s">
        <v>35</v>
      </c>
      <c r="G40" t="s">
        <v>151</v>
      </c>
      <c r="H40" t="s">
        <v>37</v>
      </c>
      <c r="I40">
        <v>2.7769008754686839E-2</v>
      </c>
      <c r="J40">
        <v>0</v>
      </c>
      <c r="K40" t="s">
        <v>14</v>
      </c>
      <c r="L40">
        <v>840</v>
      </c>
      <c r="M40">
        <v>3.1077079098716293E-5</v>
      </c>
      <c r="N40">
        <v>1E-4</v>
      </c>
      <c r="O40">
        <v>3000</v>
      </c>
      <c r="T40">
        <v>0.2062774361030901</v>
      </c>
      <c r="U40">
        <v>4.4484120881804694</v>
      </c>
      <c r="V40">
        <v>3.3758490908345511</v>
      </c>
      <c r="W40">
        <v>9.6469999999999993E-3</v>
      </c>
      <c r="X40">
        <v>8.5518540000000005</v>
      </c>
      <c r="Y40">
        <v>7.1656500000000003</v>
      </c>
      <c r="Z40">
        <v>44.150669999999998</v>
      </c>
      <c r="AA40">
        <v>42.528283999999999</v>
      </c>
      <c r="AB40">
        <v>1E-4</v>
      </c>
      <c r="AC40">
        <v>0.99998758430808787</v>
      </c>
      <c r="AD40">
        <v>0.69854196077469577</v>
      </c>
      <c r="AE40">
        <v>1.6426339999999999</v>
      </c>
      <c r="AF40">
        <v>0.43574958886220683</v>
      </c>
      <c r="AG40">
        <v>0.4299661796151521</v>
      </c>
    </row>
    <row r="41" spans="1:33" x14ac:dyDescent="0.3">
      <c r="A41">
        <v>40</v>
      </c>
      <c r="B41" t="s">
        <v>152</v>
      </c>
      <c r="C41">
        <v>18303.57188520001</v>
      </c>
      <c r="D41">
        <v>305.05953142000021</v>
      </c>
      <c r="E41" t="s">
        <v>153</v>
      </c>
      <c r="F41" t="s">
        <v>35</v>
      </c>
      <c r="G41" t="s">
        <v>154</v>
      </c>
      <c r="H41" t="s">
        <v>37</v>
      </c>
      <c r="I41">
        <v>8.5076755083447128E-3</v>
      </c>
      <c r="J41">
        <v>0</v>
      </c>
      <c r="K41" t="s">
        <v>14</v>
      </c>
      <c r="L41">
        <v>3001</v>
      </c>
      <c r="M41">
        <v>3.6459427652124019E-4</v>
      </c>
      <c r="N41">
        <v>1E-4</v>
      </c>
      <c r="O41">
        <v>3000</v>
      </c>
      <c r="T41">
        <v>8.5800436047999182E-2</v>
      </c>
      <c r="U41">
        <v>4.9978917430399283</v>
      </c>
      <c r="V41">
        <v>4.3259964111951721</v>
      </c>
      <c r="W41">
        <v>9.6469999999999993E-3</v>
      </c>
      <c r="X41">
        <v>8.5518540000000005</v>
      </c>
      <c r="Y41">
        <v>7.1656500000000003</v>
      </c>
      <c r="Z41">
        <v>44.150669999999998</v>
      </c>
      <c r="AA41">
        <v>42.528283999999999</v>
      </c>
      <c r="AB41">
        <v>1E-4</v>
      </c>
      <c r="AC41">
        <v>0.95296901284937008</v>
      </c>
      <c r="AD41">
        <v>0.6776311654642263</v>
      </c>
      <c r="AE41">
        <v>1.6426339999999999</v>
      </c>
      <c r="AF41">
        <v>0.49202221661212231</v>
      </c>
      <c r="AG41">
        <v>0.29944634896658062</v>
      </c>
    </row>
    <row r="42" spans="1:33" x14ac:dyDescent="0.3">
      <c r="A42">
        <v>41</v>
      </c>
      <c r="B42" t="s">
        <v>155</v>
      </c>
      <c r="C42">
        <v>2908.7337728999851</v>
      </c>
      <c r="D42">
        <v>48.478896214999743</v>
      </c>
      <c r="E42" t="s">
        <v>156</v>
      </c>
      <c r="F42" t="s">
        <v>35</v>
      </c>
      <c r="G42" t="s">
        <v>157</v>
      </c>
      <c r="H42" t="s">
        <v>37</v>
      </c>
      <c r="I42">
        <v>2.3831395465168961E-2</v>
      </c>
      <c r="J42">
        <v>0</v>
      </c>
      <c r="K42" t="s">
        <v>14</v>
      </c>
      <c r="L42">
        <v>500</v>
      </c>
      <c r="M42">
        <v>9.0198016404180659E-5</v>
      </c>
      <c r="N42">
        <v>1E-4</v>
      </c>
      <c r="O42">
        <v>3000</v>
      </c>
      <c r="T42">
        <v>5.9591316460698533E-2</v>
      </c>
      <c r="U42">
        <v>4.7585783596886611</v>
      </c>
      <c r="V42">
        <v>3.9437572821347162</v>
      </c>
      <c r="W42">
        <v>9.6469999999999993E-3</v>
      </c>
      <c r="X42">
        <v>8.5518540000000005</v>
      </c>
      <c r="Y42">
        <v>7.1656500000000003</v>
      </c>
      <c r="Z42">
        <v>44.150669999999998</v>
      </c>
      <c r="AA42">
        <v>42.528283999999999</v>
      </c>
      <c r="AB42">
        <v>1E-4</v>
      </c>
      <c r="AC42">
        <v>0.999724130409541</v>
      </c>
      <c r="AD42">
        <v>0.49867451293546727</v>
      </c>
      <c r="AE42">
        <v>1.6426339999999999</v>
      </c>
      <c r="AF42">
        <v>0.39857628990272009</v>
      </c>
      <c r="AG42">
        <v>0.43145547182388561</v>
      </c>
    </row>
    <row r="43" spans="1:33" x14ac:dyDescent="0.3">
      <c r="A43">
        <v>42</v>
      </c>
      <c r="B43" t="s">
        <v>158</v>
      </c>
      <c r="C43">
        <v>7429.9026429000078</v>
      </c>
      <c r="D43">
        <v>123.8317107150001</v>
      </c>
      <c r="E43" t="s">
        <v>159</v>
      </c>
      <c r="F43" t="s">
        <v>35</v>
      </c>
      <c r="G43" t="s">
        <v>160</v>
      </c>
      <c r="H43" t="s">
        <v>37</v>
      </c>
      <c r="I43">
        <v>7.475234706802035E-2</v>
      </c>
      <c r="J43">
        <v>0</v>
      </c>
      <c r="K43" t="s">
        <v>14</v>
      </c>
      <c r="L43">
        <v>1448</v>
      </c>
      <c r="M43">
        <v>9.8251136060979857E-5</v>
      </c>
      <c r="N43">
        <v>1E-4</v>
      </c>
      <c r="O43">
        <v>3000</v>
      </c>
      <c r="T43">
        <v>0.70756267409961315</v>
      </c>
      <c r="U43">
        <v>4.9996979542041977</v>
      </c>
      <c r="V43">
        <v>3.0900592851266282</v>
      </c>
      <c r="W43">
        <v>9.6469999999999993E-3</v>
      </c>
      <c r="X43">
        <v>8.5518540000000005</v>
      </c>
      <c r="Y43">
        <v>7.1656500000000003</v>
      </c>
      <c r="Z43">
        <v>44.150669999999998</v>
      </c>
      <c r="AA43">
        <v>42.528283999999999</v>
      </c>
      <c r="AB43">
        <v>1E-4</v>
      </c>
      <c r="AC43">
        <v>0.99978203533532117</v>
      </c>
      <c r="AD43">
        <v>0.39364995612643222</v>
      </c>
      <c r="AE43">
        <v>1.6426339999999999</v>
      </c>
      <c r="AF43">
        <v>0.46147555749634689</v>
      </c>
      <c r="AG43">
        <v>0.37448997958589958</v>
      </c>
    </row>
    <row r="44" spans="1:33" x14ac:dyDescent="0.3">
      <c r="A44">
        <v>43</v>
      </c>
      <c r="B44" t="s">
        <v>161</v>
      </c>
      <c r="C44">
        <v>1136.8069555000111</v>
      </c>
      <c r="D44">
        <v>18.94678259166685</v>
      </c>
      <c r="E44" t="s">
        <v>162</v>
      </c>
      <c r="F44" t="s">
        <v>35</v>
      </c>
      <c r="G44" t="s">
        <v>163</v>
      </c>
      <c r="H44" t="s">
        <v>37</v>
      </c>
      <c r="I44">
        <v>5.6623973915311522E-2</v>
      </c>
      <c r="J44">
        <v>0</v>
      </c>
      <c r="K44" t="s">
        <v>14</v>
      </c>
      <c r="L44">
        <v>171</v>
      </c>
      <c r="M44">
        <v>9.6756694296820536E-5</v>
      </c>
      <c r="N44">
        <v>1E-4</v>
      </c>
      <c r="O44">
        <v>3000</v>
      </c>
      <c r="T44">
        <v>0.38003289684944219</v>
      </c>
      <c r="U44">
        <v>4.9992630607250108</v>
      </c>
      <c r="V44">
        <v>3.9752447429533651</v>
      </c>
      <c r="W44">
        <v>9.6469999999999993E-3</v>
      </c>
      <c r="X44">
        <v>8.5518540000000005</v>
      </c>
      <c r="Y44">
        <v>7.1656500000000003</v>
      </c>
      <c r="Z44">
        <v>44.150669999999998</v>
      </c>
      <c r="AA44">
        <v>42.528283999999999</v>
      </c>
      <c r="AB44">
        <v>1E-4</v>
      </c>
      <c r="AC44">
        <v>0.99995224852686515</v>
      </c>
      <c r="AD44">
        <v>0.69932300757904575</v>
      </c>
      <c r="AE44">
        <v>1.6426339999999999</v>
      </c>
      <c r="AF44">
        <v>0.45370366637859322</v>
      </c>
      <c r="AG44">
        <v>0.50355512413685055</v>
      </c>
    </row>
    <row r="45" spans="1:33" x14ac:dyDescent="0.3">
      <c r="A45">
        <v>44</v>
      </c>
      <c r="B45" t="s">
        <v>164</v>
      </c>
      <c r="C45">
        <v>3904.1196934000181</v>
      </c>
      <c r="D45">
        <v>65.068661556666967</v>
      </c>
      <c r="E45" t="s">
        <v>165</v>
      </c>
      <c r="F45" t="s">
        <v>35</v>
      </c>
      <c r="G45" t="s">
        <v>166</v>
      </c>
      <c r="H45" t="s">
        <v>37</v>
      </c>
      <c r="I45">
        <v>3.1696054606095987E-2</v>
      </c>
      <c r="J45">
        <v>0</v>
      </c>
      <c r="K45" t="s">
        <v>14</v>
      </c>
      <c r="L45">
        <v>650</v>
      </c>
      <c r="M45">
        <v>8.4408553530352382E-5</v>
      </c>
      <c r="N45">
        <v>1E-4</v>
      </c>
      <c r="O45">
        <v>3000</v>
      </c>
      <c r="T45">
        <v>0.48497180772311671</v>
      </c>
      <c r="U45">
        <v>4.9999840700518154</v>
      </c>
      <c r="V45">
        <v>4.9879246052421422</v>
      </c>
      <c r="W45">
        <v>9.6469999999999993E-3</v>
      </c>
      <c r="X45">
        <v>8.5518540000000005</v>
      </c>
      <c r="Y45">
        <v>7.1656500000000003</v>
      </c>
      <c r="Z45">
        <v>44.150669999999998</v>
      </c>
      <c r="AA45">
        <v>42.528283999999999</v>
      </c>
      <c r="AB45">
        <v>1E-4</v>
      </c>
      <c r="AC45">
        <v>0.99506294151238084</v>
      </c>
      <c r="AD45">
        <v>0.50226404788613344</v>
      </c>
      <c r="AE45">
        <v>1.6426339999999999</v>
      </c>
      <c r="AF45">
        <v>0.46568003371377309</v>
      </c>
      <c r="AG45">
        <v>0.373416141128881</v>
      </c>
    </row>
    <row r="46" spans="1:33" x14ac:dyDescent="0.3">
      <c r="A46">
        <v>45</v>
      </c>
      <c r="B46" t="s">
        <v>167</v>
      </c>
      <c r="C46">
        <v>7609.8664884000027</v>
      </c>
      <c r="D46">
        <v>126.83110814</v>
      </c>
      <c r="E46" t="s">
        <v>168</v>
      </c>
      <c r="F46" t="s">
        <v>35</v>
      </c>
      <c r="G46" t="s">
        <v>169</v>
      </c>
      <c r="H46" t="s">
        <v>37</v>
      </c>
      <c r="I46">
        <v>2.1284489009969279E-2</v>
      </c>
      <c r="J46">
        <v>0</v>
      </c>
      <c r="K46" t="s">
        <v>14</v>
      </c>
      <c r="L46">
        <v>1506</v>
      </c>
      <c r="M46">
        <v>7.3277264473851656E-5</v>
      </c>
      <c r="N46">
        <v>1E-4</v>
      </c>
      <c r="O46">
        <v>3000</v>
      </c>
      <c r="T46">
        <v>5.9562692233769803E-2</v>
      </c>
      <c r="U46">
        <v>4.9421798203200682</v>
      </c>
      <c r="V46">
        <v>3.9316853672050041</v>
      </c>
      <c r="W46">
        <v>9.6469999999999993E-3</v>
      </c>
      <c r="X46">
        <v>8.5518540000000005</v>
      </c>
      <c r="Y46">
        <v>7.1656500000000003</v>
      </c>
      <c r="Z46">
        <v>44.150669999999998</v>
      </c>
      <c r="AA46">
        <v>42.528283999999999</v>
      </c>
      <c r="AB46">
        <v>1E-4</v>
      </c>
      <c r="AC46">
        <v>0.99873853265832668</v>
      </c>
      <c r="AD46">
        <v>0.36061541335635861</v>
      </c>
      <c r="AE46">
        <v>1.6426339999999999</v>
      </c>
      <c r="AF46">
        <v>0.47592299439660141</v>
      </c>
      <c r="AG46">
        <v>0.32206845541334872</v>
      </c>
    </row>
    <row r="47" spans="1:33" x14ac:dyDescent="0.3">
      <c r="A47">
        <v>46</v>
      </c>
      <c r="B47" t="s">
        <v>170</v>
      </c>
      <c r="C47">
        <v>950.68058039998868</v>
      </c>
      <c r="D47">
        <v>15.844676339999809</v>
      </c>
      <c r="E47" t="s">
        <v>171</v>
      </c>
      <c r="F47" t="s">
        <v>35</v>
      </c>
      <c r="G47" t="s">
        <v>172</v>
      </c>
      <c r="H47" t="s">
        <v>37</v>
      </c>
      <c r="I47">
        <v>5.2993154602945049E-2</v>
      </c>
      <c r="J47">
        <v>0</v>
      </c>
      <c r="K47" t="s">
        <v>14</v>
      </c>
      <c r="L47">
        <v>167</v>
      </c>
      <c r="M47">
        <v>9.972944950739808E-5</v>
      </c>
      <c r="N47">
        <v>1E-4</v>
      </c>
      <c r="O47">
        <v>3000</v>
      </c>
      <c r="T47">
        <v>0.35958036752535011</v>
      </c>
      <c r="U47">
        <v>4.6988171539413086</v>
      </c>
      <c r="V47">
        <v>3.2711910643074051</v>
      </c>
      <c r="W47">
        <v>9.6469999999999993E-3</v>
      </c>
      <c r="X47">
        <v>8.5518540000000005</v>
      </c>
      <c r="Y47">
        <v>7.1656500000000003</v>
      </c>
      <c r="Z47">
        <v>44.150669999999998</v>
      </c>
      <c r="AA47">
        <v>42.528283999999999</v>
      </c>
      <c r="AB47">
        <v>1E-4</v>
      </c>
      <c r="AC47">
        <v>0.9997592713660397</v>
      </c>
      <c r="AD47">
        <v>0.69999831433342585</v>
      </c>
      <c r="AE47">
        <v>1.6426339999999999</v>
      </c>
      <c r="AF47">
        <v>0.40460046558962098</v>
      </c>
      <c r="AG47">
        <v>0.44770133511875759</v>
      </c>
    </row>
    <row r="48" spans="1:33" x14ac:dyDescent="0.3">
      <c r="A48">
        <v>47</v>
      </c>
      <c r="B48" t="s">
        <v>173</v>
      </c>
      <c r="C48">
        <v>11601.02379430001</v>
      </c>
      <c r="D48">
        <v>193.35039657166681</v>
      </c>
      <c r="E48" t="s">
        <v>174</v>
      </c>
      <c r="F48" t="s">
        <v>35</v>
      </c>
      <c r="G48" t="s">
        <v>175</v>
      </c>
      <c r="H48" t="s">
        <v>37</v>
      </c>
      <c r="I48">
        <v>2.5530126222674161E-2</v>
      </c>
      <c r="J48">
        <v>0</v>
      </c>
      <c r="K48" t="s">
        <v>14</v>
      </c>
      <c r="L48">
        <v>2618</v>
      </c>
      <c r="M48">
        <v>5.5687330374316348E-5</v>
      </c>
      <c r="N48">
        <v>1E-4</v>
      </c>
      <c r="O48">
        <v>3000</v>
      </c>
      <c r="T48">
        <v>0.16650416003547791</v>
      </c>
      <c r="U48">
        <v>4.9999969226464467</v>
      </c>
      <c r="V48">
        <v>4.9999790491014444</v>
      </c>
      <c r="W48">
        <v>9.6469999999999993E-3</v>
      </c>
      <c r="X48">
        <v>8.5518540000000005</v>
      </c>
      <c r="Y48">
        <v>7.1656500000000003</v>
      </c>
      <c r="Z48">
        <v>44.150669999999998</v>
      </c>
      <c r="AA48">
        <v>42.528283999999999</v>
      </c>
      <c r="AB48">
        <v>1E-4</v>
      </c>
      <c r="AC48">
        <v>0.99999994327767683</v>
      </c>
      <c r="AD48">
        <v>0.69960931074292054</v>
      </c>
      <c r="AE48">
        <v>1.6426339999999999</v>
      </c>
      <c r="AF48">
        <v>0.51741138234354556</v>
      </c>
      <c r="AG48">
        <v>0.34671495359215232</v>
      </c>
    </row>
    <row r="49" spans="1:33" x14ac:dyDescent="0.3">
      <c r="A49">
        <v>48</v>
      </c>
      <c r="B49" t="s">
        <v>176</v>
      </c>
      <c r="C49">
        <v>1415.987077600003</v>
      </c>
      <c r="D49">
        <v>23.599784626666711</v>
      </c>
      <c r="E49" t="s">
        <v>177</v>
      </c>
      <c r="F49" t="s">
        <v>35</v>
      </c>
      <c r="G49" t="s">
        <v>178</v>
      </c>
      <c r="H49" t="s">
        <v>37</v>
      </c>
      <c r="I49">
        <v>4.1386732020067887E-2</v>
      </c>
      <c r="J49">
        <v>0</v>
      </c>
      <c r="K49" t="s">
        <v>14</v>
      </c>
      <c r="L49">
        <v>214</v>
      </c>
      <c r="M49">
        <v>9.5626308242348389E-5</v>
      </c>
      <c r="N49">
        <v>1E-4</v>
      </c>
      <c r="O49">
        <v>3000</v>
      </c>
      <c r="T49">
        <v>0.54641705530354168</v>
      </c>
      <c r="U49">
        <v>4.9999977259316593</v>
      </c>
      <c r="V49">
        <v>2.9211133755775229</v>
      </c>
      <c r="W49">
        <v>9.6469999999999993E-3</v>
      </c>
      <c r="X49">
        <v>8.5518540000000005</v>
      </c>
      <c r="Y49">
        <v>7.1656500000000003</v>
      </c>
      <c r="Z49">
        <v>44.150669999999998</v>
      </c>
      <c r="AA49">
        <v>42.528283999999999</v>
      </c>
      <c r="AB49">
        <v>1E-4</v>
      </c>
      <c r="AC49">
        <v>0.99915605015430375</v>
      </c>
      <c r="AD49">
        <v>0.69996664324064217</v>
      </c>
      <c r="AE49">
        <v>1.6426339999999999</v>
      </c>
      <c r="AF49">
        <v>0.40933152585252908</v>
      </c>
      <c r="AG49">
        <v>0.53303095765464847</v>
      </c>
    </row>
    <row r="50" spans="1:33" x14ac:dyDescent="0.3">
      <c r="A50">
        <v>49</v>
      </c>
      <c r="B50" t="s">
        <v>179</v>
      </c>
      <c r="C50">
        <v>1867.132829200011</v>
      </c>
      <c r="D50">
        <v>31.11888048666685</v>
      </c>
      <c r="E50" t="s">
        <v>180</v>
      </c>
      <c r="F50" t="s">
        <v>35</v>
      </c>
      <c r="G50" t="s">
        <v>181</v>
      </c>
      <c r="H50" t="s">
        <v>37</v>
      </c>
      <c r="I50">
        <v>2.3719756807069409E-2</v>
      </c>
      <c r="J50">
        <v>0</v>
      </c>
      <c r="K50" t="s">
        <v>14</v>
      </c>
      <c r="L50">
        <v>343</v>
      </c>
      <c r="M50">
        <v>9.9886296124834464E-5</v>
      </c>
      <c r="N50">
        <v>1E-4</v>
      </c>
      <c r="O50">
        <v>3000</v>
      </c>
      <c r="T50">
        <v>0.12794682013942429</v>
      </c>
      <c r="U50">
        <v>4.9998976278949829</v>
      </c>
      <c r="V50">
        <v>4.9807858548498478</v>
      </c>
      <c r="W50">
        <v>9.6469999999999993E-3</v>
      </c>
      <c r="X50">
        <v>8.5518540000000005</v>
      </c>
      <c r="Y50">
        <v>7.1656500000000003</v>
      </c>
      <c r="Z50">
        <v>44.150669999999998</v>
      </c>
      <c r="AA50">
        <v>42.528283999999999</v>
      </c>
      <c r="AB50">
        <v>1E-4</v>
      </c>
      <c r="AC50">
        <v>0.9997028458983831</v>
      </c>
      <c r="AD50">
        <v>0.44475296365589839</v>
      </c>
      <c r="AE50">
        <v>1.6426339999999999</v>
      </c>
      <c r="AF50">
        <v>0.57315191883959038</v>
      </c>
      <c r="AG50">
        <v>0.32681043927832498</v>
      </c>
    </row>
    <row r="51" spans="1:33" x14ac:dyDescent="0.3">
      <c r="A51">
        <v>50</v>
      </c>
      <c r="B51" t="s">
        <v>182</v>
      </c>
      <c r="C51">
        <v>13830.62409930001</v>
      </c>
      <c r="D51">
        <v>230.51040165500021</v>
      </c>
      <c r="E51" t="s">
        <v>183</v>
      </c>
      <c r="F51" t="s">
        <v>35</v>
      </c>
      <c r="G51" t="s">
        <v>184</v>
      </c>
      <c r="H51" t="s">
        <v>37</v>
      </c>
      <c r="I51">
        <v>1.1623821890690261E-2</v>
      </c>
      <c r="J51">
        <v>0</v>
      </c>
      <c r="K51" t="s">
        <v>14</v>
      </c>
      <c r="L51">
        <v>2686</v>
      </c>
      <c r="M51">
        <v>4.2809417260542459E-5</v>
      </c>
      <c r="N51">
        <v>1E-4</v>
      </c>
      <c r="O51">
        <v>3000</v>
      </c>
      <c r="T51">
        <v>0.46643619841486372</v>
      </c>
      <c r="U51">
        <v>4.2034903646597304</v>
      </c>
      <c r="V51">
        <v>4.9167237063690621</v>
      </c>
      <c r="W51">
        <v>9.6469999999999993E-3</v>
      </c>
      <c r="X51">
        <v>8.5518540000000005</v>
      </c>
      <c r="Y51">
        <v>7.1656500000000003</v>
      </c>
      <c r="Z51">
        <v>44.150669999999998</v>
      </c>
      <c r="AA51">
        <v>42.528283999999999</v>
      </c>
      <c r="AB51">
        <v>1E-4</v>
      </c>
      <c r="AC51">
        <v>0.98589111792369344</v>
      </c>
      <c r="AD51">
        <v>0.69890394012450874</v>
      </c>
      <c r="AE51">
        <v>1.6426339999999999</v>
      </c>
      <c r="AF51">
        <v>0.56430025781485005</v>
      </c>
      <c r="AG51">
        <v>0.31043464069642901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60E2-4191-4D5F-B74B-B5DC0737A08B}">
  <dimension ref="A1:AG56"/>
  <sheetViews>
    <sheetView tabSelected="1" topLeftCell="C27" zoomScale="53" workbookViewId="0">
      <selection activeCell="AL48" sqref="AL48"/>
    </sheetView>
  </sheetViews>
  <sheetFormatPr baseColWidth="10" defaultColWidth="8.88671875"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11</v>
      </c>
      <c r="B2" t="s">
        <v>65</v>
      </c>
      <c r="C2">
        <v>2981.083351000008</v>
      </c>
      <c r="D2">
        <v>49.68472251666681</v>
      </c>
      <c r="E2" t="s">
        <v>66</v>
      </c>
      <c r="F2" t="s">
        <v>35</v>
      </c>
      <c r="G2" t="s">
        <v>67</v>
      </c>
      <c r="H2" t="s">
        <v>37</v>
      </c>
      <c r="I2">
        <v>7.9153665368111113E-3</v>
      </c>
      <c r="J2">
        <v>0</v>
      </c>
      <c r="K2" t="s">
        <v>14</v>
      </c>
      <c r="L2">
        <v>491</v>
      </c>
      <c r="M2">
        <v>9.8120658451593992E-5</v>
      </c>
      <c r="N2">
        <v>1E-4</v>
      </c>
      <c r="O2">
        <v>3000</v>
      </c>
      <c r="T2">
        <v>7.2189782905382888E-2</v>
      </c>
      <c r="U2">
        <v>4.9860379117148312</v>
      </c>
      <c r="V2">
        <v>4.9972326244802519</v>
      </c>
      <c r="W2">
        <v>9.6469999999999993E-3</v>
      </c>
      <c r="X2">
        <v>8.5518540000000005</v>
      </c>
      <c r="Y2">
        <v>7.1656500000000003</v>
      </c>
      <c r="Z2">
        <v>44.150669999999998</v>
      </c>
      <c r="AA2">
        <v>42.528283999999999</v>
      </c>
      <c r="AB2">
        <v>1E-4</v>
      </c>
      <c r="AC2">
        <v>0.99971104142765466</v>
      </c>
      <c r="AD2">
        <v>0.46019495835237312</v>
      </c>
      <c r="AE2">
        <v>1.6426339999999999</v>
      </c>
      <c r="AF2">
        <v>0.46794774188225557</v>
      </c>
      <c r="AG2">
        <v>0.37614496125742841</v>
      </c>
    </row>
    <row r="3" spans="1:33" x14ac:dyDescent="0.3">
      <c r="A3">
        <v>40</v>
      </c>
      <c r="B3" t="s">
        <v>152</v>
      </c>
      <c r="C3">
        <v>18303.57188520001</v>
      </c>
      <c r="D3">
        <v>305.05953142000021</v>
      </c>
      <c r="E3" t="s">
        <v>153</v>
      </c>
      <c r="F3" t="s">
        <v>35</v>
      </c>
      <c r="G3" t="s">
        <v>154</v>
      </c>
      <c r="H3" t="s">
        <v>37</v>
      </c>
      <c r="I3">
        <v>8.5076755083447128E-3</v>
      </c>
      <c r="J3">
        <v>0</v>
      </c>
      <c r="K3" t="s">
        <v>14</v>
      </c>
      <c r="L3">
        <v>3001</v>
      </c>
      <c r="M3">
        <v>3.6459427652124019E-4</v>
      </c>
      <c r="N3">
        <v>1E-4</v>
      </c>
      <c r="O3">
        <v>3000</v>
      </c>
      <c r="T3">
        <v>8.5800436047999182E-2</v>
      </c>
      <c r="U3">
        <v>4.9978917430399283</v>
      </c>
      <c r="V3">
        <v>4.3259964111951721</v>
      </c>
      <c r="W3">
        <v>9.6469999999999993E-3</v>
      </c>
      <c r="X3">
        <v>8.5518540000000005</v>
      </c>
      <c r="Y3">
        <v>7.1656500000000003</v>
      </c>
      <c r="Z3">
        <v>44.150669999999998</v>
      </c>
      <c r="AA3">
        <v>42.528283999999999</v>
      </c>
      <c r="AB3">
        <v>1E-4</v>
      </c>
      <c r="AC3">
        <v>0.95296901284937008</v>
      </c>
      <c r="AD3">
        <v>0.6776311654642263</v>
      </c>
      <c r="AE3">
        <v>1.6426339999999999</v>
      </c>
      <c r="AF3">
        <v>0.49202221661212231</v>
      </c>
      <c r="AG3">
        <v>0.29944634896658062</v>
      </c>
    </row>
    <row r="4" spans="1:33" x14ac:dyDescent="0.3">
      <c r="A4">
        <v>21</v>
      </c>
      <c r="B4" t="s">
        <v>95</v>
      </c>
      <c r="C4">
        <v>5206.6881801999989</v>
      </c>
      <c r="D4">
        <v>86.778136336666648</v>
      </c>
      <c r="E4" t="s">
        <v>96</v>
      </c>
      <c r="F4" t="s">
        <v>35</v>
      </c>
      <c r="G4" t="s">
        <v>97</v>
      </c>
      <c r="H4" t="s">
        <v>37</v>
      </c>
      <c r="I4">
        <v>1.070340112778276E-2</v>
      </c>
      <c r="J4">
        <v>0</v>
      </c>
      <c r="K4" t="s">
        <v>14</v>
      </c>
      <c r="L4">
        <v>794</v>
      </c>
      <c r="M4">
        <v>4.1211298522193451E-5</v>
      </c>
      <c r="N4">
        <v>1E-4</v>
      </c>
      <c r="O4">
        <v>3000</v>
      </c>
      <c r="T4">
        <v>0.10685116206984881</v>
      </c>
      <c r="U4">
        <v>3.812666529909396</v>
      </c>
      <c r="V4">
        <v>4.1309728236815433</v>
      </c>
      <c r="W4">
        <v>9.6469999999999993E-3</v>
      </c>
      <c r="X4">
        <v>8.5518540000000005</v>
      </c>
      <c r="Y4">
        <v>7.1656500000000003</v>
      </c>
      <c r="Z4">
        <v>44.150669999999998</v>
      </c>
      <c r="AA4">
        <v>42.528283999999999</v>
      </c>
      <c r="AB4">
        <v>1E-4</v>
      </c>
      <c r="AC4">
        <v>0.99938988438375043</v>
      </c>
      <c r="AD4">
        <v>0.69264647051417561</v>
      </c>
      <c r="AE4">
        <v>1.6426339999999999</v>
      </c>
      <c r="AF4">
        <v>0.41202568667729578</v>
      </c>
      <c r="AG4">
        <v>0.44318785979941228</v>
      </c>
    </row>
    <row r="5" spans="1:33" x14ac:dyDescent="0.3">
      <c r="A5">
        <v>50</v>
      </c>
      <c r="B5" t="s">
        <v>182</v>
      </c>
      <c r="C5">
        <v>13830.62409930001</v>
      </c>
      <c r="D5">
        <v>230.51040165500021</v>
      </c>
      <c r="E5" t="s">
        <v>183</v>
      </c>
      <c r="F5" t="s">
        <v>35</v>
      </c>
      <c r="G5" t="s">
        <v>184</v>
      </c>
      <c r="H5" t="s">
        <v>37</v>
      </c>
      <c r="I5">
        <v>1.1623821890690261E-2</v>
      </c>
      <c r="J5">
        <v>0</v>
      </c>
      <c r="K5" t="s">
        <v>14</v>
      </c>
      <c r="L5">
        <v>2686</v>
      </c>
      <c r="M5">
        <v>4.2809417260542459E-5</v>
      </c>
      <c r="N5">
        <v>1E-4</v>
      </c>
      <c r="O5">
        <v>3000</v>
      </c>
      <c r="T5">
        <v>0.46643619841486372</v>
      </c>
      <c r="U5">
        <v>4.2034903646597304</v>
      </c>
      <c r="V5">
        <v>4.9167237063690621</v>
      </c>
      <c r="W5">
        <v>9.6469999999999993E-3</v>
      </c>
      <c r="X5">
        <v>8.5518540000000005</v>
      </c>
      <c r="Y5">
        <v>7.1656500000000003</v>
      </c>
      <c r="Z5">
        <v>44.150669999999998</v>
      </c>
      <c r="AA5">
        <v>42.528283999999999</v>
      </c>
      <c r="AB5">
        <v>1E-4</v>
      </c>
      <c r="AC5">
        <v>0.98589111792369344</v>
      </c>
      <c r="AD5">
        <v>0.69890394012450874</v>
      </c>
      <c r="AE5">
        <v>1.6426339999999999</v>
      </c>
      <c r="AF5">
        <v>0.56430025781485005</v>
      </c>
      <c r="AG5">
        <v>0.31043464069642901</v>
      </c>
    </row>
    <row r="6" spans="1:33" x14ac:dyDescent="0.3">
      <c r="A6">
        <v>15</v>
      </c>
      <c r="B6" t="s">
        <v>77</v>
      </c>
      <c r="C6">
        <v>7849.9804301999966</v>
      </c>
      <c r="D6">
        <v>130.83300716999989</v>
      </c>
      <c r="E6" t="s">
        <v>78</v>
      </c>
      <c r="F6" t="s">
        <v>35</v>
      </c>
      <c r="G6" t="s">
        <v>79</v>
      </c>
      <c r="H6" t="s">
        <v>37</v>
      </c>
      <c r="I6">
        <v>1.5413742888640289E-2</v>
      </c>
      <c r="J6">
        <v>0</v>
      </c>
      <c r="K6" t="s">
        <v>14</v>
      </c>
      <c r="L6">
        <v>1258</v>
      </c>
      <c r="M6">
        <v>8.37726517295007E-5</v>
      </c>
      <c r="N6">
        <v>1E-4</v>
      </c>
      <c r="O6">
        <v>3000</v>
      </c>
      <c r="T6">
        <v>0.43107121672278359</v>
      </c>
      <c r="U6">
        <v>3.0583031171028772</v>
      </c>
      <c r="V6">
        <v>3.382315696065282</v>
      </c>
      <c r="W6">
        <v>9.6469999999999993E-3</v>
      </c>
      <c r="X6">
        <v>8.5518540000000005</v>
      </c>
      <c r="Y6">
        <v>7.1656500000000003</v>
      </c>
      <c r="Z6">
        <v>44.150669999999998</v>
      </c>
      <c r="AA6">
        <v>42.528283999999999</v>
      </c>
      <c r="AB6">
        <v>1E-4</v>
      </c>
      <c r="AC6">
        <v>0.9988920487303371</v>
      </c>
      <c r="AD6">
        <v>0.5439866088114933</v>
      </c>
      <c r="AE6">
        <v>1.6426339999999999</v>
      </c>
      <c r="AF6">
        <v>0.41589669827768572</v>
      </c>
      <c r="AG6">
        <v>0.43262356472505931</v>
      </c>
    </row>
    <row r="7" spans="1:33" x14ac:dyDescent="0.3">
      <c r="A7">
        <v>5</v>
      </c>
      <c r="B7" t="s">
        <v>47</v>
      </c>
      <c r="C7">
        <v>19493.2069008</v>
      </c>
      <c r="D7">
        <v>324.88678168000001</v>
      </c>
      <c r="E7" t="s">
        <v>48</v>
      </c>
      <c r="F7" t="s">
        <v>35</v>
      </c>
      <c r="G7" t="s">
        <v>49</v>
      </c>
      <c r="H7" t="s">
        <v>37</v>
      </c>
      <c r="I7">
        <v>1.718031232063056E-2</v>
      </c>
      <c r="J7">
        <v>0</v>
      </c>
      <c r="K7" t="s">
        <v>14</v>
      </c>
      <c r="L7">
        <v>3001</v>
      </c>
      <c r="M7">
        <v>1.700991891431464E-3</v>
      </c>
      <c r="N7">
        <v>1E-4</v>
      </c>
      <c r="O7">
        <v>3000</v>
      </c>
      <c r="T7">
        <v>5.9860505276976138E-2</v>
      </c>
      <c r="U7">
        <v>4.6194273304010576</v>
      </c>
      <c r="V7">
        <v>4.9708590173504561</v>
      </c>
      <c r="W7">
        <v>9.6469999999999993E-3</v>
      </c>
      <c r="X7">
        <v>8.5518540000000005</v>
      </c>
      <c r="Y7">
        <v>7.1656500000000003</v>
      </c>
      <c r="Z7">
        <v>44.150669999999998</v>
      </c>
      <c r="AA7">
        <v>42.528283999999999</v>
      </c>
      <c r="AB7">
        <v>1E-4</v>
      </c>
      <c r="AC7">
        <v>0.81622818306988032</v>
      </c>
      <c r="AD7">
        <v>0.53631614793375526</v>
      </c>
      <c r="AE7">
        <v>1.6426339999999999</v>
      </c>
      <c r="AF7">
        <v>0.48797505726878221</v>
      </c>
      <c r="AG7">
        <v>0.30496793571708969</v>
      </c>
    </row>
    <row r="8" spans="1:33" x14ac:dyDescent="0.3">
      <c r="A8">
        <v>18</v>
      </c>
      <c r="B8" t="s">
        <v>86</v>
      </c>
      <c r="C8">
        <v>2166.0016560000081</v>
      </c>
      <c r="D8">
        <v>36.100027600000132</v>
      </c>
      <c r="E8" t="s">
        <v>87</v>
      </c>
      <c r="F8" t="s">
        <v>35</v>
      </c>
      <c r="G8" t="s">
        <v>88</v>
      </c>
      <c r="H8" t="s">
        <v>37</v>
      </c>
      <c r="I8">
        <v>2.0746719285903679E-2</v>
      </c>
      <c r="J8">
        <v>0</v>
      </c>
      <c r="K8" t="s">
        <v>14</v>
      </c>
      <c r="L8">
        <v>371</v>
      </c>
      <c r="M8">
        <v>3.9824280905130838E-5</v>
      </c>
      <c r="N8">
        <v>1E-4</v>
      </c>
      <c r="O8">
        <v>3000</v>
      </c>
      <c r="T8">
        <v>9.171125616385431E-2</v>
      </c>
      <c r="U8">
        <v>4.972996943774243</v>
      </c>
      <c r="V8">
        <v>3.112644436513953</v>
      </c>
      <c r="W8">
        <v>9.6469999999999993E-3</v>
      </c>
      <c r="X8">
        <v>8.5518540000000005</v>
      </c>
      <c r="Y8">
        <v>7.1656500000000003</v>
      </c>
      <c r="Z8">
        <v>44.150669999999998</v>
      </c>
      <c r="AA8">
        <v>42.528283999999999</v>
      </c>
      <c r="AB8">
        <v>1E-4</v>
      </c>
      <c r="AC8">
        <v>0.98791655445676241</v>
      </c>
      <c r="AD8">
        <v>0.69995114620206378</v>
      </c>
      <c r="AE8">
        <v>1.6426339999999999</v>
      </c>
      <c r="AF8">
        <v>0.50180799228593076</v>
      </c>
      <c r="AG8">
        <v>0.27398812494870411</v>
      </c>
    </row>
    <row r="9" spans="1:33" x14ac:dyDescent="0.3">
      <c r="A9">
        <v>45</v>
      </c>
      <c r="B9" t="s">
        <v>167</v>
      </c>
      <c r="C9">
        <v>7609.8664884000027</v>
      </c>
      <c r="D9">
        <v>126.83110814</v>
      </c>
      <c r="E9" t="s">
        <v>168</v>
      </c>
      <c r="F9" t="s">
        <v>35</v>
      </c>
      <c r="G9" t="s">
        <v>169</v>
      </c>
      <c r="H9" t="s">
        <v>37</v>
      </c>
      <c r="I9">
        <v>2.1284489009969279E-2</v>
      </c>
      <c r="J9">
        <v>0</v>
      </c>
      <c r="K9" t="s">
        <v>14</v>
      </c>
      <c r="L9">
        <v>1506</v>
      </c>
      <c r="M9">
        <v>7.3277264473851656E-5</v>
      </c>
      <c r="N9">
        <v>1E-4</v>
      </c>
      <c r="O9">
        <v>3000</v>
      </c>
      <c r="T9">
        <v>5.9562692233769803E-2</v>
      </c>
      <c r="U9">
        <v>4.9421798203200682</v>
      </c>
      <c r="V9">
        <v>3.9316853672050041</v>
      </c>
      <c r="W9">
        <v>9.6469999999999993E-3</v>
      </c>
      <c r="X9">
        <v>8.5518540000000005</v>
      </c>
      <c r="Y9">
        <v>7.1656500000000003</v>
      </c>
      <c r="Z9">
        <v>44.150669999999998</v>
      </c>
      <c r="AA9">
        <v>42.528283999999999</v>
      </c>
      <c r="AB9">
        <v>1E-4</v>
      </c>
      <c r="AC9">
        <v>0.99873853265832668</v>
      </c>
      <c r="AD9">
        <v>0.36061541335635861</v>
      </c>
      <c r="AE9">
        <v>1.6426339999999999</v>
      </c>
      <c r="AF9">
        <v>0.47592299439660141</v>
      </c>
      <c r="AG9">
        <v>0.32206845541334872</v>
      </c>
    </row>
    <row r="10" spans="1:33" x14ac:dyDescent="0.3">
      <c r="A10">
        <v>27</v>
      </c>
      <c r="B10" t="s">
        <v>113</v>
      </c>
      <c r="C10">
        <v>2253.453351300006</v>
      </c>
      <c r="D10">
        <v>37.557555855000103</v>
      </c>
      <c r="E10" t="s">
        <v>114</v>
      </c>
      <c r="F10" t="s">
        <v>35</v>
      </c>
      <c r="G10" t="s">
        <v>115</v>
      </c>
      <c r="H10" t="s">
        <v>37</v>
      </c>
      <c r="I10">
        <v>2.272985416875865E-2</v>
      </c>
      <c r="J10">
        <v>0</v>
      </c>
      <c r="K10" t="s">
        <v>14</v>
      </c>
      <c r="L10">
        <v>431</v>
      </c>
      <c r="M10">
        <v>4.3484450833636833E-5</v>
      </c>
      <c r="N10">
        <v>1E-4</v>
      </c>
      <c r="O10">
        <v>3000</v>
      </c>
      <c r="T10">
        <v>0.3381861782868304</v>
      </c>
      <c r="U10">
        <v>3.9166257865117911</v>
      </c>
      <c r="V10">
        <v>2.1045926003161668</v>
      </c>
      <c r="W10">
        <v>9.6469999999999993E-3</v>
      </c>
      <c r="X10">
        <v>8.5518540000000005</v>
      </c>
      <c r="Y10">
        <v>7.1656500000000003</v>
      </c>
      <c r="Z10">
        <v>44.150669999999998</v>
      </c>
      <c r="AA10">
        <v>42.528283999999999</v>
      </c>
      <c r="AB10">
        <v>1E-4</v>
      </c>
      <c r="AC10">
        <v>0.99750844296927044</v>
      </c>
      <c r="AD10">
        <v>0.69919122491780161</v>
      </c>
      <c r="AE10">
        <v>1.6426339999999999</v>
      </c>
      <c r="AF10">
        <v>0.59999445911592131</v>
      </c>
      <c r="AG10">
        <v>0.1938398819548966</v>
      </c>
    </row>
    <row r="11" spans="1:33" x14ac:dyDescent="0.3">
      <c r="A11">
        <v>25</v>
      </c>
      <c r="B11" t="s">
        <v>107</v>
      </c>
      <c r="C11">
        <v>5484.4524854999909</v>
      </c>
      <c r="D11">
        <v>91.407541424999849</v>
      </c>
      <c r="E11" t="s">
        <v>108</v>
      </c>
      <c r="F11" t="s">
        <v>35</v>
      </c>
      <c r="G11" t="s">
        <v>109</v>
      </c>
      <c r="H11" t="s">
        <v>37</v>
      </c>
      <c r="I11">
        <v>2.3142100724888929E-2</v>
      </c>
      <c r="J11">
        <v>0</v>
      </c>
      <c r="K11" t="s">
        <v>14</v>
      </c>
      <c r="L11">
        <v>938</v>
      </c>
      <c r="M11">
        <v>9.269053538805615E-5</v>
      </c>
      <c r="N11">
        <v>1E-4</v>
      </c>
      <c r="O11">
        <v>3000</v>
      </c>
      <c r="T11">
        <v>0.62991296837565225</v>
      </c>
      <c r="U11">
        <v>4.9013070639746106</v>
      </c>
      <c r="V11">
        <v>4.9993991819918611</v>
      </c>
      <c r="W11">
        <v>9.6469999999999993E-3</v>
      </c>
      <c r="X11">
        <v>8.5518540000000005</v>
      </c>
      <c r="Y11">
        <v>7.1656500000000003</v>
      </c>
      <c r="Z11">
        <v>44.150669999999998</v>
      </c>
      <c r="AA11">
        <v>42.528283999999999</v>
      </c>
      <c r="AB11">
        <v>1E-4</v>
      </c>
      <c r="AC11">
        <v>0.98826339627402993</v>
      </c>
      <c r="AD11">
        <v>0.69999978306822508</v>
      </c>
      <c r="AE11">
        <v>1.6426339999999999</v>
      </c>
      <c r="AF11">
        <v>0.4634525515777716</v>
      </c>
      <c r="AG11">
        <v>0.3879714605175022</v>
      </c>
    </row>
    <row r="12" spans="1:33" x14ac:dyDescent="0.3">
      <c r="A12">
        <v>49</v>
      </c>
      <c r="B12" t="s">
        <v>179</v>
      </c>
      <c r="C12">
        <v>1867.132829200011</v>
      </c>
      <c r="D12">
        <v>31.11888048666685</v>
      </c>
      <c r="E12" t="s">
        <v>180</v>
      </c>
      <c r="F12" t="s">
        <v>35</v>
      </c>
      <c r="G12" t="s">
        <v>181</v>
      </c>
      <c r="H12" t="s">
        <v>37</v>
      </c>
      <c r="I12">
        <v>2.3719756807069409E-2</v>
      </c>
      <c r="J12">
        <v>0</v>
      </c>
      <c r="K12" t="s">
        <v>14</v>
      </c>
      <c r="L12">
        <v>343</v>
      </c>
      <c r="M12">
        <v>9.9886296124834464E-5</v>
      </c>
      <c r="N12">
        <v>1E-4</v>
      </c>
      <c r="O12">
        <v>3000</v>
      </c>
      <c r="T12">
        <v>0.12794682013942429</v>
      </c>
      <c r="U12">
        <v>4.9998976278949829</v>
      </c>
      <c r="V12">
        <v>4.9807858548498478</v>
      </c>
      <c r="W12">
        <v>9.6469999999999993E-3</v>
      </c>
      <c r="X12">
        <v>8.5518540000000005</v>
      </c>
      <c r="Y12">
        <v>7.1656500000000003</v>
      </c>
      <c r="Z12">
        <v>44.150669999999998</v>
      </c>
      <c r="AA12">
        <v>42.528283999999999</v>
      </c>
      <c r="AB12">
        <v>1E-4</v>
      </c>
      <c r="AC12">
        <v>0.9997028458983831</v>
      </c>
      <c r="AD12">
        <v>0.44475296365589839</v>
      </c>
      <c r="AE12">
        <v>1.6426339999999999</v>
      </c>
      <c r="AF12">
        <v>0.57315191883959038</v>
      </c>
      <c r="AG12">
        <v>0.32681043927832498</v>
      </c>
    </row>
    <row r="13" spans="1:33" x14ac:dyDescent="0.3">
      <c r="A13">
        <v>1</v>
      </c>
      <c r="B13" t="s">
        <v>33</v>
      </c>
      <c r="C13">
        <v>1457.3522376999899</v>
      </c>
      <c r="D13">
        <v>24.289203961666502</v>
      </c>
      <c r="E13" t="s">
        <v>34</v>
      </c>
      <c r="F13" t="s">
        <v>35</v>
      </c>
      <c r="G13" t="s">
        <v>36</v>
      </c>
      <c r="H13" t="s">
        <v>37</v>
      </c>
      <c r="I13">
        <v>2.3763380605479039E-2</v>
      </c>
      <c r="J13">
        <v>0</v>
      </c>
      <c r="K13" t="s">
        <v>14</v>
      </c>
      <c r="L13">
        <v>246</v>
      </c>
      <c r="M13">
        <v>8.2323446181345794E-5</v>
      </c>
      <c r="N13">
        <v>1E-4</v>
      </c>
      <c r="O13">
        <v>3000</v>
      </c>
      <c r="T13">
        <v>9.3396867949509119E-2</v>
      </c>
      <c r="U13">
        <v>3.906906550678507</v>
      </c>
      <c r="V13">
        <v>3.552850425408324</v>
      </c>
      <c r="W13">
        <v>9.6469999999999993E-3</v>
      </c>
      <c r="X13">
        <v>8.5518540000000005</v>
      </c>
      <c r="Y13">
        <v>7.1656500000000003</v>
      </c>
      <c r="Z13">
        <v>44.150669999999998</v>
      </c>
      <c r="AA13">
        <v>42.528283999999999</v>
      </c>
      <c r="AB13">
        <v>1E-4</v>
      </c>
      <c r="AC13">
        <v>0.99975650448074316</v>
      </c>
      <c r="AD13">
        <v>0.59381718187937127</v>
      </c>
      <c r="AE13">
        <v>1.6426339999999999</v>
      </c>
      <c r="AF13">
        <v>0.39628041840755102</v>
      </c>
      <c r="AG13">
        <v>0.39985162314581107</v>
      </c>
    </row>
    <row r="14" spans="1:33" x14ac:dyDescent="0.3">
      <c r="A14">
        <v>41</v>
      </c>
      <c r="B14" t="s">
        <v>155</v>
      </c>
      <c r="C14">
        <v>2908.7337728999851</v>
      </c>
      <c r="D14">
        <v>48.478896214999743</v>
      </c>
      <c r="E14" t="s">
        <v>156</v>
      </c>
      <c r="F14" t="s">
        <v>35</v>
      </c>
      <c r="G14" t="s">
        <v>157</v>
      </c>
      <c r="H14" t="s">
        <v>37</v>
      </c>
      <c r="I14">
        <v>2.3831395465168961E-2</v>
      </c>
      <c r="J14">
        <v>0</v>
      </c>
      <c r="K14" t="s">
        <v>14</v>
      </c>
      <c r="L14">
        <v>500</v>
      </c>
      <c r="M14">
        <v>9.0198016404180659E-5</v>
      </c>
      <c r="N14">
        <v>1E-4</v>
      </c>
      <c r="O14">
        <v>3000</v>
      </c>
      <c r="T14">
        <v>5.9591316460698533E-2</v>
      </c>
      <c r="U14">
        <v>4.7585783596886611</v>
      </c>
      <c r="V14">
        <v>3.9437572821347162</v>
      </c>
      <c r="W14">
        <v>9.6469999999999993E-3</v>
      </c>
      <c r="X14">
        <v>8.5518540000000005</v>
      </c>
      <c r="Y14">
        <v>7.1656500000000003</v>
      </c>
      <c r="Z14">
        <v>44.150669999999998</v>
      </c>
      <c r="AA14">
        <v>42.528283999999999</v>
      </c>
      <c r="AB14">
        <v>1E-4</v>
      </c>
      <c r="AC14">
        <v>0.999724130409541</v>
      </c>
      <c r="AD14">
        <v>0.49867451293546727</v>
      </c>
      <c r="AE14">
        <v>1.6426339999999999</v>
      </c>
      <c r="AF14">
        <v>0.39857628990272009</v>
      </c>
      <c r="AG14">
        <v>0.43145547182388561</v>
      </c>
    </row>
    <row r="15" spans="1:33" x14ac:dyDescent="0.3">
      <c r="A15">
        <v>16</v>
      </c>
      <c r="B15" t="s">
        <v>80</v>
      </c>
      <c r="C15">
        <v>1057.705570299993</v>
      </c>
      <c r="D15">
        <v>17.62842617166655</v>
      </c>
      <c r="E15" t="s">
        <v>81</v>
      </c>
      <c r="F15" t="s">
        <v>35</v>
      </c>
      <c r="G15" t="s">
        <v>82</v>
      </c>
      <c r="H15" t="s">
        <v>37</v>
      </c>
      <c r="I15">
        <v>2.4016235338011799E-2</v>
      </c>
      <c r="J15">
        <v>0</v>
      </c>
      <c r="K15" t="s">
        <v>14</v>
      </c>
      <c r="L15">
        <v>180</v>
      </c>
      <c r="M15">
        <v>9.942421321529415E-5</v>
      </c>
      <c r="N15">
        <v>1E-4</v>
      </c>
      <c r="O15">
        <v>3000</v>
      </c>
      <c r="T15">
        <v>0.54236472444590389</v>
      </c>
      <c r="U15">
        <v>4.9569624739119131</v>
      </c>
      <c r="V15">
        <v>4.9286720156954189</v>
      </c>
      <c r="W15">
        <v>9.6469999999999993E-3</v>
      </c>
      <c r="X15">
        <v>8.5518540000000005</v>
      </c>
      <c r="Y15">
        <v>7.1656500000000003</v>
      </c>
      <c r="Z15">
        <v>44.150669999999998</v>
      </c>
      <c r="AA15">
        <v>42.528283999999999</v>
      </c>
      <c r="AB15">
        <v>1E-4</v>
      </c>
      <c r="AC15">
        <v>0.99999105166699642</v>
      </c>
      <c r="AD15">
        <v>0.40092758821177749</v>
      </c>
      <c r="AE15">
        <v>1.6426339999999999</v>
      </c>
      <c r="AF15">
        <v>0.43238777232619402</v>
      </c>
      <c r="AG15">
        <v>0.42253150677258478</v>
      </c>
    </row>
    <row r="16" spans="1:33" x14ac:dyDescent="0.3">
      <c r="A16">
        <v>35</v>
      </c>
      <c r="B16" t="s">
        <v>137</v>
      </c>
      <c r="C16">
        <v>4817.296459300007</v>
      </c>
      <c r="D16">
        <v>80.288274321666776</v>
      </c>
      <c r="E16" t="s">
        <v>138</v>
      </c>
      <c r="F16" t="s">
        <v>35</v>
      </c>
      <c r="G16" t="s">
        <v>139</v>
      </c>
      <c r="H16" t="s">
        <v>37</v>
      </c>
      <c r="I16">
        <v>2.4092788023245212E-2</v>
      </c>
      <c r="J16">
        <v>0</v>
      </c>
      <c r="K16" t="s">
        <v>14</v>
      </c>
      <c r="L16">
        <v>786</v>
      </c>
      <c r="M16">
        <v>9.6872710413635827E-5</v>
      </c>
      <c r="N16">
        <v>1E-4</v>
      </c>
      <c r="O16">
        <v>3000</v>
      </c>
      <c r="T16">
        <v>0.12741665495060681</v>
      </c>
      <c r="U16">
        <v>4.9977559114061654</v>
      </c>
      <c r="V16">
        <v>4.9999958054677416</v>
      </c>
      <c r="W16">
        <v>9.6469999999999993E-3</v>
      </c>
      <c r="X16">
        <v>8.5518540000000005</v>
      </c>
      <c r="Y16">
        <v>7.1656500000000003</v>
      </c>
      <c r="Z16">
        <v>44.150669999999998</v>
      </c>
      <c r="AA16">
        <v>42.528283999999999</v>
      </c>
      <c r="AB16">
        <v>1E-4</v>
      </c>
      <c r="AC16">
        <v>0.99920868634270543</v>
      </c>
      <c r="AD16">
        <v>0.57223463618294046</v>
      </c>
      <c r="AE16">
        <v>1.6426339999999999</v>
      </c>
      <c r="AF16">
        <v>0.47037902861586878</v>
      </c>
      <c r="AG16">
        <v>0.39320094279240819</v>
      </c>
    </row>
    <row r="17" spans="1:33" x14ac:dyDescent="0.3">
      <c r="A17">
        <v>47</v>
      </c>
      <c r="B17" t="s">
        <v>173</v>
      </c>
      <c r="C17">
        <v>11601.02379430001</v>
      </c>
      <c r="D17">
        <v>193.35039657166681</v>
      </c>
      <c r="E17" t="s">
        <v>174</v>
      </c>
      <c r="F17" t="s">
        <v>35</v>
      </c>
      <c r="G17" t="s">
        <v>175</v>
      </c>
      <c r="H17" t="s">
        <v>37</v>
      </c>
      <c r="I17">
        <v>2.5530126222674161E-2</v>
      </c>
      <c r="J17">
        <v>0</v>
      </c>
      <c r="K17" t="s">
        <v>14</v>
      </c>
      <c r="L17">
        <v>2618</v>
      </c>
      <c r="M17">
        <v>5.5687330374316348E-5</v>
      </c>
      <c r="N17">
        <v>1E-4</v>
      </c>
      <c r="O17">
        <v>3000</v>
      </c>
      <c r="T17">
        <v>0.16650416003547791</v>
      </c>
      <c r="U17">
        <v>4.9999969226464467</v>
      </c>
      <c r="V17">
        <v>4.9999790491014444</v>
      </c>
      <c r="W17">
        <v>9.6469999999999993E-3</v>
      </c>
      <c r="X17">
        <v>8.5518540000000005</v>
      </c>
      <c r="Y17">
        <v>7.1656500000000003</v>
      </c>
      <c r="Z17">
        <v>44.150669999999998</v>
      </c>
      <c r="AA17">
        <v>42.528283999999999</v>
      </c>
      <c r="AB17">
        <v>1E-4</v>
      </c>
      <c r="AC17">
        <v>0.99999994327767683</v>
      </c>
      <c r="AD17">
        <v>0.69960931074292054</v>
      </c>
      <c r="AE17">
        <v>1.6426339999999999</v>
      </c>
      <c r="AF17">
        <v>0.51741138234354556</v>
      </c>
      <c r="AG17">
        <v>0.34671495359215232</v>
      </c>
    </row>
    <row r="18" spans="1:33" x14ac:dyDescent="0.3">
      <c r="A18">
        <v>2</v>
      </c>
      <c r="B18" t="s">
        <v>38</v>
      </c>
      <c r="C18">
        <v>6189.2884576999932</v>
      </c>
      <c r="D18">
        <v>103.1548076283332</v>
      </c>
      <c r="E18" t="s">
        <v>39</v>
      </c>
      <c r="F18" t="s">
        <v>35</v>
      </c>
      <c r="G18" t="s">
        <v>40</v>
      </c>
      <c r="H18" t="s">
        <v>37</v>
      </c>
      <c r="I18">
        <v>2.6072921000739269E-2</v>
      </c>
      <c r="J18">
        <v>0</v>
      </c>
      <c r="K18" t="s">
        <v>14</v>
      </c>
      <c r="L18">
        <v>928</v>
      </c>
      <c r="M18">
        <v>8.3605415942322113E-5</v>
      </c>
      <c r="N18">
        <v>1E-4</v>
      </c>
      <c r="O18">
        <v>3000</v>
      </c>
      <c r="T18">
        <v>8.6994194406883066E-2</v>
      </c>
      <c r="U18">
        <v>4.4549260555312369</v>
      </c>
      <c r="V18">
        <v>3.0322326289449122</v>
      </c>
      <c r="W18">
        <v>9.6469999999999993E-3</v>
      </c>
      <c r="X18">
        <v>8.5518540000000005</v>
      </c>
      <c r="Y18">
        <v>7.1656500000000003</v>
      </c>
      <c r="Z18">
        <v>44.150669999999998</v>
      </c>
      <c r="AA18">
        <v>42.528283999999999</v>
      </c>
      <c r="AB18">
        <v>1E-4</v>
      </c>
      <c r="AC18">
        <v>0.98509468636691488</v>
      </c>
      <c r="AD18">
        <v>0.69565479793091611</v>
      </c>
      <c r="AE18">
        <v>1.6426339999999999</v>
      </c>
      <c r="AF18">
        <v>0.43792261414562322</v>
      </c>
      <c r="AG18">
        <v>0.37264556726744069</v>
      </c>
    </row>
    <row r="19" spans="1:33" x14ac:dyDescent="0.3">
      <c r="A19">
        <v>20</v>
      </c>
      <c r="B19" t="s">
        <v>92</v>
      </c>
      <c r="C19">
        <v>5911.8939173000108</v>
      </c>
      <c r="D19">
        <v>98.53156528833351</v>
      </c>
      <c r="E19" t="s">
        <v>93</v>
      </c>
      <c r="F19" t="s">
        <v>35</v>
      </c>
      <c r="G19" t="s">
        <v>94</v>
      </c>
      <c r="H19" t="s">
        <v>37</v>
      </c>
      <c r="I19">
        <v>2.637728132363034E-2</v>
      </c>
      <c r="J19">
        <v>0</v>
      </c>
      <c r="K19" t="s">
        <v>14</v>
      </c>
      <c r="L19">
        <v>1005</v>
      </c>
      <c r="M19">
        <v>8.1527047968720203E-5</v>
      </c>
      <c r="N19">
        <v>1E-4</v>
      </c>
      <c r="O19">
        <v>3000</v>
      </c>
      <c r="T19">
        <v>0.29390566888505759</v>
      </c>
      <c r="U19">
        <v>4.4546738956800027</v>
      </c>
      <c r="V19">
        <v>4.9354699571988272</v>
      </c>
      <c r="W19">
        <v>9.6469999999999993E-3</v>
      </c>
      <c r="X19">
        <v>8.5518540000000005</v>
      </c>
      <c r="Y19">
        <v>7.1656500000000003</v>
      </c>
      <c r="Z19">
        <v>44.150669999999998</v>
      </c>
      <c r="AA19">
        <v>42.528283999999999</v>
      </c>
      <c r="AB19">
        <v>1E-4</v>
      </c>
      <c r="AC19">
        <v>0.99986136377515122</v>
      </c>
      <c r="AD19">
        <v>0.55252022624776698</v>
      </c>
      <c r="AE19">
        <v>1.6426339999999999</v>
      </c>
      <c r="AF19">
        <v>0.54166854022596223</v>
      </c>
      <c r="AG19">
        <v>0.31123364992236979</v>
      </c>
    </row>
    <row r="20" spans="1:33" x14ac:dyDescent="0.3">
      <c r="A20">
        <v>29</v>
      </c>
      <c r="B20" t="s">
        <v>119</v>
      </c>
      <c r="C20">
        <v>1837.2171314999871</v>
      </c>
      <c r="D20">
        <v>30.62028552499978</v>
      </c>
      <c r="E20" t="s">
        <v>120</v>
      </c>
      <c r="F20" t="s">
        <v>35</v>
      </c>
      <c r="G20" t="s">
        <v>121</v>
      </c>
      <c r="H20" t="s">
        <v>37</v>
      </c>
      <c r="I20">
        <v>2.6631756124359088E-2</v>
      </c>
      <c r="J20">
        <v>0</v>
      </c>
      <c r="K20" t="s">
        <v>14</v>
      </c>
      <c r="L20">
        <v>310</v>
      </c>
      <c r="M20">
        <v>7.9420620316545643E-5</v>
      </c>
      <c r="N20">
        <v>1E-4</v>
      </c>
      <c r="O20">
        <v>3000</v>
      </c>
      <c r="T20">
        <v>0.24398172356291209</v>
      </c>
      <c r="U20">
        <v>4.5816454693239939</v>
      </c>
      <c r="V20">
        <v>3.3617001689822219</v>
      </c>
      <c r="W20">
        <v>9.6469999999999993E-3</v>
      </c>
      <c r="X20">
        <v>8.5518540000000005</v>
      </c>
      <c r="Y20">
        <v>7.1656500000000003</v>
      </c>
      <c r="Z20">
        <v>44.150669999999998</v>
      </c>
      <c r="AA20">
        <v>42.528283999999999</v>
      </c>
      <c r="AB20">
        <v>1E-4</v>
      </c>
      <c r="AC20">
        <v>0.9993299931246924</v>
      </c>
      <c r="AD20">
        <v>0.48830156060475938</v>
      </c>
      <c r="AE20">
        <v>1.6426339999999999</v>
      </c>
      <c r="AF20">
        <v>0.44370534872650119</v>
      </c>
      <c r="AG20">
        <v>0.3967249937725848</v>
      </c>
    </row>
    <row r="21" spans="1:33" x14ac:dyDescent="0.3">
      <c r="A21">
        <v>39</v>
      </c>
      <c r="B21" t="s">
        <v>149</v>
      </c>
      <c r="C21">
        <v>4987.363488300005</v>
      </c>
      <c r="D21">
        <v>83.12272480500009</v>
      </c>
      <c r="E21" t="s">
        <v>150</v>
      </c>
      <c r="F21" t="s">
        <v>35</v>
      </c>
      <c r="G21" t="s">
        <v>151</v>
      </c>
      <c r="H21" t="s">
        <v>37</v>
      </c>
      <c r="I21">
        <v>2.7769008754686839E-2</v>
      </c>
      <c r="J21">
        <v>0</v>
      </c>
      <c r="K21" t="s">
        <v>14</v>
      </c>
      <c r="L21">
        <v>840</v>
      </c>
      <c r="M21">
        <v>3.1077079098716293E-5</v>
      </c>
      <c r="N21">
        <v>1E-4</v>
      </c>
      <c r="O21">
        <v>3000</v>
      </c>
      <c r="T21">
        <v>0.2062774361030901</v>
      </c>
      <c r="U21">
        <v>4.4484120881804694</v>
      </c>
      <c r="V21">
        <v>3.3758490908345511</v>
      </c>
      <c r="W21">
        <v>9.6469999999999993E-3</v>
      </c>
      <c r="X21">
        <v>8.5518540000000005</v>
      </c>
      <c r="Y21">
        <v>7.1656500000000003</v>
      </c>
      <c r="Z21">
        <v>44.150669999999998</v>
      </c>
      <c r="AA21">
        <v>42.528283999999999</v>
      </c>
      <c r="AB21">
        <v>1E-4</v>
      </c>
      <c r="AC21">
        <v>0.99998758430808787</v>
      </c>
      <c r="AD21">
        <v>0.69854196077469577</v>
      </c>
      <c r="AE21">
        <v>1.6426339999999999</v>
      </c>
      <c r="AF21">
        <v>0.43574958886220683</v>
      </c>
      <c r="AG21">
        <v>0.4299661796151521</v>
      </c>
    </row>
    <row r="22" spans="1:33" x14ac:dyDescent="0.3">
      <c r="A22">
        <v>7</v>
      </c>
      <c r="B22" t="s">
        <v>53</v>
      </c>
      <c r="C22">
        <v>1713.2369443999919</v>
      </c>
      <c r="D22">
        <v>28.553949073333211</v>
      </c>
      <c r="E22" t="s">
        <v>54</v>
      </c>
      <c r="F22" t="s">
        <v>35</v>
      </c>
      <c r="G22" t="s">
        <v>55</v>
      </c>
      <c r="H22" t="s">
        <v>37</v>
      </c>
      <c r="I22">
        <v>2.899397510564353E-2</v>
      </c>
      <c r="J22">
        <v>0</v>
      </c>
      <c r="K22" t="s">
        <v>14</v>
      </c>
      <c r="L22">
        <v>275</v>
      </c>
      <c r="M22">
        <v>9.3397758487789802E-5</v>
      </c>
      <c r="N22">
        <v>1E-4</v>
      </c>
      <c r="O22">
        <v>3000</v>
      </c>
      <c r="T22">
        <v>8.8548115806694763E-2</v>
      </c>
      <c r="U22">
        <v>4.7614371782394498</v>
      </c>
      <c r="V22">
        <v>3.4149462110082829</v>
      </c>
      <c r="W22">
        <v>9.6469999999999993E-3</v>
      </c>
      <c r="X22">
        <v>8.5518540000000005</v>
      </c>
      <c r="Y22">
        <v>7.1656500000000003</v>
      </c>
      <c r="Z22">
        <v>44.150669999999998</v>
      </c>
      <c r="AA22">
        <v>42.528283999999999</v>
      </c>
      <c r="AB22">
        <v>1E-4</v>
      </c>
      <c r="AC22">
        <v>0.99992513204568045</v>
      </c>
      <c r="AD22">
        <v>0.31707281844810781</v>
      </c>
      <c r="AE22">
        <v>1.6426339999999999</v>
      </c>
      <c r="AF22">
        <v>0.3839271016054614</v>
      </c>
      <c r="AG22">
        <v>0.50568170668504253</v>
      </c>
    </row>
    <row r="23" spans="1:33" x14ac:dyDescent="0.3">
      <c r="A23">
        <v>28</v>
      </c>
      <c r="B23" t="s">
        <v>116</v>
      </c>
      <c r="C23">
        <v>2405.7802904000268</v>
      </c>
      <c r="D23">
        <v>40.096338173333791</v>
      </c>
      <c r="E23" t="s">
        <v>117</v>
      </c>
      <c r="F23" t="s">
        <v>35</v>
      </c>
      <c r="G23" t="s">
        <v>118</v>
      </c>
      <c r="H23" t="s">
        <v>37</v>
      </c>
      <c r="I23">
        <v>2.9717848603742221E-2</v>
      </c>
      <c r="J23">
        <v>0</v>
      </c>
      <c r="K23" t="s">
        <v>14</v>
      </c>
      <c r="L23">
        <v>423</v>
      </c>
      <c r="M23">
        <v>9.7674401843518435E-5</v>
      </c>
      <c r="N23">
        <v>1E-4</v>
      </c>
      <c r="O23">
        <v>3000</v>
      </c>
      <c r="T23">
        <v>0.34752376784352262</v>
      </c>
      <c r="U23">
        <v>4.0013663708227307</v>
      </c>
      <c r="V23">
        <v>3.294438813828692</v>
      </c>
      <c r="W23">
        <v>9.6469999999999993E-3</v>
      </c>
      <c r="X23">
        <v>8.5518540000000005</v>
      </c>
      <c r="Y23">
        <v>7.1656500000000003</v>
      </c>
      <c r="Z23">
        <v>44.150669999999998</v>
      </c>
      <c r="AA23">
        <v>42.528283999999999</v>
      </c>
      <c r="AB23">
        <v>1E-4</v>
      </c>
      <c r="AC23">
        <v>0.99868628091231215</v>
      </c>
      <c r="AD23">
        <v>0.69921119961271327</v>
      </c>
      <c r="AE23">
        <v>1.6426339999999999</v>
      </c>
      <c r="AF23">
        <v>0.44132202940938059</v>
      </c>
      <c r="AG23">
        <v>0.37145564373780537</v>
      </c>
    </row>
    <row r="24" spans="1:33" x14ac:dyDescent="0.3">
      <c r="A24">
        <v>26</v>
      </c>
      <c r="B24" t="s">
        <v>110</v>
      </c>
      <c r="C24">
        <v>13162.154727799991</v>
      </c>
      <c r="D24">
        <v>219.36924546333319</v>
      </c>
      <c r="E24" t="s">
        <v>111</v>
      </c>
      <c r="F24" t="s">
        <v>35</v>
      </c>
      <c r="G24" t="s">
        <v>112</v>
      </c>
      <c r="H24" t="s">
        <v>37</v>
      </c>
      <c r="I24">
        <v>3.1286700553341082E-2</v>
      </c>
      <c r="J24">
        <v>0</v>
      </c>
      <c r="K24" t="s">
        <v>14</v>
      </c>
      <c r="L24">
        <v>2019</v>
      </c>
      <c r="M24">
        <v>9.6625771055448172E-5</v>
      </c>
      <c r="N24">
        <v>1E-4</v>
      </c>
      <c r="O24">
        <v>3000</v>
      </c>
      <c r="T24">
        <v>0.63906965754389566</v>
      </c>
      <c r="U24">
        <v>4.9998370416334614</v>
      </c>
      <c r="V24">
        <v>3.2809492282833959</v>
      </c>
      <c r="W24">
        <v>9.6469999999999993E-3</v>
      </c>
      <c r="X24">
        <v>8.5518540000000005</v>
      </c>
      <c r="Y24">
        <v>7.1656500000000003</v>
      </c>
      <c r="Z24">
        <v>44.150669999999998</v>
      </c>
      <c r="AA24">
        <v>42.528283999999999</v>
      </c>
      <c r="AB24">
        <v>1E-4</v>
      </c>
      <c r="AC24">
        <v>0.99833710179450019</v>
      </c>
      <c r="AD24">
        <v>0.2320672554790344</v>
      </c>
      <c r="AE24">
        <v>1.6426339999999999</v>
      </c>
      <c r="AF24">
        <v>0.4965122745309889</v>
      </c>
      <c r="AG24">
        <v>0.24397670332928659</v>
      </c>
    </row>
    <row r="25" spans="1:33" x14ac:dyDescent="0.3">
      <c r="A25">
        <v>44</v>
      </c>
      <c r="B25" t="s">
        <v>164</v>
      </c>
      <c r="C25">
        <v>3904.1196934000181</v>
      </c>
      <c r="D25">
        <v>65.068661556666967</v>
      </c>
      <c r="E25" t="s">
        <v>165</v>
      </c>
      <c r="F25" t="s">
        <v>35</v>
      </c>
      <c r="G25" t="s">
        <v>166</v>
      </c>
      <c r="H25" t="s">
        <v>37</v>
      </c>
      <c r="I25">
        <v>3.1696054606095987E-2</v>
      </c>
      <c r="J25">
        <v>0</v>
      </c>
      <c r="K25" t="s">
        <v>14</v>
      </c>
      <c r="L25">
        <v>650</v>
      </c>
      <c r="M25">
        <v>8.4408553530352382E-5</v>
      </c>
      <c r="N25">
        <v>1E-4</v>
      </c>
      <c r="O25">
        <v>3000</v>
      </c>
      <c r="T25">
        <v>0.48497180772311671</v>
      </c>
      <c r="U25">
        <v>4.9999840700518154</v>
      </c>
      <c r="V25">
        <v>4.9879246052421422</v>
      </c>
      <c r="W25">
        <v>9.6469999999999993E-3</v>
      </c>
      <c r="X25">
        <v>8.5518540000000005</v>
      </c>
      <c r="Y25">
        <v>7.1656500000000003</v>
      </c>
      <c r="Z25">
        <v>44.150669999999998</v>
      </c>
      <c r="AA25">
        <v>42.528283999999999</v>
      </c>
      <c r="AB25">
        <v>1E-4</v>
      </c>
      <c r="AC25">
        <v>0.99506294151238084</v>
      </c>
      <c r="AD25">
        <v>0.50226404788613344</v>
      </c>
      <c r="AE25">
        <v>1.6426339999999999</v>
      </c>
      <c r="AF25">
        <v>0.46568003371377309</v>
      </c>
      <c r="AG25">
        <v>0.373416141128881</v>
      </c>
    </row>
    <row r="26" spans="1:33" x14ac:dyDescent="0.3">
      <c r="A26">
        <v>30</v>
      </c>
      <c r="B26" t="s">
        <v>122</v>
      </c>
      <c r="C26">
        <v>833.86364749999484</v>
      </c>
      <c r="D26">
        <v>13.89772745833325</v>
      </c>
      <c r="E26" t="s">
        <v>123</v>
      </c>
      <c r="F26" t="s">
        <v>35</v>
      </c>
      <c r="G26" t="s">
        <v>124</v>
      </c>
      <c r="H26" t="s">
        <v>37</v>
      </c>
      <c r="I26">
        <v>3.1855670846929272E-2</v>
      </c>
      <c r="J26">
        <v>0</v>
      </c>
      <c r="K26" t="s">
        <v>14</v>
      </c>
      <c r="L26">
        <v>135</v>
      </c>
      <c r="M26">
        <v>8.8728829917631967E-5</v>
      </c>
      <c r="N26">
        <v>1E-4</v>
      </c>
      <c r="O26">
        <v>3000</v>
      </c>
      <c r="T26">
        <v>0.47005536065334969</v>
      </c>
      <c r="U26">
        <v>4.3645115593188653</v>
      </c>
      <c r="V26">
        <v>4.8902570211697132</v>
      </c>
      <c r="W26">
        <v>9.6469999999999993E-3</v>
      </c>
      <c r="X26">
        <v>8.5518540000000005</v>
      </c>
      <c r="Y26">
        <v>7.1656500000000003</v>
      </c>
      <c r="Z26">
        <v>44.150669999999998</v>
      </c>
      <c r="AA26">
        <v>42.528283999999999</v>
      </c>
      <c r="AB26">
        <v>1E-4</v>
      </c>
      <c r="AC26">
        <v>0.99336069971370677</v>
      </c>
      <c r="AD26">
        <v>0.69919688034674321</v>
      </c>
      <c r="AE26">
        <v>1.6426339999999999</v>
      </c>
      <c r="AF26">
        <v>0.4780421237744516</v>
      </c>
      <c r="AG26">
        <v>0.44464794327758422</v>
      </c>
    </row>
    <row r="27" spans="1:33" x14ac:dyDescent="0.3">
      <c r="A27">
        <v>3</v>
      </c>
      <c r="B27" t="s">
        <v>41</v>
      </c>
      <c r="C27">
        <v>3700.012638900007</v>
      </c>
      <c r="D27">
        <v>61.666877315000107</v>
      </c>
      <c r="E27" t="s">
        <v>42</v>
      </c>
      <c r="F27" t="s">
        <v>35</v>
      </c>
      <c r="G27" t="s">
        <v>43</v>
      </c>
      <c r="H27" t="s">
        <v>37</v>
      </c>
      <c r="I27">
        <v>3.3892062631845167E-2</v>
      </c>
      <c r="J27">
        <v>0</v>
      </c>
      <c r="K27" t="s">
        <v>14</v>
      </c>
      <c r="L27">
        <v>729</v>
      </c>
      <c r="M27">
        <v>8.8099891160143656E-5</v>
      </c>
      <c r="N27">
        <v>1E-4</v>
      </c>
      <c r="O27">
        <v>3000</v>
      </c>
      <c r="T27">
        <v>0.23592865733740759</v>
      </c>
      <c r="U27">
        <v>3.798404918870073</v>
      </c>
      <c r="V27">
        <v>3.5936992963126979</v>
      </c>
      <c r="W27">
        <v>9.6469999999999993E-3</v>
      </c>
      <c r="X27">
        <v>8.5518540000000005</v>
      </c>
      <c r="Y27">
        <v>7.1656500000000003</v>
      </c>
      <c r="Z27">
        <v>44.150669999999998</v>
      </c>
      <c r="AA27">
        <v>42.528283999999999</v>
      </c>
      <c r="AB27">
        <v>1E-4</v>
      </c>
      <c r="AC27">
        <v>0.9974120281303489</v>
      </c>
      <c r="AD27">
        <v>0.56590453873864355</v>
      </c>
      <c r="AE27">
        <v>1.6426339999999999</v>
      </c>
      <c r="AF27">
        <v>0.41681069441065532</v>
      </c>
      <c r="AG27">
        <v>0.35150233197779468</v>
      </c>
    </row>
    <row r="28" spans="1:33" x14ac:dyDescent="0.3">
      <c r="A28">
        <v>38</v>
      </c>
      <c r="B28" t="s">
        <v>146</v>
      </c>
      <c r="C28">
        <v>2541.0910249000008</v>
      </c>
      <c r="D28">
        <v>42.351517081666678</v>
      </c>
      <c r="E28" t="s">
        <v>147</v>
      </c>
      <c r="F28" t="s">
        <v>35</v>
      </c>
      <c r="G28" t="s">
        <v>148</v>
      </c>
      <c r="H28" t="s">
        <v>37</v>
      </c>
      <c r="I28">
        <v>3.6621184571897711E-2</v>
      </c>
      <c r="J28">
        <v>0</v>
      </c>
      <c r="K28" t="s">
        <v>14</v>
      </c>
      <c r="L28">
        <v>363</v>
      </c>
      <c r="M28">
        <v>9.925292447762903E-5</v>
      </c>
      <c r="N28">
        <v>1E-4</v>
      </c>
      <c r="O28">
        <v>3000</v>
      </c>
      <c r="T28">
        <v>0.25129475807964419</v>
      </c>
      <c r="U28">
        <v>4.9169339995227199</v>
      </c>
      <c r="V28">
        <v>3.361311938007201</v>
      </c>
      <c r="W28">
        <v>9.6469999999999993E-3</v>
      </c>
      <c r="X28">
        <v>8.5518540000000005</v>
      </c>
      <c r="Y28">
        <v>7.1656500000000003</v>
      </c>
      <c r="Z28">
        <v>44.150669999999998</v>
      </c>
      <c r="AA28">
        <v>42.528283999999999</v>
      </c>
      <c r="AB28">
        <v>1E-4</v>
      </c>
      <c r="AC28">
        <v>0.99950318516890913</v>
      </c>
      <c r="AD28">
        <v>0.69995934748937216</v>
      </c>
      <c r="AE28">
        <v>1.6426339999999999</v>
      </c>
      <c r="AF28">
        <v>0.42109260080039768</v>
      </c>
      <c r="AG28">
        <v>0.50672349040353726</v>
      </c>
    </row>
    <row r="29" spans="1:33" x14ac:dyDescent="0.3">
      <c r="A29">
        <v>23</v>
      </c>
      <c r="B29" t="s">
        <v>101</v>
      </c>
      <c r="C29">
        <v>1823.3475739999849</v>
      </c>
      <c r="D29">
        <v>30.38912623333308</v>
      </c>
      <c r="E29" t="s">
        <v>102</v>
      </c>
      <c r="F29" t="s">
        <v>35</v>
      </c>
      <c r="G29" t="s">
        <v>103</v>
      </c>
      <c r="H29" t="s">
        <v>37</v>
      </c>
      <c r="I29">
        <v>3.7557732960729673E-2</v>
      </c>
      <c r="J29">
        <v>0</v>
      </c>
      <c r="K29" t="s">
        <v>14</v>
      </c>
      <c r="L29">
        <v>351</v>
      </c>
      <c r="M29">
        <v>9.4518332998522601E-5</v>
      </c>
      <c r="N29">
        <v>1E-4</v>
      </c>
      <c r="O29">
        <v>3000</v>
      </c>
      <c r="T29">
        <v>0.25747190110636847</v>
      </c>
      <c r="U29">
        <v>4.5565308758458496</v>
      </c>
      <c r="V29">
        <v>4.4375668571043461</v>
      </c>
      <c r="W29">
        <v>9.6469999999999993E-3</v>
      </c>
      <c r="X29">
        <v>8.5518540000000005</v>
      </c>
      <c r="Y29">
        <v>7.1656500000000003</v>
      </c>
      <c r="Z29">
        <v>44.150669999999998</v>
      </c>
      <c r="AA29">
        <v>42.528283999999999</v>
      </c>
      <c r="AB29">
        <v>1E-4</v>
      </c>
      <c r="AC29">
        <v>0.99888999048367144</v>
      </c>
      <c r="AD29">
        <v>0.69998342654322865</v>
      </c>
      <c r="AE29">
        <v>1.6426339999999999</v>
      </c>
      <c r="AF29">
        <v>0.45062692926243669</v>
      </c>
      <c r="AG29">
        <v>0.39293439402365299</v>
      </c>
    </row>
    <row r="30" spans="1:33" x14ac:dyDescent="0.3">
      <c r="A30">
        <v>36</v>
      </c>
      <c r="B30" t="s">
        <v>140</v>
      </c>
      <c r="C30">
        <v>837.01638350001303</v>
      </c>
      <c r="D30">
        <v>13.950273058333551</v>
      </c>
      <c r="E30" t="s">
        <v>141</v>
      </c>
      <c r="F30" t="s">
        <v>35</v>
      </c>
      <c r="G30" t="s">
        <v>142</v>
      </c>
      <c r="H30" t="s">
        <v>37</v>
      </c>
      <c r="I30">
        <v>3.9796600125608962E-2</v>
      </c>
      <c r="J30">
        <v>0</v>
      </c>
      <c r="K30" t="s">
        <v>14</v>
      </c>
      <c r="L30">
        <v>174</v>
      </c>
      <c r="M30">
        <v>5.8707324824113813E-5</v>
      </c>
      <c r="N30">
        <v>1E-4</v>
      </c>
      <c r="O30">
        <v>3000</v>
      </c>
      <c r="T30">
        <v>0.12717370928146729</v>
      </c>
      <c r="U30">
        <v>4.999914875879087</v>
      </c>
      <c r="V30">
        <v>4.258323499610043</v>
      </c>
      <c r="W30">
        <v>9.6469999999999993E-3</v>
      </c>
      <c r="X30">
        <v>8.5518540000000005</v>
      </c>
      <c r="Y30">
        <v>7.1656500000000003</v>
      </c>
      <c r="Z30">
        <v>44.150669999999998</v>
      </c>
      <c r="AA30">
        <v>42.528283999999999</v>
      </c>
      <c r="AB30">
        <v>1E-4</v>
      </c>
      <c r="AC30">
        <v>0.99871761142412674</v>
      </c>
      <c r="AD30">
        <v>0.69988586870364655</v>
      </c>
      <c r="AE30">
        <v>1.6426339999999999</v>
      </c>
      <c r="AF30">
        <v>0.47899641425917072</v>
      </c>
      <c r="AG30">
        <v>0.38410199447700832</v>
      </c>
    </row>
    <row r="31" spans="1:33" x14ac:dyDescent="0.3">
      <c r="A31">
        <v>32</v>
      </c>
      <c r="B31" t="s">
        <v>128</v>
      </c>
      <c r="C31">
        <v>1616.5718427000099</v>
      </c>
      <c r="D31">
        <v>26.942864045000171</v>
      </c>
      <c r="E31" t="s">
        <v>129</v>
      </c>
      <c r="F31" t="s">
        <v>35</v>
      </c>
      <c r="G31" t="s">
        <v>130</v>
      </c>
      <c r="H31" t="s">
        <v>37</v>
      </c>
      <c r="I31">
        <v>4.0182913174914237E-2</v>
      </c>
      <c r="J31">
        <v>0</v>
      </c>
      <c r="K31" t="s">
        <v>14</v>
      </c>
      <c r="L31">
        <v>241</v>
      </c>
      <c r="M31">
        <v>9.9554119115511077E-5</v>
      </c>
      <c r="N31">
        <v>1E-4</v>
      </c>
      <c r="O31">
        <v>3000</v>
      </c>
      <c r="T31">
        <v>0.35918995077039828</v>
      </c>
      <c r="U31">
        <v>4.996004687493051</v>
      </c>
      <c r="V31">
        <v>3.3452341440423128</v>
      </c>
      <c r="W31">
        <v>9.6469999999999993E-3</v>
      </c>
      <c r="X31">
        <v>8.5518540000000005</v>
      </c>
      <c r="Y31">
        <v>7.1656500000000003</v>
      </c>
      <c r="Z31">
        <v>44.150669999999998</v>
      </c>
      <c r="AA31">
        <v>42.528283999999999</v>
      </c>
      <c r="AB31">
        <v>1E-4</v>
      </c>
      <c r="AC31">
        <v>0.99912721085845291</v>
      </c>
      <c r="AD31">
        <v>0.51813291626510671</v>
      </c>
      <c r="AE31">
        <v>1.6426339999999999</v>
      </c>
      <c r="AF31">
        <v>0.41966425052957101</v>
      </c>
      <c r="AG31">
        <v>0.42526630307723118</v>
      </c>
    </row>
    <row r="32" spans="1:33" x14ac:dyDescent="0.3">
      <c r="A32">
        <v>34</v>
      </c>
      <c r="B32" t="s">
        <v>134</v>
      </c>
      <c r="C32">
        <v>1444.001316800015</v>
      </c>
      <c r="D32">
        <v>24.066688613333589</v>
      </c>
      <c r="E32" t="s">
        <v>135</v>
      </c>
      <c r="F32" t="s">
        <v>35</v>
      </c>
      <c r="G32" t="s">
        <v>136</v>
      </c>
      <c r="H32" t="s">
        <v>37</v>
      </c>
      <c r="I32">
        <v>4.0495303965838697E-2</v>
      </c>
      <c r="J32">
        <v>0</v>
      </c>
      <c r="K32" t="s">
        <v>14</v>
      </c>
      <c r="L32">
        <v>203</v>
      </c>
      <c r="M32">
        <v>5.9187963796774798E-5</v>
      </c>
      <c r="N32">
        <v>1E-4</v>
      </c>
      <c r="O32">
        <v>3000</v>
      </c>
      <c r="T32">
        <v>0.57078958060942742</v>
      </c>
      <c r="U32">
        <v>4.9999998785187714</v>
      </c>
      <c r="V32">
        <v>2.9812119842056028</v>
      </c>
      <c r="W32">
        <v>9.6469999999999993E-3</v>
      </c>
      <c r="X32">
        <v>8.5518540000000005</v>
      </c>
      <c r="Y32">
        <v>7.1656500000000003</v>
      </c>
      <c r="Z32">
        <v>44.150669999999998</v>
      </c>
      <c r="AA32">
        <v>42.528283999999999</v>
      </c>
      <c r="AB32">
        <v>1E-4</v>
      </c>
      <c r="AC32">
        <v>0.99995495767433651</v>
      </c>
      <c r="AD32">
        <v>0.69999993434679464</v>
      </c>
      <c r="AE32">
        <v>1.6426339999999999</v>
      </c>
      <c r="AF32">
        <v>0.43246519194107819</v>
      </c>
      <c r="AG32">
        <v>0.43426339107853962</v>
      </c>
    </row>
    <row r="33" spans="1:33" x14ac:dyDescent="0.3">
      <c r="A33">
        <v>13</v>
      </c>
      <c r="B33" t="s">
        <v>71</v>
      </c>
      <c r="C33">
        <v>719.71074500001851</v>
      </c>
      <c r="D33">
        <v>11.995179083333641</v>
      </c>
      <c r="E33" t="s">
        <v>72</v>
      </c>
      <c r="F33" t="s">
        <v>35</v>
      </c>
      <c r="G33" t="s">
        <v>73</v>
      </c>
      <c r="H33" t="s">
        <v>37</v>
      </c>
      <c r="I33">
        <v>4.0785541174723508E-2</v>
      </c>
      <c r="J33">
        <v>0</v>
      </c>
      <c r="K33" t="s">
        <v>14</v>
      </c>
      <c r="L33">
        <v>110</v>
      </c>
      <c r="M33">
        <v>9.8896046106505424E-5</v>
      </c>
      <c r="N33">
        <v>1E-4</v>
      </c>
      <c r="O33">
        <v>3000</v>
      </c>
      <c r="T33">
        <v>0.46817226232493259</v>
      </c>
      <c r="U33">
        <v>4.181094624694059</v>
      </c>
      <c r="V33">
        <v>3.5499323408935468</v>
      </c>
      <c r="W33">
        <v>9.6469999999999993E-3</v>
      </c>
      <c r="X33">
        <v>8.5518540000000005</v>
      </c>
      <c r="Y33">
        <v>7.1656500000000003</v>
      </c>
      <c r="Z33">
        <v>44.150669999999998</v>
      </c>
      <c r="AA33">
        <v>42.528283999999999</v>
      </c>
      <c r="AB33">
        <v>1E-4</v>
      </c>
      <c r="AC33">
        <v>0.9999806066763165</v>
      </c>
      <c r="AD33">
        <v>0.36686965150013179</v>
      </c>
      <c r="AE33">
        <v>1.6426339999999999</v>
      </c>
      <c r="AF33">
        <v>0.38388448083913729</v>
      </c>
      <c r="AG33">
        <v>0.4685531359801558</v>
      </c>
    </row>
    <row r="34" spans="1:33" x14ac:dyDescent="0.3">
      <c r="A34">
        <v>48</v>
      </c>
      <c r="B34" t="s">
        <v>176</v>
      </c>
      <c r="C34">
        <v>1415.987077600003</v>
      </c>
      <c r="D34">
        <v>23.599784626666711</v>
      </c>
      <c r="E34" t="s">
        <v>177</v>
      </c>
      <c r="F34" t="s">
        <v>35</v>
      </c>
      <c r="G34" t="s">
        <v>178</v>
      </c>
      <c r="H34" t="s">
        <v>37</v>
      </c>
      <c r="I34">
        <v>4.1386732020067887E-2</v>
      </c>
      <c r="J34">
        <v>0</v>
      </c>
      <c r="K34" t="s">
        <v>14</v>
      </c>
      <c r="L34">
        <v>214</v>
      </c>
      <c r="M34">
        <v>9.5626308242348389E-5</v>
      </c>
      <c r="N34">
        <v>1E-4</v>
      </c>
      <c r="O34">
        <v>3000</v>
      </c>
      <c r="T34">
        <v>0.54641705530354168</v>
      </c>
      <c r="U34">
        <v>4.9999977259316593</v>
      </c>
      <c r="V34">
        <v>2.9211133755775229</v>
      </c>
      <c r="W34">
        <v>9.6469999999999993E-3</v>
      </c>
      <c r="X34">
        <v>8.5518540000000005</v>
      </c>
      <c r="Y34">
        <v>7.1656500000000003</v>
      </c>
      <c r="Z34">
        <v>44.150669999999998</v>
      </c>
      <c r="AA34">
        <v>42.528283999999999</v>
      </c>
      <c r="AB34">
        <v>1E-4</v>
      </c>
      <c r="AC34">
        <v>0.99915605015430375</v>
      </c>
      <c r="AD34">
        <v>0.69996664324064217</v>
      </c>
      <c r="AE34">
        <v>1.6426339999999999</v>
      </c>
      <c r="AF34">
        <v>0.40933152585252908</v>
      </c>
      <c r="AG34">
        <v>0.53303095765464847</v>
      </c>
    </row>
    <row r="35" spans="1:33" x14ac:dyDescent="0.3">
      <c r="A35">
        <v>4</v>
      </c>
      <c r="B35" t="s">
        <v>44</v>
      </c>
      <c r="C35">
        <v>1632.5199943000041</v>
      </c>
      <c r="D35">
        <v>27.20866657166674</v>
      </c>
      <c r="E35" t="s">
        <v>45</v>
      </c>
      <c r="F35" t="s">
        <v>35</v>
      </c>
      <c r="G35" t="s">
        <v>46</v>
      </c>
      <c r="H35" t="s">
        <v>37</v>
      </c>
      <c r="I35">
        <v>4.1644362008545828E-2</v>
      </c>
      <c r="J35">
        <v>0</v>
      </c>
      <c r="K35" t="s">
        <v>14</v>
      </c>
      <c r="L35">
        <v>266</v>
      </c>
      <c r="M35">
        <v>9.417325146823047E-5</v>
      </c>
      <c r="N35">
        <v>1E-4</v>
      </c>
      <c r="O35">
        <v>3000</v>
      </c>
      <c r="T35">
        <v>0.54437184339852773</v>
      </c>
      <c r="U35">
        <v>4.9988631121415006</v>
      </c>
      <c r="V35">
        <v>2.6981673755769662</v>
      </c>
      <c r="W35">
        <v>9.6469999999999993E-3</v>
      </c>
      <c r="X35">
        <v>8.5518540000000005</v>
      </c>
      <c r="Y35">
        <v>7.1656500000000003</v>
      </c>
      <c r="Z35">
        <v>44.150669999999998</v>
      </c>
      <c r="AA35">
        <v>42.528283999999999</v>
      </c>
      <c r="AB35">
        <v>1E-4</v>
      </c>
      <c r="AC35">
        <v>0.99993965253761219</v>
      </c>
      <c r="AD35">
        <v>0.35735291069441288</v>
      </c>
      <c r="AE35">
        <v>1.6426339999999999</v>
      </c>
      <c r="AF35">
        <v>0.44049825928574299</v>
      </c>
      <c r="AG35">
        <v>0.42254993453660011</v>
      </c>
    </row>
    <row r="36" spans="1:33" x14ac:dyDescent="0.3">
      <c r="A36">
        <v>17</v>
      </c>
      <c r="B36" t="s">
        <v>83</v>
      </c>
      <c r="C36">
        <v>17878.443668700002</v>
      </c>
      <c r="D36">
        <v>297.97406114500001</v>
      </c>
      <c r="E36" t="s">
        <v>84</v>
      </c>
      <c r="F36" t="s">
        <v>35</v>
      </c>
      <c r="G36" t="s">
        <v>85</v>
      </c>
      <c r="H36" t="s">
        <v>37</v>
      </c>
      <c r="I36">
        <v>4.1773127690062847E-2</v>
      </c>
      <c r="J36">
        <v>0</v>
      </c>
      <c r="K36" t="s">
        <v>14</v>
      </c>
      <c r="L36">
        <v>3001</v>
      </c>
      <c r="M36">
        <v>1.714849120535755E-4</v>
      </c>
      <c r="N36">
        <v>1E-4</v>
      </c>
      <c r="O36">
        <v>3000</v>
      </c>
      <c r="T36">
        <v>0.56834778401524588</v>
      </c>
      <c r="U36">
        <v>4.5329937598178001</v>
      </c>
      <c r="V36">
        <v>3.350767235464839</v>
      </c>
      <c r="W36">
        <v>9.6469999999999993E-3</v>
      </c>
      <c r="X36">
        <v>8.5518540000000005</v>
      </c>
      <c r="Y36">
        <v>7.1656500000000003</v>
      </c>
      <c r="Z36">
        <v>44.150669999999998</v>
      </c>
      <c r="AA36">
        <v>42.528283999999999</v>
      </c>
      <c r="AB36">
        <v>1E-4</v>
      </c>
      <c r="AC36">
        <v>0.99934454413303342</v>
      </c>
      <c r="AD36">
        <v>0.2079022208027147</v>
      </c>
      <c r="AE36">
        <v>1.6426339999999999</v>
      </c>
      <c r="AF36">
        <v>0.38119647588216782</v>
      </c>
      <c r="AG36">
        <v>0.55494207651160044</v>
      </c>
    </row>
    <row r="37" spans="1:33" x14ac:dyDescent="0.3">
      <c r="A37">
        <v>14</v>
      </c>
      <c r="B37" t="s">
        <v>74</v>
      </c>
      <c r="C37">
        <v>3037.9601575999991</v>
      </c>
      <c r="D37">
        <v>50.632669293333308</v>
      </c>
      <c r="E37" t="s">
        <v>75</v>
      </c>
      <c r="F37" t="s">
        <v>35</v>
      </c>
      <c r="G37" t="s">
        <v>76</v>
      </c>
      <c r="H37" t="s">
        <v>37</v>
      </c>
      <c r="I37">
        <v>4.2313627654809671E-2</v>
      </c>
      <c r="J37">
        <v>0</v>
      </c>
      <c r="K37" t="s">
        <v>14</v>
      </c>
      <c r="L37">
        <v>493</v>
      </c>
      <c r="M37">
        <v>8.367738021985524E-5</v>
      </c>
      <c r="N37">
        <v>1E-4</v>
      </c>
      <c r="O37">
        <v>3000</v>
      </c>
      <c r="T37">
        <v>0.52447190667868493</v>
      </c>
      <c r="U37">
        <v>4.9894863363727717</v>
      </c>
      <c r="V37">
        <v>3.7779456881558988</v>
      </c>
      <c r="W37">
        <v>9.6469999999999993E-3</v>
      </c>
      <c r="X37">
        <v>8.5518540000000005</v>
      </c>
      <c r="Y37">
        <v>7.1656500000000003</v>
      </c>
      <c r="Z37">
        <v>44.150669999999998</v>
      </c>
      <c r="AA37">
        <v>42.528283999999999</v>
      </c>
      <c r="AB37">
        <v>1E-4</v>
      </c>
      <c r="AC37">
        <v>0.99661248408023229</v>
      </c>
      <c r="AD37">
        <v>0.69001496097353709</v>
      </c>
      <c r="AE37">
        <v>1.6426339999999999</v>
      </c>
      <c r="AF37">
        <v>0.39638625478499301</v>
      </c>
      <c r="AG37">
        <v>0.46581382418612849</v>
      </c>
    </row>
    <row r="38" spans="1:33" x14ac:dyDescent="0.3">
      <c r="A38">
        <v>31</v>
      </c>
      <c r="B38" t="s">
        <v>125</v>
      </c>
      <c r="C38">
        <v>1945.5699713999929</v>
      </c>
      <c r="D38">
        <v>32.426166189999883</v>
      </c>
      <c r="E38" t="s">
        <v>126</v>
      </c>
      <c r="F38" t="s">
        <v>35</v>
      </c>
      <c r="G38" t="s">
        <v>127</v>
      </c>
      <c r="H38" t="s">
        <v>37</v>
      </c>
      <c r="I38">
        <v>4.5153499328776242E-2</v>
      </c>
      <c r="J38">
        <v>0</v>
      </c>
      <c r="K38" t="s">
        <v>14</v>
      </c>
      <c r="L38">
        <v>292</v>
      </c>
      <c r="M38">
        <v>9.6387548870786736E-5</v>
      </c>
      <c r="N38">
        <v>1E-4</v>
      </c>
      <c r="O38">
        <v>3000</v>
      </c>
      <c r="T38">
        <v>0.65165568488068359</v>
      </c>
      <c r="U38">
        <v>4.9999512528224672</v>
      </c>
      <c r="V38">
        <v>3.5724662632234971</v>
      </c>
      <c r="W38">
        <v>9.6469999999999993E-3</v>
      </c>
      <c r="X38">
        <v>8.5518540000000005</v>
      </c>
      <c r="Y38">
        <v>7.1656500000000003</v>
      </c>
      <c r="Z38">
        <v>44.150669999999998</v>
      </c>
      <c r="AA38">
        <v>42.528283999999999</v>
      </c>
      <c r="AB38">
        <v>1E-4</v>
      </c>
      <c r="AC38">
        <v>0.99999384302978411</v>
      </c>
      <c r="AD38">
        <v>0.36563810521058648</v>
      </c>
      <c r="AE38">
        <v>1.6426339999999999</v>
      </c>
      <c r="AF38">
        <v>0.4340377103482026</v>
      </c>
      <c r="AG38">
        <v>0.4383671813751393</v>
      </c>
    </row>
    <row r="39" spans="1:33" x14ac:dyDescent="0.3">
      <c r="A39">
        <v>12</v>
      </c>
      <c r="B39" t="s">
        <v>68</v>
      </c>
      <c r="C39">
        <v>14266.720024800021</v>
      </c>
      <c r="D39">
        <v>237.77866708000019</v>
      </c>
      <c r="E39" t="s">
        <v>69</v>
      </c>
      <c r="F39" t="s">
        <v>35</v>
      </c>
      <c r="G39" t="s">
        <v>70</v>
      </c>
      <c r="H39" t="s">
        <v>37</v>
      </c>
      <c r="I39">
        <v>4.6908903238087649E-2</v>
      </c>
      <c r="J39">
        <v>0</v>
      </c>
      <c r="K39" t="s">
        <v>14</v>
      </c>
      <c r="L39">
        <v>2157</v>
      </c>
      <c r="M39">
        <v>8.0913288395689982E-5</v>
      </c>
      <c r="N39">
        <v>1E-4</v>
      </c>
      <c r="O39">
        <v>3000</v>
      </c>
      <c r="T39">
        <v>0.29123113525208111</v>
      </c>
      <c r="U39">
        <v>4.9999849593923731</v>
      </c>
      <c r="V39">
        <v>3.1097110327333501</v>
      </c>
      <c r="W39">
        <v>9.6469999999999993E-3</v>
      </c>
      <c r="X39">
        <v>8.5518540000000005</v>
      </c>
      <c r="Y39">
        <v>7.1656500000000003</v>
      </c>
      <c r="Z39">
        <v>44.150669999999998</v>
      </c>
      <c r="AA39">
        <v>42.528283999999999</v>
      </c>
      <c r="AB39">
        <v>1E-4</v>
      </c>
      <c r="AC39">
        <v>0.9998421165693181</v>
      </c>
      <c r="AD39">
        <v>0.69997380918776264</v>
      </c>
      <c r="AE39">
        <v>1.6426339999999999</v>
      </c>
      <c r="AF39">
        <v>0.46860433960354198</v>
      </c>
      <c r="AG39">
        <v>0.38891835995184681</v>
      </c>
    </row>
    <row r="40" spans="1:33" x14ac:dyDescent="0.3">
      <c r="A40">
        <v>6</v>
      </c>
      <c r="B40" t="s">
        <v>50</v>
      </c>
      <c r="C40">
        <v>724.69335629999114</v>
      </c>
      <c r="D40">
        <v>12.07822260499985</v>
      </c>
      <c r="E40" t="s">
        <v>51</v>
      </c>
      <c r="F40" t="s">
        <v>35</v>
      </c>
      <c r="G40" t="s">
        <v>52</v>
      </c>
      <c r="H40" t="s">
        <v>37</v>
      </c>
      <c r="I40">
        <v>4.7448704902963393E-2</v>
      </c>
      <c r="J40">
        <v>0</v>
      </c>
      <c r="K40" t="s">
        <v>14</v>
      </c>
      <c r="L40">
        <v>117</v>
      </c>
      <c r="M40">
        <v>8.3577591680239515E-5</v>
      </c>
      <c r="N40">
        <v>1E-4</v>
      </c>
      <c r="O40">
        <v>3000</v>
      </c>
      <c r="T40">
        <v>0.114108858424406</v>
      </c>
      <c r="U40">
        <v>4.9309279802397734</v>
      </c>
      <c r="V40">
        <v>3.906240000964142</v>
      </c>
      <c r="W40">
        <v>9.6469999999999993E-3</v>
      </c>
      <c r="X40">
        <v>8.5518540000000005</v>
      </c>
      <c r="Y40">
        <v>7.1656500000000003</v>
      </c>
      <c r="Z40">
        <v>44.150669999999998</v>
      </c>
      <c r="AA40">
        <v>42.528283999999999</v>
      </c>
      <c r="AB40">
        <v>1E-4</v>
      </c>
      <c r="AC40">
        <v>0.99949439865433021</v>
      </c>
      <c r="AD40">
        <v>0.69860758765947273</v>
      </c>
      <c r="AE40">
        <v>1.6426339999999999</v>
      </c>
      <c r="AF40">
        <v>0.45236769485315093</v>
      </c>
      <c r="AG40">
        <v>0.44982093614372859</v>
      </c>
    </row>
    <row r="41" spans="1:33" x14ac:dyDescent="0.3">
      <c r="A41">
        <v>9</v>
      </c>
      <c r="B41" t="s">
        <v>59</v>
      </c>
      <c r="C41">
        <v>6369.6560671999914</v>
      </c>
      <c r="D41">
        <v>106.1609344533332</v>
      </c>
      <c r="E41" t="s">
        <v>60</v>
      </c>
      <c r="F41" t="s">
        <v>35</v>
      </c>
      <c r="G41" t="s">
        <v>61</v>
      </c>
      <c r="H41" t="s">
        <v>37</v>
      </c>
      <c r="I41">
        <v>4.7525237298336562E-2</v>
      </c>
      <c r="J41">
        <v>0</v>
      </c>
      <c r="K41" t="s">
        <v>14</v>
      </c>
      <c r="L41">
        <v>1307</v>
      </c>
      <c r="M41">
        <v>9.4023532562869798E-5</v>
      </c>
      <c r="N41">
        <v>1E-4</v>
      </c>
      <c r="O41">
        <v>3000</v>
      </c>
      <c r="T41">
        <v>0.65349306341367552</v>
      </c>
      <c r="U41">
        <v>4.9999941358925648</v>
      </c>
      <c r="V41">
        <v>3.3768799431976322</v>
      </c>
      <c r="W41">
        <v>9.6469999999999993E-3</v>
      </c>
      <c r="X41">
        <v>8.5518540000000005</v>
      </c>
      <c r="Y41">
        <v>7.1656500000000003</v>
      </c>
      <c r="Z41">
        <v>44.150669999999998</v>
      </c>
      <c r="AA41">
        <v>42.528283999999999</v>
      </c>
      <c r="AB41">
        <v>1E-4</v>
      </c>
      <c r="AC41">
        <v>0.99999997305702903</v>
      </c>
      <c r="AD41">
        <v>0.69938223140590383</v>
      </c>
      <c r="AE41">
        <v>1.6426339999999999</v>
      </c>
      <c r="AF41">
        <v>0.48432163227536618</v>
      </c>
      <c r="AG41">
        <v>0.38652366369530822</v>
      </c>
    </row>
    <row r="42" spans="1:33" x14ac:dyDescent="0.3">
      <c r="A42">
        <v>24</v>
      </c>
      <c r="B42" t="s">
        <v>104</v>
      </c>
      <c r="C42">
        <v>639.69710260001011</v>
      </c>
      <c r="D42">
        <v>10.661618376666841</v>
      </c>
      <c r="E42" t="s">
        <v>105</v>
      </c>
      <c r="F42" t="s">
        <v>35</v>
      </c>
      <c r="G42" t="s">
        <v>106</v>
      </c>
      <c r="H42" t="s">
        <v>37</v>
      </c>
      <c r="I42">
        <v>4.872104282215399E-2</v>
      </c>
      <c r="J42">
        <v>0</v>
      </c>
      <c r="K42" t="s">
        <v>14</v>
      </c>
      <c r="L42">
        <v>127</v>
      </c>
      <c r="M42">
        <v>9.3977386448309034E-5</v>
      </c>
      <c r="N42">
        <v>1E-4</v>
      </c>
      <c r="O42">
        <v>3000</v>
      </c>
      <c r="T42">
        <v>0.29126366060196229</v>
      </c>
      <c r="U42">
        <v>4.9998329120060623</v>
      </c>
      <c r="V42">
        <v>3.4139200572621049</v>
      </c>
      <c r="W42">
        <v>9.6469999999999993E-3</v>
      </c>
      <c r="X42">
        <v>8.5518540000000005</v>
      </c>
      <c r="Y42">
        <v>7.1656500000000003</v>
      </c>
      <c r="Z42">
        <v>44.150669999999998</v>
      </c>
      <c r="AA42">
        <v>42.528283999999999</v>
      </c>
      <c r="AB42">
        <v>1E-4</v>
      </c>
      <c r="AC42">
        <v>0.99999938617243633</v>
      </c>
      <c r="AD42">
        <v>0.52493244685336315</v>
      </c>
      <c r="AE42">
        <v>1.6426339999999999</v>
      </c>
      <c r="AF42">
        <v>0.46052962410422221</v>
      </c>
      <c r="AG42">
        <v>0.39946744640113269</v>
      </c>
    </row>
    <row r="43" spans="1:33" x14ac:dyDescent="0.3">
      <c r="A43">
        <v>22</v>
      </c>
      <c r="B43" t="s">
        <v>98</v>
      </c>
      <c r="C43">
        <v>1906.68284959998</v>
      </c>
      <c r="D43">
        <v>31.778047493332998</v>
      </c>
      <c r="E43" t="s">
        <v>99</v>
      </c>
      <c r="F43" t="s">
        <v>35</v>
      </c>
      <c r="G43" t="s">
        <v>100</v>
      </c>
      <c r="H43" t="s">
        <v>37</v>
      </c>
      <c r="I43">
        <v>4.976848154820622E-2</v>
      </c>
      <c r="J43">
        <v>0</v>
      </c>
      <c r="K43" t="s">
        <v>14</v>
      </c>
      <c r="L43">
        <v>322</v>
      </c>
      <c r="M43">
        <v>9.0534953078388303E-5</v>
      </c>
      <c r="N43">
        <v>1E-4</v>
      </c>
      <c r="O43">
        <v>3000</v>
      </c>
      <c r="T43">
        <v>0.25436834915252038</v>
      </c>
      <c r="U43">
        <v>4.9999999690669519</v>
      </c>
      <c r="V43">
        <v>3.041576569758691</v>
      </c>
      <c r="W43">
        <v>9.6469999999999993E-3</v>
      </c>
      <c r="X43">
        <v>8.5518540000000005</v>
      </c>
      <c r="Y43">
        <v>7.1656500000000003</v>
      </c>
      <c r="Z43">
        <v>44.150669999999998</v>
      </c>
      <c r="AA43">
        <v>42.528283999999999</v>
      </c>
      <c r="AB43">
        <v>1E-4</v>
      </c>
      <c r="AC43">
        <v>0.99999999854664101</v>
      </c>
      <c r="AD43">
        <v>0.6998576369283136</v>
      </c>
      <c r="AE43">
        <v>1.6426339999999999</v>
      </c>
      <c r="AF43">
        <v>0.46857028101905329</v>
      </c>
      <c r="AG43">
        <v>0.33545677692865977</v>
      </c>
    </row>
    <row r="44" spans="1:33" x14ac:dyDescent="0.3">
      <c r="A44">
        <v>37</v>
      </c>
      <c r="B44" t="s">
        <v>143</v>
      </c>
      <c r="C44">
        <v>397.92617180000519</v>
      </c>
      <c r="D44">
        <v>6.6321028633334196</v>
      </c>
      <c r="E44" t="s">
        <v>144</v>
      </c>
      <c r="F44" t="s">
        <v>35</v>
      </c>
      <c r="G44" t="s">
        <v>145</v>
      </c>
      <c r="H44" t="s">
        <v>37</v>
      </c>
      <c r="I44">
        <v>5.1150619612580987E-2</v>
      </c>
      <c r="J44">
        <v>0</v>
      </c>
      <c r="K44" t="s">
        <v>14</v>
      </c>
      <c r="L44">
        <v>80</v>
      </c>
      <c r="M44">
        <v>8.8222452269702331E-5</v>
      </c>
      <c r="N44">
        <v>1E-4</v>
      </c>
      <c r="O44">
        <v>3000</v>
      </c>
      <c r="T44">
        <v>0.25626305996605592</v>
      </c>
      <c r="U44">
        <v>4.9999302630490261</v>
      </c>
      <c r="V44">
        <v>2.550474056280986</v>
      </c>
      <c r="W44">
        <v>9.6469999999999993E-3</v>
      </c>
      <c r="X44">
        <v>8.5518540000000005</v>
      </c>
      <c r="Y44">
        <v>7.1656500000000003</v>
      </c>
      <c r="Z44">
        <v>44.150669999999998</v>
      </c>
      <c r="AA44">
        <v>42.528283999999999</v>
      </c>
      <c r="AB44">
        <v>1E-4</v>
      </c>
      <c r="AC44">
        <v>0.99999948674501371</v>
      </c>
      <c r="AD44">
        <v>0.42715737946817522</v>
      </c>
      <c r="AE44">
        <v>1.6426339999999999</v>
      </c>
      <c r="AF44">
        <v>0.46931414634837698</v>
      </c>
      <c r="AG44">
        <v>0.3378429006197069</v>
      </c>
    </row>
    <row r="45" spans="1:33" x14ac:dyDescent="0.3">
      <c r="A45">
        <v>46</v>
      </c>
      <c r="B45" t="s">
        <v>170</v>
      </c>
      <c r="C45">
        <v>950.68058039998868</v>
      </c>
      <c r="D45">
        <v>15.844676339999809</v>
      </c>
      <c r="E45" t="s">
        <v>171</v>
      </c>
      <c r="F45" t="s">
        <v>35</v>
      </c>
      <c r="G45" t="s">
        <v>172</v>
      </c>
      <c r="H45" t="s">
        <v>37</v>
      </c>
      <c r="I45">
        <v>5.2993154602945049E-2</v>
      </c>
      <c r="J45">
        <v>0</v>
      </c>
      <c r="K45" t="s">
        <v>14</v>
      </c>
      <c r="L45">
        <v>167</v>
      </c>
      <c r="M45">
        <v>9.972944950739808E-5</v>
      </c>
      <c r="N45">
        <v>1E-4</v>
      </c>
      <c r="O45">
        <v>3000</v>
      </c>
      <c r="T45">
        <v>0.35958036752535011</v>
      </c>
      <c r="U45">
        <v>4.6988171539413086</v>
      </c>
      <c r="V45">
        <v>3.2711910643074051</v>
      </c>
      <c r="W45">
        <v>9.6469999999999993E-3</v>
      </c>
      <c r="X45">
        <v>8.5518540000000005</v>
      </c>
      <c r="Y45">
        <v>7.1656500000000003</v>
      </c>
      <c r="Z45">
        <v>44.150669999999998</v>
      </c>
      <c r="AA45">
        <v>42.528283999999999</v>
      </c>
      <c r="AB45">
        <v>1E-4</v>
      </c>
      <c r="AC45">
        <v>0.9997592713660397</v>
      </c>
      <c r="AD45">
        <v>0.69999831433342585</v>
      </c>
      <c r="AE45">
        <v>1.6426339999999999</v>
      </c>
      <c r="AF45">
        <v>0.40460046558962098</v>
      </c>
      <c r="AG45">
        <v>0.44770133511875759</v>
      </c>
    </row>
    <row r="46" spans="1:33" x14ac:dyDescent="0.3">
      <c r="A46">
        <v>33</v>
      </c>
      <c r="B46" t="s">
        <v>131</v>
      </c>
      <c r="C46">
        <v>1090.2880530999969</v>
      </c>
      <c r="D46">
        <v>18.17146755166662</v>
      </c>
      <c r="E46" t="s">
        <v>132</v>
      </c>
      <c r="F46" t="s">
        <v>35</v>
      </c>
      <c r="G46" t="s">
        <v>133</v>
      </c>
      <c r="H46" t="s">
        <v>37</v>
      </c>
      <c r="I46">
        <v>5.4806031205122729E-2</v>
      </c>
      <c r="J46">
        <v>0</v>
      </c>
      <c r="K46" t="s">
        <v>14</v>
      </c>
      <c r="L46">
        <v>190</v>
      </c>
      <c r="M46">
        <v>9.4008651931310353E-5</v>
      </c>
      <c r="N46">
        <v>1E-4</v>
      </c>
      <c r="O46">
        <v>3000</v>
      </c>
      <c r="T46">
        <v>0.18275541264815939</v>
      </c>
      <c r="U46">
        <v>4.9973436184492224</v>
      </c>
      <c r="V46">
        <v>2.7871335393957528</v>
      </c>
      <c r="W46">
        <v>9.6469999999999993E-3</v>
      </c>
      <c r="X46">
        <v>8.5518540000000005</v>
      </c>
      <c r="Y46">
        <v>7.1656500000000003</v>
      </c>
      <c r="Z46">
        <v>44.150669999999998</v>
      </c>
      <c r="AA46">
        <v>42.528283999999999</v>
      </c>
      <c r="AB46">
        <v>1E-4</v>
      </c>
      <c r="AC46">
        <v>0.99630784272507211</v>
      </c>
      <c r="AD46">
        <v>0.69937242173615322</v>
      </c>
      <c r="AE46">
        <v>1.6426339999999999</v>
      </c>
      <c r="AF46">
        <v>0.46580425598023378</v>
      </c>
      <c r="AG46">
        <v>0.38547135815776812</v>
      </c>
    </row>
    <row r="47" spans="1:33" x14ac:dyDescent="0.3">
      <c r="A47">
        <v>43</v>
      </c>
      <c r="B47" t="s">
        <v>161</v>
      </c>
      <c r="C47">
        <v>1136.8069555000111</v>
      </c>
      <c r="D47">
        <v>18.94678259166685</v>
      </c>
      <c r="E47" t="s">
        <v>162</v>
      </c>
      <c r="F47" t="s">
        <v>35</v>
      </c>
      <c r="G47" t="s">
        <v>163</v>
      </c>
      <c r="H47" t="s">
        <v>37</v>
      </c>
      <c r="I47">
        <v>5.6623973915311522E-2</v>
      </c>
      <c r="J47">
        <v>0</v>
      </c>
      <c r="K47" t="s">
        <v>14</v>
      </c>
      <c r="L47">
        <v>171</v>
      </c>
      <c r="M47">
        <v>9.6756694296820536E-5</v>
      </c>
      <c r="N47">
        <v>1E-4</v>
      </c>
      <c r="O47">
        <v>3000</v>
      </c>
      <c r="T47">
        <v>0.38003289684944219</v>
      </c>
      <c r="U47">
        <v>4.9992630607250108</v>
      </c>
      <c r="V47">
        <v>3.9752447429533651</v>
      </c>
      <c r="W47">
        <v>9.6469999999999993E-3</v>
      </c>
      <c r="X47">
        <v>8.5518540000000005</v>
      </c>
      <c r="Y47">
        <v>7.1656500000000003</v>
      </c>
      <c r="Z47">
        <v>44.150669999999998</v>
      </c>
      <c r="AA47">
        <v>42.528283999999999</v>
      </c>
      <c r="AB47">
        <v>1E-4</v>
      </c>
      <c r="AC47">
        <v>0.99995224852686515</v>
      </c>
      <c r="AD47">
        <v>0.69932300757904575</v>
      </c>
      <c r="AE47">
        <v>1.6426339999999999</v>
      </c>
      <c r="AF47">
        <v>0.45370366637859322</v>
      </c>
      <c r="AG47">
        <v>0.50355512413685055</v>
      </c>
    </row>
    <row r="48" spans="1:33" x14ac:dyDescent="0.3">
      <c r="A48">
        <v>19</v>
      </c>
      <c r="B48" t="s">
        <v>89</v>
      </c>
      <c r="C48">
        <v>526.17649099999107</v>
      </c>
      <c r="D48">
        <v>8.7696081833331849</v>
      </c>
      <c r="E48" t="s">
        <v>90</v>
      </c>
      <c r="F48" t="s">
        <v>35</v>
      </c>
      <c r="G48" t="s">
        <v>91</v>
      </c>
      <c r="H48" t="s">
        <v>37</v>
      </c>
      <c r="I48">
        <v>5.909442716366551E-2</v>
      </c>
      <c r="J48">
        <v>0</v>
      </c>
      <c r="K48" t="s">
        <v>14</v>
      </c>
      <c r="L48">
        <v>89</v>
      </c>
      <c r="M48">
        <v>4.0660927500202408E-5</v>
      </c>
      <c r="N48">
        <v>1E-4</v>
      </c>
      <c r="O48">
        <v>3000</v>
      </c>
      <c r="T48">
        <v>0.29560047009268298</v>
      </c>
      <c r="U48">
        <v>4.9999954106884879</v>
      </c>
      <c r="V48">
        <v>3.4851365927768869</v>
      </c>
      <c r="W48">
        <v>9.6469999999999993E-3</v>
      </c>
      <c r="X48">
        <v>8.5518540000000005</v>
      </c>
      <c r="Y48">
        <v>7.1656500000000003</v>
      </c>
      <c r="Z48">
        <v>44.150669999999998</v>
      </c>
      <c r="AA48">
        <v>42.528283999999999</v>
      </c>
      <c r="AB48">
        <v>1E-4</v>
      </c>
      <c r="AC48">
        <v>0.99999994016869787</v>
      </c>
      <c r="AD48">
        <v>0.32119779079152982</v>
      </c>
      <c r="AE48">
        <v>1.6426339999999999</v>
      </c>
      <c r="AF48">
        <v>0.45473983272238899</v>
      </c>
      <c r="AG48">
        <v>0.42233582039840339</v>
      </c>
    </row>
    <row r="49" spans="1:33" x14ac:dyDescent="0.3">
      <c r="A49">
        <v>10</v>
      </c>
      <c r="B49" t="s">
        <v>62</v>
      </c>
      <c r="C49">
        <v>449.52430869999807</v>
      </c>
      <c r="D49">
        <v>7.4920718116666336</v>
      </c>
      <c r="E49" t="s">
        <v>63</v>
      </c>
      <c r="F49" t="s">
        <v>35</v>
      </c>
      <c r="G49" t="s">
        <v>64</v>
      </c>
      <c r="H49" t="s">
        <v>37</v>
      </c>
      <c r="I49">
        <v>6.2181443191359827E-2</v>
      </c>
      <c r="J49">
        <v>0</v>
      </c>
      <c r="K49" t="s">
        <v>14</v>
      </c>
      <c r="L49">
        <v>88</v>
      </c>
      <c r="M49">
        <v>9.9697045971855816E-5</v>
      </c>
      <c r="N49">
        <v>1E-4</v>
      </c>
      <c r="O49">
        <v>3000</v>
      </c>
      <c r="T49">
        <v>0.37762873491861609</v>
      </c>
      <c r="U49">
        <v>4.9915485887428552</v>
      </c>
      <c r="V49">
        <v>4.0834185913553256</v>
      </c>
      <c r="W49">
        <v>9.6469999999999993E-3</v>
      </c>
      <c r="X49">
        <v>8.5518540000000005</v>
      </c>
      <c r="Y49">
        <v>7.1656500000000003</v>
      </c>
      <c r="Z49">
        <v>44.150669999999998</v>
      </c>
      <c r="AA49">
        <v>42.528283999999999</v>
      </c>
      <c r="AB49">
        <v>1E-4</v>
      </c>
      <c r="AC49">
        <v>0.99499379169527702</v>
      </c>
      <c r="AD49">
        <v>0.69955874414233477</v>
      </c>
      <c r="AE49">
        <v>1.6426339999999999</v>
      </c>
      <c r="AF49">
        <v>0.44995920724788568</v>
      </c>
      <c r="AG49">
        <v>0.4301643326049211</v>
      </c>
    </row>
    <row r="50" spans="1:33" x14ac:dyDescent="0.3">
      <c r="A50">
        <v>8</v>
      </c>
      <c r="B50" t="s">
        <v>56</v>
      </c>
      <c r="C50">
        <v>1680.6024630000029</v>
      </c>
      <c r="D50">
        <v>28.010041050000051</v>
      </c>
      <c r="E50" t="s">
        <v>57</v>
      </c>
      <c r="F50" t="s">
        <v>35</v>
      </c>
      <c r="G50" t="s">
        <v>58</v>
      </c>
      <c r="H50" t="s">
        <v>37</v>
      </c>
      <c r="I50">
        <v>6.8179794755132098E-2</v>
      </c>
      <c r="J50">
        <v>0</v>
      </c>
      <c r="K50" t="s">
        <v>14</v>
      </c>
      <c r="L50">
        <v>335</v>
      </c>
      <c r="M50">
        <v>9.9649831967077242E-5</v>
      </c>
      <c r="N50">
        <v>1E-4</v>
      </c>
      <c r="O50">
        <v>3000</v>
      </c>
      <c r="T50">
        <v>0.6535133088730144</v>
      </c>
      <c r="U50">
        <v>4.9969211789300747</v>
      </c>
      <c r="V50">
        <v>3.4010516235480801</v>
      </c>
      <c r="W50">
        <v>9.6469999999999993E-3</v>
      </c>
      <c r="X50">
        <v>8.5518540000000005</v>
      </c>
      <c r="Y50">
        <v>7.1656500000000003</v>
      </c>
      <c r="Z50">
        <v>44.150669999999998</v>
      </c>
      <c r="AA50">
        <v>42.528283999999999</v>
      </c>
      <c r="AB50">
        <v>1E-4</v>
      </c>
      <c r="AC50">
        <v>0.99974258229713198</v>
      </c>
      <c r="AD50">
        <v>0.36705703277120122</v>
      </c>
      <c r="AE50">
        <v>1.6426339999999999</v>
      </c>
      <c r="AF50">
        <v>0.4647182303561212</v>
      </c>
      <c r="AG50">
        <v>0.33658771201975168</v>
      </c>
    </row>
    <row r="51" spans="1:33" x14ac:dyDescent="0.3">
      <c r="A51">
        <v>42</v>
      </c>
      <c r="B51" t="s">
        <v>158</v>
      </c>
      <c r="C51">
        <v>7429.9026429000078</v>
      </c>
      <c r="D51">
        <v>123.8317107150001</v>
      </c>
      <c r="E51" t="s">
        <v>159</v>
      </c>
      <c r="F51" t="s">
        <v>35</v>
      </c>
      <c r="G51" t="s">
        <v>160</v>
      </c>
      <c r="H51" t="s">
        <v>37</v>
      </c>
      <c r="I51">
        <v>7.475234706802035E-2</v>
      </c>
      <c r="J51">
        <v>0</v>
      </c>
      <c r="K51" t="s">
        <v>14</v>
      </c>
      <c r="L51">
        <v>1448</v>
      </c>
      <c r="M51">
        <v>9.8251136060979857E-5</v>
      </c>
      <c r="N51">
        <v>1E-4</v>
      </c>
      <c r="O51">
        <v>3000</v>
      </c>
      <c r="T51">
        <v>0.70756267409961315</v>
      </c>
      <c r="U51">
        <v>4.9996979542041977</v>
      </c>
      <c r="V51">
        <v>3.0900592851266282</v>
      </c>
      <c r="W51">
        <v>9.6469999999999993E-3</v>
      </c>
      <c r="X51">
        <v>8.5518540000000005</v>
      </c>
      <c r="Y51">
        <v>7.1656500000000003</v>
      </c>
      <c r="Z51">
        <v>44.150669999999998</v>
      </c>
      <c r="AA51">
        <v>42.528283999999999</v>
      </c>
      <c r="AB51">
        <v>1E-4</v>
      </c>
      <c r="AC51">
        <v>0.99978203533532117</v>
      </c>
      <c r="AD51">
        <v>0.39364995612643222</v>
      </c>
      <c r="AE51">
        <v>1.6426339999999999</v>
      </c>
      <c r="AF51">
        <v>0.46147555749634689</v>
      </c>
      <c r="AG51">
        <v>0.37448997958589958</v>
      </c>
    </row>
    <row r="54" spans="1:33" x14ac:dyDescent="0.3">
      <c r="T54">
        <f>AVERAGE(T2:T51)</f>
        <v>0.32485635517224026</v>
      </c>
      <c r="U54">
        <f>AVERAGE(U2:U51)</f>
        <v>4.7136450283931</v>
      </c>
      <c r="V54">
        <f>AVERAGE(V2:V51)</f>
        <v>3.7638401424230765</v>
      </c>
      <c r="AC54">
        <f>AVERAGE(AC2:AC51)</f>
        <v>0.99344084793165688</v>
      </c>
      <c r="AD54">
        <f>AVERAGE(AD2:AD51)</f>
        <v>0.56731925366352309</v>
      </c>
      <c r="AF54">
        <f>AVERAGE(AF2:AF51)</f>
        <v>0.45635523687020052</v>
      </c>
      <c r="AG54">
        <f>AVERAGE(AG2:AG51)</f>
        <v>0.39382742922365077</v>
      </c>
    </row>
    <row r="55" spans="1:33" x14ac:dyDescent="0.3">
      <c r="T55">
        <f>MEDIAN(T2:T51)</f>
        <v>0.29258466474350997</v>
      </c>
      <c r="U55">
        <f t="shared" ref="U55:AG55" si="0">MEDIAN(U2:U51)</f>
        <v>4.9795174277445371</v>
      </c>
      <c r="V55">
        <f t="shared" si="0"/>
        <v>3.5175344668352171</v>
      </c>
      <c r="AC55">
        <f t="shared" si="0"/>
        <v>0.99944214151904032</v>
      </c>
      <c r="AD55">
        <f t="shared" si="0"/>
        <v>0.63572417367179879</v>
      </c>
      <c r="AF55">
        <f t="shared" si="0"/>
        <v>0.45422174955049111</v>
      </c>
      <c r="AG55">
        <f t="shared" si="0"/>
        <v>0.39306766840803059</v>
      </c>
    </row>
    <row r="56" spans="1:33" x14ac:dyDescent="0.3">
      <c r="T56">
        <f>STDEVA(T2:T51)</f>
        <v>0.19853146679122477</v>
      </c>
      <c r="U56">
        <f t="shared" ref="U56:AG56" si="1">STDEVA(U2:U51)</f>
        <v>0.43951588905454342</v>
      </c>
      <c r="V56">
        <f t="shared" si="1"/>
        <v>0.77809644475042128</v>
      </c>
      <c r="AC56">
        <f t="shared" si="1"/>
        <v>2.6605187502998374E-2</v>
      </c>
      <c r="AD56">
        <f t="shared" si="1"/>
        <v>0.15152035924693061</v>
      </c>
      <c r="AF56">
        <f t="shared" si="1"/>
        <v>4.7088458320439688E-2</v>
      </c>
      <c r="AG56">
        <f t="shared" si="1"/>
        <v>7.1476978751553927E-2</v>
      </c>
    </row>
  </sheetData>
  <autoFilter ref="A1:AG51" xr:uid="{D2DC60E2-4191-4D5F-B74B-B5DC0737A08B}">
    <sortState xmlns:xlrd2="http://schemas.microsoft.com/office/spreadsheetml/2017/richdata2" ref="A2:AG51">
      <sortCondition ref="I1:I51"/>
    </sortState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resultados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FOLCH</cp:lastModifiedBy>
  <dcterms:created xsi:type="dcterms:W3CDTF">2026-05-17T14:51:29Z</dcterms:created>
  <dcterms:modified xsi:type="dcterms:W3CDTF">2026-05-17T22:00:13Z</dcterms:modified>
</cp:coreProperties>
</file>