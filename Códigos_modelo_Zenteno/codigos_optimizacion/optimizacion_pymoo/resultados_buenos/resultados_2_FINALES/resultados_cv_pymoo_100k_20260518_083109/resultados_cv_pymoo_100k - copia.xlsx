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37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38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39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4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41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42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Ex43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Ex44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charts/chartEx45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46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47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48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49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50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51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52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53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54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harts/chartEx55.xml" ContentType="application/vnd.ms-office.chartex+xml"/>
  <Override PartName="/xl/charts/style55.xml" ContentType="application/vnd.ms-office.chartstyle+xml"/>
  <Override PartName="/xl/charts/colors55.xml" ContentType="application/vnd.ms-office.chartcolorstyle+xml"/>
  <Override PartName="/xl/charts/chartEx56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518_083109\"/>
    </mc:Choice>
  </mc:AlternateContent>
  <xr:revisionPtr revIDLastSave="0" documentId="13_ncr:1_{A2DDF72C-8FF4-484E-A4FA-A411C3860266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resultados" sheetId="1" r:id="rId1"/>
    <sheet name="resultados (2)" sheetId="2" r:id="rId2"/>
    <sheet name="eliminación puntos 1" sheetId="4" r:id="rId3"/>
    <sheet name="eliminación puntos 2" sheetId="6" r:id="rId4"/>
    <sheet name="prueba elimin" sheetId="11" r:id="rId5"/>
    <sheet name="prueba elimin (2)" sheetId="12" r:id="rId6"/>
  </sheets>
  <definedNames>
    <definedName name="_xlnm._FilterDatabase" localSheetId="2" hidden="1">'eliminación puntos 1'!$A$1:$AG$1</definedName>
    <definedName name="_xlnm._FilterDatabase" localSheetId="3" hidden="1">'eliminación puntos 2'!$A$1:$AG$1</definedName>
    <definedName name="_xlnm._FilterDatabase" localSheetId="4" hidden="1">'prueba elimin'!$A$1:$N$1</definedName>
    <definedName name="_xlnm._FilterDatabase" localSheetId="5" hidden="1">'prueba elimin (2)'!$A$1:$O$51</definedName>
    <definedName name="_xlnm._FilterDatabase" localSheetId="1" hidden="1">'resultados (2)'!$A$1:$AG$1</definedName>
    <definedName name="_xlchart.v1.0" hidden="1">'resultados (2)'!$AC$1</definedName>
    <definedName name="_xlchart.v1.1" hidden="1">'resultados (2)'!$AC$2:$AC$51</definedName>
    <definedName name="_xlchart.v1.10" hidden="1">'resultados (2)'!$U$1</definedName>
    <definedName name="_xlchart.v1.100" hidden="1">'prueba elimin'!$N$2:$N$51</definedName>
    <definedName name="_xlchart.v1.101" hidden="1">'resultados (2)'!$AG$2:$AG$51</definedName>
    <definedName name="_xlchart.v1.102" hidden="1">'prueba elimin'!$B$2:$B$41</definedName>
    <definedName name="_xlchart.v1.103" hidden="1">'prueba elimin'!$B$2:$B$51</definedName>
    <definedName name="_xlchart.v1.104" hidden="1">'resultados (2)'!$U$2:$U$51</definedName>
    <definedName name="_xlchart.v1.105" hidden="1">'prueba elimin'!$A$2:$A$51</definedName>
    <definedName name="_xlchart.v1.106" hidden="1">'prueba elimin'!$A$2:$A$51</definedName>
    <definedName name="_xlchart.v1.107" hidden="1">'prueba elimin (2)'!$J$2:$J$51</definedName>
    <definedName name="_xlchart.v1.108" hidden="1">'prueba elimin (2)'!$C$2:$C$3</definedName>
    <definedName name="_xlchart.v1.109" hidden="1">'prueba elimin (2)'!$C$4:$C$51</definedName>
    <definedName name="_xlchart.v1.11" hidden="1">'resultados (2)'!$U$2:$U$51</definedName>
    <definedName name="_xlchart.v1.110" hidden="1">'prueba elimin (2)'!$B$2:$B$51</definedName>
    <definedName name="_xlchart.v1.111" hidden="1">'prueba elimin (2)'!$A$2:$A$51</definedName>
    <definedName name="_xlchart.v1.112" hidden="1">'prueba elimin (2)'!$N$2:$N$51</definedName>
    <definedName name="_xlchart.v1.113" hidden="1">'resultados (2)'!$AG$2:$AG$51</definedName>
    <definedName name="_xlchart.v1.114" hidden="1">'prueba elimin (2)'!$U$57:$U$62</definedName>
    <definedName name="_xlchart.v1.115" hidden="1">'prueba elimin (2)'!$V$57:$V$62</definedName>
    <definedName name="_xlchart.v1.116" hidden="1">'prueba elimin (2)'!$A$2:$A$51</definedName>
    <definedName name="_xlchart.v1.117" hidden="1">'prueba elimin (2)'!$S$57:$S$62</definedName>
    <definedName name="_xlchart.v1.118" hidden="1">'resultados (2)'!$T$2:$T$51</definedName>
    <definedName name="_xlchart.v1.119" hidden="1">'prueba elimin (2)'!$S$57:$S$62</definedName>
    <definedName name="_xlchart.v1.12" hidden="1">'resultados (2)'!$AC$1</definedName>
    <definedName name="_xlchart.v1.120" hidden="1">'prueba elimin (2)'!$K$2:$K$51</definedName>
    <definedName name="_xlchart.v1.121" hidden="1">'prueba elimin (2)'!$N$2:$N$51</definedName>
    <definedName name="_xlchart.v1.122" hidden="1">'prueba elimin (2)'!$M$2:$M$51</definedName>
    <definedName name="_xlchart.v1.123" hidden="1">'prueba elimin (2)'!$T$57:$T$62</definedName>
    <definedName name="_xlchart.v1.124" hidden="1">'prueba elimin (2)'!$U$57:$U$62</definedName>
    <definedName name="_xlchart.v1.125" hidden="1">'prueba elimin (2)'!$V$57:$V$62</definedName>
    <definedName name="_xlchart.v1.126" hidden="1">'prueba elimin (2)'!$W$57:$W$62</definedName>
    <definedName name="_xlchart.v1.127" hidden="1">'prueba elimin (2)'!$W$57:$W$62</definedName>
    <definedName name="_xlchart.v1.128" hidden="1">'prueba elimin (2)'!$X$57:$X$62</definedName>
    <definedName name="_xlchart.v1.129" hidden="1">'prueba elimin (2)'!$X$57:$X$62</definedName>
    <definedName name="_xlchart.v1.13" hidden="1">'resultados (2)'!$AC$2:$AC$51</definedName>
    <definedName name="_xlchart.v1.130" hidden="1">'prueba elimin (2)'!$Y$57:$Y$62</definedName>
    <definedName name="_xlchart.v1.131" hidden="1">'prueba elimin (2)'!$S$57:$S$62</definedName>
    <definedName name="_xlchart.v1.132" hidden="1">'prueba elimin (2)'!$T$57:$T$62</definedName>
    <definedName name="_xlchart.v1.133" hidden="1">'prueba elimin (2)'!$B$2:$B$51</definedName>
    <definedName name="_xlchart.v1.134" hidden="1">'resultados (2)'!$U$2:$U$51</definedName>
    <definedName name="_xlchart.v1.135" hidden="1">'prueba elimin (2)'!$A$2:$A$51</definedName>
    <definedName name="_xlchart.v1.136" hidden="1">'resultados (2)'!$T$2:$T$51</definedName>
    <definedName name="_xlchart.v1.137" hidden="1">'prueba elimin (2)'!$K$2:$K$51</definedName>
    <definedName name="_xlchart.v1.138" hidden="1">'resultados (2)'!$AD$2:$AD$51</definedName>
    <definedName name="_xlchart.v1.139" hidden="1">'prueba elimin (2)'!$M$2:$M$51</definedName>
    <definedName name="_xlchart.v1.14" hidden="1">'resultados (2)'!$AD$1</definedName>
    <definedName name="_xlchart.v1.140" hidden="1">'resultados (2)'!$AF$2:$AF$51</definedName>
    <definedName name="_xlchart.v1.141" hidden="1">'prueba elimin (2)'!$N$2:$N$51</definedName>
    <definedName name="_xlchart.v1.142" hidden="1">'resultados (2)'!$AG$2:$AG$51</definedName>
    <definedName name="_xlchart.v1.143" hidden="1">'prueba elimin (2)'!$C$2:$C$51</definedName>
    <definedName name="_xlchart.v1.144" hidden="1">'resultados (2)'!$V$2:$V$51</definedName>
    <definedName name="_xlchart.v1.145" hidden="1">'prueba elimin (2)'!$J$2:$J$51</definedName>
    <definedName name="_xlchart.v1.146" hidden="1">'resultados (2)'!$AC$2:$AC$51</definedName>
    <definedName name="_xlchart.v1.15" hidden="1">'resultados (2)'!$AD$2:$AD$51</definedName>
    <definedName name="_xlchart.v1.16" hidden="1">'resultados (2)'!$AD$1</definedName>
    <definedName name="_xlchart.v1.17" hidden="1">'resultados (2)'!$AD$2:$AD$51</definedName>
    <definedName name="_xlchart.v1.18" hidden="1">'resultados (2)'!$AF$1</definedName>
    <definedName name="_xlchart.v1.19" hidden="1">'resultados (2)'!$AF$2:$AF$51</definedName>
    <definedName name="_xlchart.v1.2" hidden="1">'resultados (2)'!$AC$3:$AC$52</definedName>
    <definedName name="_xlchart.v1.20" hidden="1">'resultados (2)'!$AF$1</definedName>
    <definedName name="_xlchart.v1.21" hidden="1">'resultados (2)'!$AF$2:$AF$51</definedName>
    <definedName name="_xlchart.v1.22" hidden="1">'resultados (2)'!$AG$1</definedName>
    <definedName name="_xlchart.v1.23" hidden="1">'resultados (2)'!$AG$2:$AG$51</definedName>
    <definedName name="_xlchart.v1.24" hidden="1">'resultados (2)'!$U$1</definedName>
    <definedName name="_xlchart.v1.25" hidden="1">'resultados (2)'!$U$2:$U$51</definedName>
    <definedName name="_xlchart.v1.26" hidden="1">'resultados (2)'!$V$1</definedName>
    <definedName name="_xlchart.v1.27" hidden="1">'resultados (2)'!$V$2:$V$51</definedName>
    <definedName name="_xlchart.v1.28" hidden="1">'resultados (2)'!$V$3:$V$52</definedName>
    <definedName name="_xlchart.v1.29" hidden="1">'eliminación puntos 1'!$AG$1</definedName>
    <definedName name="_xlchart.v1.3" hidden="1">'resultados (2)'!$V$1</definedName>
    <definedName name="_xlchart.v1.30" hidden="1">'eliminación puntos 1'!$AG$2:$AG$41</definedName>
    <definedName name="_xlchart.v1.31" hidden="1">'eliminación puntos 1'!$AF$1</definedName>
    <definedName name="_xlchart.v1.32" hidden="1">'eliminación puntos 1'!$AF$2:$AF$41</definedName>
    <definedName name="_xlchart.v1.33" hidden="1">'eliminación puntos 1'!$V$1</definedName>
    <definedName name="_xlchart.v1.34" hidden="1">'eliminación puntos 1'!$V$2:$V$41</definedName>
    <definedName name="_xlchart.v1.35" hidden="1">'eliminación puntos 1'!$AD$1</definedName>
    <definedName name="_xlchart.v1.36" hidden="1">'eliminación puntos 1'!$AD$2:$AD$41</definedName>
    <definedName name="_xlchart.v1.37" hidden="1">'eliminación puntos 1'!$AC$1</definedName>
    <definedName name="_xlchart.v1.38" hidden="1">'eliminación puntos 1'!$AC$2:$AC$41</definedName>
    <definedName name="_xlchart.v1.39" hidden="1">'eliminación puntos 1'!$T$1</definedName>
    <definedName name="_xlchart.v1.4" hidden="1">'resultados (2)'!$V$2:$V$51</definedName>
    <definedName name="_xlchart.v1.40" hidden="1">'eliminación puntos 1'!$T$2:$T$41</definedName>
    <definedName name="_xlchart.v1.41" hidden="1">'eliminación puntos 1'!$U$1</definedName>
    <definedName name="_xlchart.v1.42" hidden="1">'eliminación puntos 1'!$U$2:$U$41</definedName>
    <definedName name="_xlchart.v1.43" hidden="1">'eliminación puntos 2'!$AF$1</definedName>
    <definedName name="_xlchart.v1.44" hidden="1">'eliminación puntos 2'!$AF$2:$AF$36</definedName>
    <definedName name="_xlchart.v1.45" hidden="1">'resultados (2)'!$AF$2:$AF$51</definedName>
    <definedName name="_xlchart.v1.46" hidden="1">'eliminación puntos 2'!$T$1</definedName>
    <definedName name="_xlchart.v1.47" hidden="1">'eliminación puntos 2'!$T$2:$T$36</definedName>
    <definedName name="_xlchart.v1.48" hidden="1">'resultados (2)'!$T$2:$T$51</definedName>
    <definedName name="_xlchart.v1.49" hidden="1">'eliminación puntos 2'!$AC$1</definedName>
    <definedName name="_xlchart.v1.5" hidden="1">'resultados (2)'!$T$1</definedName>
    <definedName name="_xlchart.v1.50" hidden="1">'eliminación puntos 2'!$AC$2:$AC$36</definedName>
    <definedName name="_xlchart.v1.51" hidden="1">'resultados (2)'!$AC$2:$AC$51</definedName>
    <definedName name="_xlchart.v1.52" hidden="1">'eliminación puntos 2'!$V$1</definedName>
    <definedName name="_xlchart.v1.53" hidden="1">'eliminación puntos 2'!$V$2:$V$36</definedName>
    <definedName name="_xlchart.v1.54" hidden="1">'resultados (2)'!$V$2:$V$51</definedName>
    <definedName name="_xlchart.v1.55" hidden="1">'eliminación puntos 2'!$U$1</definedName>
    <definedName name="_xlchart.v1.56" hidden="1">'eliminación puntos 2'!$U$2:$U$36</definedName>
    <definedName name="_xlchart.v1.57" hidden="1">'resultados (2)'!$U$2:$U$51</definedName>
    <definedName name="_xlchart.v1.58" hidden="1">'eliminación puntos 2'!$AG$1</definedName>
    <definedName name="_xlchart.v1.59" hidden="1">'eliminación puntos 2'!$AG$2:$AG$36</definedName>
    <definedName name="_xlchart.v1.6" hidden="1">'resultados (2)'!$T$2:$T$51</definedName>
    <definedName name="_xlchart.v1.60" hidden="1">'eliminación puntos 2'!$AG$3:$AG$12</definedName>
    <definedName name="_xlchart.v1.61" hidden="1">'resultados (2)'!$AG$2:$AG$51</definedName>
    <definedName name="_xlchart.v1.62" hidden="1">'eliminación puntos 2'!$AD$1</definedName>
    <definedName name="_xlchart.v1.63" hidden="1">'eliminación puntos 2'!$AD$2:$AD$36</definedName>
    <definedName name="_xlchart.v1.64" hidden="1">'resultados (2)'!$AD$2:$AD$51</definedName>
    <definedName name="_xlchart.v1.65" hidden="1">'prueba elimin'!$J$2:$J$51</definedName>
    <definedName name="_xlchart.v1.66" hidden="1">'prueba elimin'!$K$2:$K$51</definedName>
    <definedName name="_xlchart.v1.67" hidden="1">'prueba elimin'!$K$2:$K$51</definedName>
    <definedName name="_xlchart.v1.68" hidden="1">'prueba elimin'!$N$2:$N$51</definedName>
    <definedName name="_xlchart.v1.69" hidden="1">'prueba elimin'!$N$3:$N$52</definedName>
    <definedName name="_xlchart.v1.7" hidden="1">'resultados (2)'!$Y$55</definedName>
    <definedName name="_xlchart.v1.70" hidden="1">'prueba elimin'!$C$2:$C$3</definedName>
    <definedName name="_xlchart.v1.71" hidden="1">'prueba elimin'!$C$4:$C$51</definedName>
    <definedName name="_xlchart.v1.72" hidden="1">'prueba elimin'!$J$2:$J$51</definedName>
    <definedName name="_xlchart.v1.73" hidden="1">'prueba elimin'!$K$2:$K$51</definedName>
    <definedName name="_xlchart.v1.74" hidden="1">'prueba elimin'!$M$2:$M$51</definedName>
    <definedName name="_xlchart.v1.75" hidden="1">'prueba elimin'!$A$2:$A$51</definedName>
    <definedName name="_xlchart.v1.76" hidden="1">'prueba elimin'!$A$2:$A$51</definedName>
    <definedName name="_xlchart.v1.77" hidden="1">'prueba elimin'!$A$2:$A$51</definedName>
    <definedName name="_xlchart.v1.78" hidden="1">'prueba elimin'!$A$2:$A$51</definedName>
    <definedName name="_xlchart.v1.79" hidden="1">'prueba elimin'!$A$2:$A$51</definedName>
    <definedName name="_xlchart.v1.8" hidden="1">'resultados (2)'!$T$1</definedName>
    <definedName name="_xlchart.v1.80" hidden="1">'prueba elimin'!$B$2:$B$51</definedName>
    <definedName name="_xlchart.v1.81" hidden="1">'prueba elimin'!$B$2:$B$51</definedName>
    <definedName name="_xlchart.v1.82" hidden="1">'prueba elimin'!$C$2:$C$3</definedName>
    <definedName name="_xlchart.v1.83" hidden="1">'prueba elimin'!$C$4:$C$51</definedName>
    <definedName name="_xlchart.v1.84" hidden="1">'prueba elimin'!$K$2:$K$41</definedName>
    <definedName name="_xlchart.v1.85" hidden="1">'prueba elimin'!$K$2:$K$51</definedName>
    <definedName name="_xlchart.v1.86" hidden="1">'resultados (2)'!$AD$2:$AD$51</definedName>
    <definedName name="_xlchart.v1.87" hidden="1">'prueba elimin'!$M$2:$M$41</definedName>
    <definedName name="_xlchart.v1.88" hidden="1">'prueba elimin'!$M$2:$M$51</definedName>
    <definedName name="_xlchart.v1.89" hidden="1">'resultados (2)'!$AF$2:$AF$51</definedName>
    <definedName name="_xlchart.v1.9" hidden="1">'resultados (2)'!$T$2:$T$51</definedName>
    <definedName name="_xlchart.v1.90" hidden="1">'prueba elimin'!$C$2:$C$41</definedName>
    <definedName name="_xlchart.v1.91" hidden="1">'prueba elimin'!$C$2:$C$51</definedName>
    <definedName name="_xlchart.v1.92" hidden="1">'resultados (2)'!$V$2:$V$51</definedName>
    <definedName name="_xlchart.v1.93" hidden="1">'prueba elimin'!$J$2:$J$41</definedName>
    <definedName name="_xlchart.v1.94" hidden="1">'prueba elimin'!$J$2:$J$51</definedName>
    <definedName name="_xlchart.v1.95" hidden="1">'resultados (2)'!$AC$2:$AC$51</definedName>
    <definedName name="_xlchart.v1.96" hidden="1">'prueba elimin'!$A$2:$A$41</definedName>
    <definedName name="_xlchart.v1.97" hidden="1">'prueba elimin'!$A$2:$A$51</definedName>
    <definedName name="_xlchart.v1.98" hidden="1">'resultados (2)'!$T$2:$T$51</definedName>
    <definedName name="_xlchart.v1.99" hidden="1">'prueba elimin'!$N$2:$N$38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12" l="1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54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A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A56" i="11"/>
  <c r="A55" i="11"/>
  <c r="A54" i="11"/>
  <c r="AG40" i="6"/>
  <c r="AF40" i="6"/>
  <c r="AD40" i="6"/>
  <c r="AC40" i="6"/>
  <c r="V40" i="6"/>
  <c r="U40" i="6"/>
  <c r="T40" i="6"/>
  <c r="AG39" i="6"/>
  <c r="AF39" i="6"/>
  <c r="AD39" i="6"/>
  <c r="AC39" i="6"/>
  <c r="V39" i="6"/>
  <c r="U39" i="6"/>
  <c r="T39" i="6"/>
  <c r="AG38" i="6"/>
  <c r="AF38" i="6"/>
  <c r="AD38" i="6"/>
  <c r="AC38" i="6"/>
  <c r="V38" i="6"/>
  <c r="U38" i="6"/>
  <c r="T38" i="6"/>
  <c r="A38" i="6"/>
  <c r="AG45" i="4"/>
  <c r="AF45" i="4"/>
  <c r="AD45" i="4"/>
  <c r="AC45" i="4"/>
  <c r="V45" i="4"/>
  <c r="U45" i="4"/>
  <c r="T45" i="4"/>
  <c r="AG44" i="4"/>
  <c r="AF44" i="4"/>
  <c r="AD44" i="4"/>
  <c r="AC44" i="4"/>
  <c r="V44" i="4"/>
  <c r="U44" i="4"/>
  <c r="T44" i="4"/>
  <c r="AG43" i="4"/>
  <c r="AF43" i="4"/>
  <c r="AD43" i="4"/>
  <c r="AC43" i="4"/>
  <c r="V43" i="4"/>
  <c r="U43" i="4"/>
  <c r="T43" i="4"/>
  <c r="A43" i="4"/>
  <c r="A53" i="2"/>
  <c r="U55" i="2"/>
  <c r="V55" i="2"/>
  <c r="AC55" i="2"/>
  <c r="AD55" i="2"/>
  <c r="AF55" i="2"/>
  <c r="AG55" i="2"/>
  <c r="T55" i="2"/>
  <c r="U54" i="2"/>
  <c r="V54" i="2"/>
  <c r="AC54" i="2"/>
  <c r="AD54" i="2"/>
  <c r="AF54" i="2"/>
  <c r="AG54" i="2"/>
  <c r="T54" i="2"/>
  <c r="U53" i="2"/>
  <c r="V53" i="2"/>
  <c r="AC53" i="2"/>
  <c r="AD53" i="2"/>
  <c r="AF53" i="2"/>
  <c r="AG53" i="2"/>
  <c r="T53" i="2"/>
</calcChain>
</file>

<file path=xl/sharedStrings.xml><?xml version="1.0" encoding="utf-8"?>
<sst xmlns="http://schemas.openxmlformats.org/spreadsheetml/2006/main" count="1223" uniqueCount="194">
  <si>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</si>
  <si>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</si>
  <si>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</si>
  <si>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</si>
  <si>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</si>
  <si>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</si>
  <si>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</si>
  <si>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</si>
  <si>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</si>
  <si>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costo_validacion_promedio</t>
  </si>
  <si>
    <t>stop_reason</t>
  </si>
  <si>
    <t>stop_iteration</t>
  </si>
  <si>
    <t>final_ratio</t>
  </si>
  <si>
    <t>umbral_relativo</t>
  </si>
  <si>
    <t>max_epoch</t>
  </si>
  <si>
    <t>costo_val_id_3</t>
  </si>
  <si>
    <t>costo_val_id_4</t>
  </si>
  <si>
    <t>costo_val_id_11</t>
  </si>
  <si>
    <t>costo_val_id_14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</si>
  <si>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</si>
  <si>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</si>
  <si>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</si>
  <si>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</si>
  <si>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</si>
  <si>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</si>
  <si>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</si>
  <si>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</si>
  <si>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</si>
  <si>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</si>
  <si>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</si>
  <si>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</si>
  <si>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</si>
  <si>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</si>
  <si>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2026-05-18 14:30:13</t>
  </si>
  <si>
    <t>1,2,5,13,15</t>
  </si>
  <si>
    <t>3,4,11,14</t>
  </si>
  <si>
    <t>Data CS 24 EL BOLDO estanque 30.xlsx | Data CS 24 LOU estanque 54.xlsx | Data SY 24 LOU+VAL+FN estanque 36.xlsx | Data CA 24 VAL estanque 31.xlsx | Data CA 24 VAL estanque 62.xlsx</t>
  </si>
  <si>
    <t>Data CS 25 EL BOLDO estanque 55.xlsx | Data CS 25 LOU estanque 61.xlsx | Data ME 25 AURORA + STA MARTA estanque 57.xlsx | Data CA 24 VAL estanque 59.xlsx</t>
  </si>
  <si>
    <t>2026-05-18 12:20:03</t>
  </si>
  <si>
    <t>5,7,8,10,16</t>
  </si>
  <si>
    <t>Data SY 24 LOU+VAL+FN estanque 36.xlsx | Data SY 24 LOU estanque 62.xlsx | Data SY 25 LOU estanque 30.xlsx | Data ME 24 QAGUA estanque 54.xlsx | Data CA 25 F.N. estanque 68.xlsx</t>
  </si>
  <si>
    <t>2026-05-18 13:05:40</t>
  </si>
  <si>
    <t>7,10,13,15,16</t>
  </si>
  <si>
    <t>Data SY 24 LOU estanque 62.xlsx | Data ME 24 QAGUA estanque 54.xlsx | Data CA 24 VAL estanque 31.xlsx | Data CA 24 VAL estanque 62.xlsx | Data CA 25 F.N. estanque 68.xlsx</t>
  </si>
  <si>
    <t>2026-05-18 11:49:33</t>
  </si>
  <si>
    <t>1,6,12,15,16</t>
  </si>
  <si>
    <t>Data CS 24 EL BOLDO estanque 30.xlsx | Data SY 24 VAL+STARAQ estanque 56.xlsx | Data ME 25 STA MARTA estanque 62.xlsx | Data CA 24 VAL estanque 62.xlsx | Data CA 25 F.N. estanque 68.xlsx</t>
  </si>
  <si>
    <t>2026-05-18 12:42:58</t>
  </si>
  <si>
    <t>1,2,9,12,15</t>
  </si>
  <si>
    <t>Data CS 24 EL BOLDO estanque 30.xlsx | Data CS 24 LOU estanque 54.xlsx | Data ME 25 Q. AGUA estanque 85.xlsx | Data ME 25 STA MARTA estanque 62.xlsx | Data CA 24 VAL estanque 62.xlsx</t>
  </si>
  <si>
    <t>2026-05-18 15:34:29</t>
  </si>
  <si>
    <t>2,6,9,10,15</t>
  </si>
  <si>
    <t>Data CS 24 LOU estanque 54.xlsx | Data SY 24 VAL+STARAQ estanque 56.xlsx | Data ME 25 Q. AGUA estanque 85.xlsx | Data ME 24 QAGUA estanque 54.xlsx | Data CA 24 VAL estanque 62.xlsx</t>
  </si>
  <si>
    <t>2026-05-18 17:09:07</t>
  </si>
  <si>
    <t>6,7,9,10,12</t>
  </si>
  <si>
    <t>Data SY 24 VAL+STARAQ estanque 56.xlsx | Data SY 24 LOU estanque 62.xlsx | Data ME 25 Q. AGUA estanque 85.xlsx | Data ME 24 QAGUA estanque 54.xlsx | Data ME 25 STA MARTA estanque 62.xlsx</t>
  </si>
  <si>
    <t>2026-05-18 16:53:01</t>
  </si>
  <si>
    <t>7,10,12,13,16</t>
  </si>
  <si>
    <t>Data SY 24 LOU estanque 62.xlsx | Data ME 24 QAGUA estanque 54.xlsx | Data ME 25 STA MARTA estanque 62.xlsx | Data CA 24 VAL estanque 31.xlsx | Data CA 25 F.N. estanque 68.xlsx</t>
  </si>
  <si>
    <t>2026-05-18 19:01:08</t>
  </si>
  <si>
    <t>2,6,7,13,16</t>
  </si>
  <si>
    <t>Data CS 24 LOU estanque 54.xlsx | Data SY 24 VAL+STARAQ estanque 56.xlsx | Data SY 24 LOU estanque 62.xlsx | Data CA 24 VAL estanque 31.xlsx | Data CA 25 F.N. estanque 68.xlsx</t>
  </si>
  <si>
    <t>2026-05-18 23:13:12</t>
  </si>
  <si>
    <t>2,7,9,12,15</t>
  </si>
  <si>
    <t>Data CS 24 LOU estanque 54.xlsx | Data SY 24 LOU estanque 62.xlsx | Data ME 25 Q. AGUA estanque 85.xlsx | Data ME 25 STA MARTA estanque 62.xlsx | Data CA 24 VAL estanque 62.xlsx</t>
  </si>
  <si>
    <t>2026-05-18 21:40:21</t>
  </si>
  <si>
    <t>1,5,8,10,15</t>
  </si>
  <si>
    <t>Data CS 24 EL BOLDO estanque 30.xlsx | Data SY 24 LOU+VAL+FN estanque 36.xlsx | Data SY 25 LOU estanque 30.xlsx | Data ME 24 QAGUA estanque 54.xlsx | Data CA 24 VAL estanque 62.xlsx</t>
  </si>
  <si>
    <t>2026-05-18 18:40:41</t>
  </si>
  <si>
    <t>5,8,9,15,16</t>
  </si>
  <si>
    <t>Data SY 24 LOU+VAL+FN estanque 36.xlsx | Data SY 25 LOU estanque 30.xlsx | Data ME 25 Q. AGUA estanque 85.xlsx | Data CA 24 VAL estanque 62.xlsx | Data CA 25 F.N. estanque 68.xlsx</t>
  </si>
  <si>
    <t>2026-05-18 22:17:37</t>
  </si>
  <si>
    <t>2,5,7,8,9</t>
  </si>
  <si>
    <t>Data CS 24 LOU estanque 54.xlsx | Data SY 24 LOU+VAL+FN estanque 36.xlsx | Data SY 24 LOU estanque 62.xlsx | Data SY 25 LOU estanque 30.xlsx | Data ME 25 Q. AGUA estanque 85.xlsx</t>
  </si>
  <si>
    <t>2026-05-19 01:29:16</t>
  </si>
  <si>
    <t>1,2,7,10,12</t>
  </si>
  <si>
    <t>Data CS 24 EL BOLDO estanque 30.xlsx | Data CS 24 LOU estanque 54.xlsx | Data SY 24 LOU estanque 62.xlsx | Data ME 24 QAGUA estanque 54.xlsx | Data ME 25 STA MARTA estanque 62.xlsx</t>
  </si>
  <si>
    <t>2026-05-19 02:19:41</t>
  </si>
  <si>
    <t>1,6,8,9,13</t>
  </si>
  <si>
    <t>Data CS 24 EL BOLDO estanque 30.xlsx | Data SY 24 VAL+STARAQ estanque 56.xlsx | Data SY 25 LOU estanque 30.xlsx | Data ME 25 Q. AGUA estanque 85.xlsx | Data CA 24 VAL estanque 31.xlsx</t>
  </si>
  <si>
    <t>2026-05-19 01:11:05</t>
  </si>
  <si>
    <t>1,2,9,15,16</t>
  </si>
  <si>
    <t>Data CS 24 EL BOLDO estanque 30.xlsx | Data CS 24 LOU estanque 54.xlsx | Data ME 25 Q. AGUA estanque 85.xlsx | Data CA 24 VAL estanque 62.xlsx | Data CA 25 F.N. estanque 68.xlsx</t>
  </si>
  <si>
    <t>2026-05-19 01:32:43</t>
  </si>
  <si>
    <t>5,7,8,15,16</t>
  </si>
  <si>
    <t>Data SY 24 LOU+VAL+FN estanque 36.xlsx | Data SY 24 LOU estanque 62.xlsx | Data SY 25 LOU estanque 30.xlsx | Data CA 24 VAL estanque 62.xlsx | Data CA 25 F.N. estanque 68.xlsx</t>
  </si>
  <si>
    <t>2026-05-19 01:36:00</t>
  </si>
  <si>
    <t>1,10,13,15,16</t>
  </si>
  <si>
    <t>Data CS 24 EL BOLDO estanque 30.xlsx | Data ME 24 QAGUA estanque 54.xlsx | Data CA 24 VAL estanque 31.xlsx | Data CA 24 VAL estanque 62.xlsx | Data CA 25 F.N. estanque 68.xlsx</t>
  </si>
  <si>
    <t>2026-05-19 06:55:59</t>
  </si>
  <si>
    <t>2,6,7,8,9</t>
  </si>
  <si>
    <t>Data CS 24 LOU estanque 54.xlsx | Data SY 24 VAL+STARAQ estanque 56.xlsx | Data SY 24 LOU estanque 62.xlsx | Data SY 25 LOU estanque 30.xlsx | Data ME 25 Q. AGUA estanque 85.xlsx</t>
  </si>
  <si>
    <t>2026-05-19 04:53:07</t>
  </si>
  <si>
    <t>2,5,12,15,16</t>
  </si>
  <si>
    <t>Data CS 24 LOU estanque 54.xlsx | Data SY 24 LOU+VAL+FN estanque 36.xlsx | Data ME 25 STA MARTA estanque 62.xlsx | Data CA 24 VAL estanque 62.xlsx | Data CA 25 F.N. estanque 68.xlsx</t>
  </si>
  <si>
    <t>2026-05-19 04:18:30</t>
  </si>
  <si>
    <t>5,8,10,13,15</t>
  </si>
  <si>
    <t>Data SY 24 LOU+VAL+FN estanque 36.xlsx | Data SY 25 LOU estanque 30.xlsx | Data ME 24 QAGUA estanque 54.xlsx | Data CA 24 VAL estanque 31.xlsx | Data CA 24 VAL estanque 62.xlsx</t>
  </si>
  <si>
    <t>2026-05-19 06:21:31</t>
  </si>
  <si>
    <t>2,7,13,15,16</t>
  </si>
  <si>
    <t>Data CS 24 LOU estanque 54.xlsx | Data SY 24 LOU estanque 62.xlsx | Data CA 24 VAL estanque 31.xlsx | Data CA 24 VAL estanque 62.xlsx | Data CA 25 F.N. estanque 68.xlsx</t>
  </si>
  <si>
    <t>2026-05-19 10:09:07</t>
  </si>
  <si>
    <t>1,5,7,9,13</t>
  </si>
  <si>
    <t>Data CS 24 EL BOLDO estanque 30.xlsx | Data SY 24 LOU+VAL+FN estanque 36.xlsx | Data SY 24 LOU estanque 62.xlsx | Data ME 25 Q. AGUA estanque 85.xlsx | Data CA 24 VAL estanque 31.xlsx</t>
  </si>
  <si>
    <t>2026-05-19 08:25:00</t>
  </si>
  <si>
    <t>1,5,6,7,16</t>
  </si>
  <si>
    <t>Data CS 24 EL BOLDO estanque 30.xlsx | Data SY 24 LOU+VAL+FN estanque 36.xlsx | Data SY 24 VAL+STARAQ estanque 56.xlsx | Data SY 24 LOU estanque 62.xlsx | Data CA 25 F.N. estanque 68.xlsx</t>
  </si>
  <si>
    <t>2026-05-19 08:50:01</t>
  </si>
  <si>
    <t>1,6,7,8,9</t>
  </si>
  <si>
    <t>Data CS 24 EL BOLDO estanque 30.xlsx | Data SY 24 VAL+STARAQ estanque 56.xlsx | Data SY 24 LOU estanque 62.xlsx | Data SY 25 LOU estanque 30.xlsx | Data ME 25 Q. AGUA estanque 85.xlsx</t>
  </si>
  <si>
    <t>2026-05-19 10:02:53</t>
  </si>
  <si>
    <t>1,2,5,8,9</t>
  </si>
  <si>
    <t>Data CS 24 EL BOLDO estanque 30.xlsx | Data CS 24 LOU estanque 54.xlsx | Data SY 24 LOU+VAL+FN estanque 36.xlsx | Data SY 25 LOU estanque 30.xlsx | Data ME 25 Q. AGUA estanque 85.xlsx</t>
  </si>
  <si>
    <t>2026-05-19 10:10:46</t>
  </si>
  <si>
    <t>7,8,9,15,16</t>
  </si>
  <si>
    <t>Data SY 24 LOU estanque 62.xlsx | Data SY 25 LOU estanque 30.xlsx | Data ME 25 Q. AGUA estanque 85.xlsx | Data CA 24 VAL estanque 62.xlsx | Data CA 25 F.N. estanque 68.xlsx</t>
  </si>
  <si>
    <t>2026-05-19 15:02:33</t>
  </si>
  <si>
    <t>1,5,7,10,16</t>
  </si>
  <si>
    <t>Data CS 24 EL BOLDO estanque 30.xlsx | Data SY 24 LOU+VAL+FN estanque 36.xlsx | Data SY 24 LOU estanque 62.xlsx | Data ME 24 QAGUA estanque 54.xlsx | Data CA 25 F.N. estanque 68.xlsx</t>
  </si>
  <si>
    <t>2026-05-19 13:00:51</t>
  </si>
  <si>
    <t>1,2,6,8,9</t>
  </si>
  <si>
    <t>Data CS 24 EL BOLDO estanque 30.xlsx | Data CS 24 LOU estanque 54.xlsx | Data SY 24 VAL+STARAQ estanque 56.xlsx | Data SY 25 LOU estanque 30.xlsx | Data ME 25 Q. AGUA estanque 85.xlsx</t>
  </si>
  <si>
    <t>2026-05-19 14:34:01</t>
  </si>
  <si>
    <t>1,5,7,9,15</t>
  </si>
  <si>
    <t>Data CS 24 EL BOLDO estanque 30.xlsx | Data SY 24 LOU+VAL+FN estanque 36.xlsx | Data SY 24 LOU estanque 62.xlsx | Data ME 25 Q. AGUA estanque 85.xlsx | Data CA 24 VAL estanque 62.xlsx</t>
  </si>
  <si>
    <t>2026-05-19 14:35:52</t>
  </si>
  <si>
    <t>1,6,7,10,16</t>
  </si>
  <si>
    <t>Data CS 24 EL BOLDO estanque 30.xlsx | Data SY 24 VAL+STARAQ estanque 56.xlsx | Data SY 24 LOU estanque 62.xlsx | Data ME 24 QAGUA estanque 54.xlsx | Data CA 25 F.N. estanque 68.xlsx</t>
  </si>
  <si>
    <t>2026-05-19 12:09:49</t>
  </si>
  <si>
    <t>8,9,12,13,15</t>
  </si>
  <si>
    <t>Data SY 25 LOU estanque 30.xlsx | Data ME 25 Q. AGUA estanque 85.xlsx | Data ME 25 STA MARTA estanque 62.xlsx | Data CA 24 VAL estanque 31.xlsx | Data CA 24 VAL estanque 62.xlsx</t>
  </si>
  <si>
    <t>2026-05-19 17:42:17</t>
  </si>
  <si>
    <t>1,2,6,7,13</t>
  </si>
  <si>
    <t>Data CS 24 EL BOLDO estanque 30.xlsx | Data CS 24 LOU estanque 54.xlsx | Data SY 24 VAL+STARAQ estanque 56.xlsx | Data SY 24 LOU estanque 62.xlsx | Data CA 24 VAL estanque 31.xlsx</t>
  </si>
  <si>
    <t>2026-05-19 17:03:51</t>
  </si>
  <si>
    <t>6,7,8,9,16</t>
  </si>
  <si>
    <t>Data SY 24 VAL+STARAQ estanque 56.xlsx | Data SY 24 LOU estanque 62.xlsx | Data SY 25 LOU estanque 30.xlsx | Data ME 25 Q. AGUA estanque 85.xlsx | Data CA 25 F.N. estanque 68.xlsx</t>
  </si>
  <si>
    <t>2026-05-19 18:20:46</t>
  </si>
  <si>
    <t>1,2,13,15,16</t>
  </si>
  <si>
    <t>Data CS 24 EL BOLDO estanque 30.xlsx | Data CS 24 LOU estanque 54.xlsx | Data CA 24 VAL estanque 31.xlsx | Data CA 24 VAL estanque 62.xlsx | Data CA 25 F.N. estanque 68.xlsx</t>
  </si>
  <si>
    <t>2026-05-19 19:23:10</t>
  </si>
  <si>
    <t>1,5,7,12,15</t>
  </si>
  <si>
    <t>Data CS 24 EL BOLDO estanque 30.xlsx | Data SY 24 LOU+VAL+FN estanque 36.xlsx | Data SY 24 LOU estanque 62.xlsx | Data ME 25 STA MARTA estanque 62.xlsx | Data CA 24 VAL estanque 62.xlsx</t>
  </si>
  <si>
    <t>2026-05-19 18:02:54</t>
  </si>
  <si>
    <t>2,5,8,13,15</t>
  </si>
  <si>
    <t>Data CS 24 LOU estanque 54.xlsx | Data SY 24 LOU+VAL+FN estanque 36.xlsx | Data SY 25 LOU estanque 30.xlsx | Data CA 24 VAL estanque 31.xlsx | Data CA 24 VAL estanque 62.xlsx</t>
  </si>
  <si>
    <t>2026-05-19 18:58:12</t>
  </si>
  <si>
    <t>6,8,9,10,13</t>
  </si>
  <si>
    <t>Data SY 24 VAL+STARAQ estanque 56.xlsx | Data SY 25 LOU estanque 30.xlsx | Data ME 25 Q. AGUA estanque 85.xlsx | Data ME 24 QAGUA estanque 54.xlsx | Data CA 24 VAL estanque 31.xlsx</t>
  </si>
  <si>
    <t>2026-05-20 01:43:16</t>
  </si>
  <si>
    <t>7,9,10,15,16</t>
  </si>
  <si>
    <t>Data SY 24 LOU estanque 62.xlsx | Data ME 25 Q. AGUA estanque 85.xlsx | Data ME 24 QAGUA estanque 54.xlsx | Data CA 24 VAL estanque 62.xlsx | Data CA 25 F.N. estanque 68.xlsx</t>
  </si>
  <si>
    <t>2026-05-19 21:53:41</t>
  </si>
  <si>
    <t>1,2,8,12,15</t>
  </si>
  <si>
    <t>Data CS 24 EL BOLDO estanque 30.xlsx | Data CS 24 LOU estanque 54.xlsx | Data SY 25 LOU estanque 30.xlsx | Data ME 25 STA MARTA estanque 62.xlsx | Data CA 24 VAL estanque 62.xlsx</t>
  </si>
  <si>
    <t>2026-05-19 23:32:46</t>
  </si>
  <si>
    <t>2,6,7,9,16</t>
  </si>
  <si>
    <t>Data CS 24 LOU estanque 54.xlsx | Data SY 24 VAL+STARAQ estanque 56.xlsx | Data SY 24 LOU estanque 62.xlsx | Data ME 25 Q. AGUA estanque 85.xlsx | Data CA 25 F.N. estanque 68.xlsx</t>
  </si>
  <si>
    <t>2026-05-19 22:19:43</t>
  </si>
  <si>
    <t>1,9,10,12,15</t>
  </si>
  <si>
    <t>Data CS 24 EL BOLDO estanque 30.xlsx | Data ME 25 Q. AGUA estanque 85.xlsx | Data ME 24 QAGUA estanque 54.xlsx | Data ME 25 STA MARTA estanque 62.xlsx | Data CA 24 VAL estanque 62.xlsx</t>
  </si>
  <si>
    <t>2026-05-20 00:39:40</t>
  </si>
  <si>
    <t>5,9,12,13,15</t>
  </si>
  <si>
    <t>Data SY 24 LOU+VAL+FN estanque 36.xlsx | Data ME 25 Q. AGUA estanque 85.xlsx | Data ME 25 STA MARTA estanque 62.xlsx | Data CA 24 VAL estanque 31.xlsx | Data CA 24 VAL estanque 62.xlsx</t>
  </si>
  <si>
    <t>2026-05-20 04:46:48</t>
  </si>
  <si>
    <t>1,2,5,7,16</t>
  </si>
  <si>
    <t>Data CS 24 EL BOLDO estanque 30.xlsx | Data CS 24 LOU estanque 54.xlsx | Data SY 24 LOU+VAL+FN estanque 36.xlsx | Data SY 24 LOU estanque 62.xlsx | Data CA 25 F.N. estanque 68.xlsx</t>
  </si>
  <si>
    <t>2026-05-20 02:54:47</t>
  </si>
  <si>
    <t>2,9,10,13,15</t>
  </si>
  <si>
    <t>Data CS 24 LOU estanque 54.xlsx | Data ME 25 Q. AGUA estanque 85.xlsx | Data ME 24 QAGUA estanque 54.xlsx | Data CA 24 VAL estanque 31.xlsx | Data CA 24 VAL estanque 62.xlsx</t>
  </si>
  <si>
    <t>2026-05-20 01:56:52</t>
  </si>
  <si>
    <t>1,2,8,12,13</t>
  </si>
  <si>
    <t>Data CS 24 EL BOLDO estanque 30.xlsx | Data CS 24 LOU estanque 54.xlsx | Data SY 25 LOU estanque 30.xlsx | Data ME 25 STA MARTA estanque 62.xlsx | Data CA 24 VAL estanque 31.xlsx</t>
  </si>
  <si>
    <t>2026-05-20 02:35:21</t>
  </si>
  <si>
    <t>2,5,10,12,15</t>
  </si>
  <si>
    <t>Data CS 24 LOU estanque 54.xlsx | Data SY 24 LOU+VAL+FN estanque 36.xlsx | Data ME 24 QAGUA estanque 54.xlsx | Data ME 25 STA MARTA estanque 62.xlsx | Data CA 24 VAL estanque 62.xlsx</t>
  </si>
  <si>
    <t>2026-05-20 04:26:17</t>
  </si>
  <si>
    <t>1,7,8,13,16</t>
  </si>
  <si>
    <t>Data CS 24 EL BOLDO estanque 30.xlsx | Data SY 24 LOU estanque 62.xlsx | Data SY 25 LOU estanque 30.xlsx | Data CA 24 VAL estanque 31.xlsx | Data CA 25 F.N. estanque 68.xlsx</t>
  </si>
  <si>
    <t>2026-05-20 04:33:03</t>
  </si>
  <si>
    <t>5,9,13,15,16</t>
  </si>
  <si>
    <t>Data SY 24 LOU+VAL+FN estanque 36.xlsx | Data ME 25 Q. AGUA estanque 85.xlsx | Data CA 24 VAL estanque 31.xlsx | Data CA 24 VAL estanque 62.xlsx | Data CA 25 F.N. estanque 68.xlsx</t>
  </si>
  <si>
    <t>2026-05-20 06:41:33</t>
  </si>
  <si>
    <t>2,5,7,8,10</t>
  </si>
  <si>
    <t>Data CS 24 LOU estanque 54.xlsx | Data SY 24 LOU+VAL+FN estanque 36.xlsx | Data SY 24 LOU estanque 62.xlsx | Data SY 25 LOU estanque 30.xlsx | Data ME 24 QAGUA estanque 54.xlsx</t>
  </si>
  <si>
    <t>eliminados</t>
  </si>
  <si>
    <t>3,30,47</t>
  </si>
  <si>
    <t>4,16,41</t>
  </si>
  <si>
    <t>48,9,38,40</t>
  </si>
  <si>
    <t>20,23,21,19,25</t>
  </si>
  <si>
    <t>prom</t>
  </si>
  <si>
    <t>mediana</t>
  </si>
  <si>
    <t>desv est</t>
  </si>
  <si>
    <t>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</si>
</sst>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7408984E-2F33-47C6-B70A-DE69410EB519}">
          <cx:tx>
            <cx:txData>
              <cx:f>_xlchart.v1.5</cx:f>
              <cx:v>mu0</cx:v>
            </cx:txData>
          </cx:tx>
          <cx:spPr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3A92B261-9143-401E-AC44-4BBD7BBA9D3E}">
          <cx:tx>
            <cx:txData>
              <cx:f>_xlchart.v1.10</cx:f>
              <cx:v>betaG0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742921D9-83BA-4931-A539-577578199918}">
          <cx:tx>
            <cx:txData>
              <cx:f>_xlchart.v1.26</cx:f>
              <cx:v>betaF0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D625AFB7-88E1-4F11-A925-7491B3BAF47B}">
          <cx:tx>
            <cx:txData>
              <cx:f>_xlchart.v1.0</cx:f>
              <cx:v>Yxn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687CA321-0B8A-4874-8552-D29580C7F778}">
          <cx:tx>
            <cx:txData>
              <cx:f>_xlchart.v1.14</cx:f>
              <cx:v>Yxg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7EDB7B16-4F3B-4E29-9BAF-181D0289FD80}">
          <cx:tx>
            <cx:txData>
              <cx:f>_xlchart.v1.18</cx:f>
              <cx:v>Yeg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362869EA-F52B-42C7-AB6A-FDC88FE7DC17}">
          <cx:tx>
            <cx:txData>
              <cx:f>_xlchart.v1.22</cx:f>
              <cx:v>Yef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7408984E-2F33-47C6-B70A-DE69410EB519}">
          <cx:tx>
            <cx:txData>
              <cx:f>_xlchart.v1.39</cx:f>
              <cx:v>mu0</cx:v>
            </cx:txData>
          </cx:tx>
          <cx:spPr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3A92B261-9143-401E-AC44-4BBD7BBA9D3E}">
          <cx:tx>
            <cx:txData>
              <cx:f>_xlchart.v1.41</cx:f>
              <cx:v>betaG0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742921D9-83BA-4931-A539-577578199918}">
          <cx:tx>
            <cx:txData>
              <cx:f>_xlchart.v1.33</cx:f>
              <cx:v>betaF0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D625AFB7-88E1-4F11-A925-7491B3BAF47B}">
          <cx:tx>
            <cx:txData>
              <cx:f>_xlchart.v1.37</cx:f>
              <cx:v>Yxn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687CA321-0B8A-4874-8552-D29580C7F778}">
          <cx:tx>
            <cx:txData>
              <cx:f>_xlchart.v1.35</cx:f>
              <cx:v>Yxg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7EDB7B16-4F3B-4E29-9BAF-181D0289FD80}">
          <cx:tx>
            <cx:txData>
              <cx:f>_xlchart.v1.31</cx:f>
              <cx:v>Yeg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362869EA-F52B-42C7-AB6A-FDC88FE7DC17}">
          <cx:tx>
            <cx:txData>
              <cx:f>_xlchart.v1.29</cx:f>
              <cx:v>Yef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_xlchart.v1.47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0-66EE-4BE2-B51B-ED37E4E88BD9}" formatIdx="1">
          <cx:tx>
            <cx:txData>
              <cx:v>mu 50 datos</cx:v>
            </cx:txData>
          </cx:tx>
          <cx:spPr>
            <a:solidFill>
              <a:schemeClr val="accent1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66EE-4BE2-B51B-ED37E4E88BD9}">
          <cx:tx>
            <cx:txData>
              <cx:v>mu0 35 datos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60000000000000009"/>
        <cx:majorGridlines/>
        <cx:tickLabels/>
      </cx:axis>
    </cx:plotArea>
    <cx:legend pos="b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  <cx:data id="1">
      <cx:numDim type="val">
        <cx:f>_xlchart.v1.56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00000000-7172-4596-8DF3-CC56EBA71CD2}">
          <cx:tx>
            <cx:txData>
              <cx:v>betaG0 50 datos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7172-4596-8DF3-CC56EBA71CD2}">
          <cx:tx>
            <cx:txData>
              <cx:v>betaG0 35 datos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_xlchart.v1.53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00000000-2A9B-400D-839F-EA99933203F0}">
          <cx:tx>
            <cx:txData>
              <cx:v>betaF0 50 datos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2A9B-400D-839F-EA99933203F0}">
          <cx:tx>
            <cx:txData>
              <cx:v>betaF0 35 datos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  <cx:data id="1">
      <cx:numDim type="val">
        <cx:f>_xlchart.v1.50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D625AFB7-88E1-4F11-A925-7491B3BAF47B}">
          <cx:tx>
            <cx:txData>
              <cx:v>Yxn 50 datos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3E60-487E-B18A-C8B7E38D124D}">
          <cx:tx>
            <cx:txData>
              <cx:v>Yxn 35 datos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_xlchart.v1.64</cx:f>
      </cx:numDim>
    </cx:data>
    <cx:data id="1">
      <cx:numDim type="val">
        <cx:f>_xlchart.v1.63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00000000-038F-4C62-91B2-0D03E5213322}">
          <cx:tx>
            <cx:txData>
              <cx:v>Yxg 50 datos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038F-4C62-91B2-0D03E5213322}">
          <cx:tx>
            <cx:txData>
              <cx:v>Yxg 35 datos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_xlchart.v1.44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00000000-9F04-4373-8E61-44153D4A6EB0}">
          <cx:tx>
            <cx:txData>
              <cx:v>Yeg 50 datos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F04-4373-8E61-44153D4A6EB0}">
          <cx:tx>
            <cx:txData>
              <cx:v>Yeg 35 datos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_xlchart.v1.59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362869EA-F52B-42C7-AB6A-FDC88FE7DC17}">
          <cx:tx>
            <cx:txData>
              <cx:v>Yef 50 datos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A612-4C31-9B36-6813A32569DE}">
          <cx:tx>
            <cx:txData>
              <cx:v>Yef 35 datos</cx:v>
            </cx:txData>
          </cx:tx>
          <cx:spPr>
            <a:solidFill>
              <a:schemeClr val="tx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_xlchart.v1.98</cx:f>
      </cx:numDim>
    </cx:data>
    <cx:data id="1">
      <cx:numDim type="val">
        <cx:f>_xlchart.v1.97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0-66EE-4BE2-B51B-ED37E4E88BD9}" formatIdx="1">
          <cx:tx>
            <cx:txData>
              <cx:v>mu0 50 datos</cx:v>
            </cx:txData>
          </cx:tx>
          <cx:spPr>
            <a:solidFill>
              <a:schemeClr val="accent1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05A2-42D2-A015-4AA0C0AAF875}">
          <cx:tx>
            <cx:txData>
              <cx:v>mu0 35 datos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60000000000000009"/>
        <cx:majorGridlines/>
        <cx:tickLabels/>
      </cx:axis>
    </cx:plotArea>
    <cx:legend pos="b" align="ctr" overlay="0"/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_xlchart.v1.104</cx:f>
      </cx:numDim>
    </cx:data>
    <cx:data id="1">
      <cx:numDim type="val">
        <cx:f>_xlchart.v1.103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00000000-7172-4596-8DF3-CC56EBA71CD2}">
          <cx:tx>
            <cx:txData>
              <cx:f/>
              <cx:v>betaG0 50 datos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7172-4596-8DF3-CC56EBA71CD2}">
          <cx:tx>
            <cx:txData>
              <cx:v>betaG0 35 datos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9"/>
        <cx:majorGridlines/>
        <cx:tickLabels/>
      </cx:axis>
    </cx:plotArea>
    <cx:legend pos="b" align="ctr" overlay="0"/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_xlchart.v1.92</cx:f>
      </cx:numDim>
    </cx:data>
    <cx:data id="1">
      <cx:numDim type="val">
        <cx:f>_xlchart.v1.91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00000000-2A9B-400D-839F-EA99933203F0}">
          <cx:tx>
            <cx:txData>
              <cx:f/>
              <cx:v>betaF0 50 datos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2A9B-400D-839F-EA99933203F0}">
          <cx:tx>
            <cx:txData>
              <cx:v>betaF0 35 datos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_xlchart.v1.95</cx:f>
      </cx:numDim>
    </cx:data>
    <cx:data id="1">
      <cx:numDim type="val">
        <cx:f>_xlchart.v1.94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D625AFB7-88E1-4F11-A925-7491B3BAF47B}">
          <cx:tx>
            <cx:txData>
              <cx:f/>
              <cx:v>Yxn 50 datos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3E60-487E-B18A-C8B7E38D124D}">
          <cx:tx>
            <cx:txData>
              <cx:v>Yxn 35 datos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_xlchart.v1.86</cx:f>
      </cx:numDim>
    </cx:data>
    <cx:data id="1">
      <cx:numDim type="val">
        <cx:f>_xlchart.v1.85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00000000-038F-4C62-91B2-0D03E5213322}">
          <cx:tx>
            <cx:txData>
              <cx:f/>
              <cx:v>Yxg 50 datos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038F-4C62-91B2-0D03E5213322}">
          <cx:tx>
            <cx:txData>
              <cx:v>Yxg 35 datos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 min="0.10000000000000001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_xlchart.v1.89</cx:f>
      </cx:numDim>
    </cx:data>
    <cx:data id="1">
      <cx:numDim type="val">
        <cx:f>_xlchart.v1.88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00000000-9F04-4373-8E61-44153D4A6EB0}">
          <cx:tx>
            <cx:txData>
              <cx:f/>
              <cx:v>Yeg 50 datos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F04-4373-8E61-44153D4A6EB0}">
          <cx:tx>
            <cx:txData>
              <cx:v>Yeg 35 datos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0000000000000001"/>
        <cx:majorGridlines/>
        <cx:tickLabels/>
      </cx:axis>
    </cx:plotArea>
    <cx:legend pos="b" align="ctr" overlay="0"/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_xlchart.v1.101</cx:f>
      </cx:numDim>
    </cx:data>
    <cx:data id="1">
      <cx:numDim type="val">
        <cx:f>_xlchart.v1.100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362869EA-F52B-42C7-AB6A-FDC88FE7DC17}">
          <cx:tx>
            <cx:txData>
              <cx:f/>
              <cx:v>Yef 50 datos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A612-4C31-9B36-6813A32569DE}">
          <cx:tx>
            <cx:txData>
              <cx:v>Yef 35 datos</cx:v>
            </cx:txData>
          </cx:tx>
          <cx:spPr>
            <a:solidFill>
              <a:schemeClr val="tx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_xlchart.v1.106</cx:f>
      </cx:numDim>
    </cx:data>
  </cx:chartData>
  <cx:chart>
    <cx:plotArea>
      <cx:plotAreaRegion>
        <cx:series layoutId="clusteredColumn" uniqueId="{6ADAF96F-9A54-48F5-AED2-4BD07CF0FE65}">
          <cx:spPr>
            <a:solidFill>
              <a:schemeClr val="accent1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_xlchart.v1.80</cx:f>
      </cx:numDim>
    </cx:data>
  </cx:chartData>
  <cx:chart>
    <cx:plotArea>
      <cx:plotAreaRegion>
        <cx:series layoutId="clusteredColumn" uniqueId="{489ABA44-8337-43E2-9B5F-87F5BEB0A84A}">
          <cx:spPr>
            <a:solidFill>
              <a:schemeClr val="accent2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_xlchart.v1.83</cx:f>
      </cx:numDim>
    </cx:data>
  </cx:chartData>
  <cx:chart>
    <cx:plotArea>
      <cx:plotAreaRegion>
        <cx:series layoutId="clusteredColumn" uniqueId="{C3C78263-8465-45D8-9B59-53144444FD10}">
          <cx:tx>
            <cx:txData>
              <cx:f>_xlchart.v1.82</cx:f>
              <cx:v/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</cx:chartData>
  <cx:chart>
    <cx:plotArea>
      <cx:plotAreaRegion>
        <cx:series layoutId="clusteredColumn" uniqueId="{C0CAFDBD-BBA3-4D49-9BC4-E10A8EA5C747}">
          <cx:spPr>
            <a:solidFill>
              <a:schemeClr val="accent4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</cx:chartData>
  <cx:chart>
    <cx:plotArea>
      <cx:plotAreaRegion>
        <cx:series layoutId="clusteredColumn" uniqueId="{59155447-2070-434C-A532-F5A89F0C0674}">
          <cx:spPr>
            <a:solidFill>
              <a:schemeClr val="accent5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_xlchart.v1.74</cx:f>
      </cx:numDim>
    </cx:data>
  </cx:chartData>
  <cx:chart>
    <cx:plotArea>
      <cx:plotAreaRegion>
        <cx:series layoutId="clusteredColumn" uniqueId="{D227BA15-14F7-4785-BB1B-8646F994C7ED}">
          <cx:spPr>
            <a:solidFill>
              <a:schemeClr val="accent6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_xlchart.v1.68</cx:f>
      </cx:numDim>
    </cx:data>
  </cx:chartData>
  <cx:chart>
    <cx:plotArea>
      <cx:plotAreaRegion>
        <cx:series layoutId="clusteredColumn" uniqueId="{8C4AAD4E-D736-4A54-B17E-FBC0AF1A799D}">
          <cx:spPr>
            <a:solidFill>
              <a:schemeClr val="tx2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_xlchart.v1.136</cx:f>
      </cx:numDim>
    </cx:data>
    <cx:data id="1">
      <cx:numDim type="val">
        <cx:f>_xlchart.v1.135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0-66EE-4BE2-B51B-ED37E4E88BD9}" formatIdx="1">
          <cx:tx>
            <cx:txData>
              <cx:f/>
              <cx:v>mu0 50 datos</cx:v>
            </cx:txData>
          </cx:tx>
          <cx:spPr>
            <a:solidFill>
              <a:schemeClr val="accent1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05A2-42D2-A015-4AA0C0AAF875}">
          <cx:tx>
            <cx:txData>
              <cx:v>mu0 38 datos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60000000000000009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_xlchart.v1.134</cx:f>
      </cx:numDim>
    </cx:data>
    <cx:data id="1">
      <cx:numDim type="val">
        <cx:f>_xlchart.v1.133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00000000-7172-4596-8DF3-CC56EBA71CD2}">
          <cx:tx>
            <cx:txData>
              <cx:f/>
              <cx:v>betaG0 50 datos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7172-4596-8DF3-CC56EBA71CD2}">
          <cx:tx>
            <cx:txData>
              <cx:v>betaG0 38 datos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9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_xlchart.v1.144</cx:f>
      </cx:numDim>
    </cx:data>
    <cx:data id="1">
      <cx:numDim type="val">
        <cx:f>_xlchart.v1.143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00000000-2A9B-400D-839F-EA99933203F0}">
          <cx:tx>
            <cx:txData>
              <cx:f/>
              <cx:v>betaF0 50 datos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2A9B-400D-839F-EA99933203F0}">
          <cx:tx>
            <cx:txData>
              <cx:v>betaF0 38 datos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_xlchart.v1.146</cx:f>
      </cx:numDim>
    </cx:data>
    <cx:data id="1">
      <cx:numDim type="val">
        <cx:f>_xlchart.v1.145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D625AFB7-88E1-4F11-A925-7491B3BAF47B}">
          <cx:tx>
            <cx:txData>
              <cx:f/>
              <cx:v>Yxn 50 datos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3E60-487E-B18A-C8B7E38D124D}">
          <cx:tx>
            <cx:txData>
              <cx:v>Yxn 38 datos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_xlchart.v1.138</cx:f>
      </cx:numDim>
    </cx:data>
    <cx:data id="1">
      <cx:numDim type="val">
        <cx:f>_xlchart.v1.137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00000000-038F-4C62-91B2-0D03E5213322}">
          <cx:tx>
            <cx:txData>
              <cx:f/>
              <cx:v>Yxg 50 datos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038F-4C62-91B2-0D03E5213322}">
          <cx:tx>
            <cx:txData>
              <cx:v>Yxg 38 datos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 min="0.10000000000000001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_xlchart.v1.140</cx:f>
      </cx:numDim>
    </cx:data>
    <cx:data id="1">
      <cx:numDim type="val">
        <cx:f>_xlchart.v1.139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00000000-9F04-4373-8E61-44153D4A6EB0}">
          <cx:tx>
            <cx:txData>
              <cx:f/>
              <cx:v>Yeg 50 datos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F04-4373-8E61-44153D4A6EB0}">
          <cx:tx>
            <cx:txData>
              <cx:v>Yeg 38 datos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0000000000000001"/>
        <cx:majorGridlines/>
        <cx:tickLabels/>
      </cx:axis>
    </cx:plotArea>
    <cx:legend pos="b" align="ctr" overlay="0"/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_xlchart.v1.142</cx:f>
      </cx:numDim>
    </cx:data>
    <cx:data id="1">
      <cx:numDim type="val">
        <cx:f>_xlchart.v1.141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362869EA-F52B-42C7-AB6A-FDC88FE7DC17}">
          <cx:tx>
            <cx:txData>
              <cx:f/>
              <cx:v>Yef 50 datos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A612-4C31-9B36-6813A32569DE}">
          <cx:tx>
            <cx:txData>
              <cx:v>Yef 38 datos</cx:v>
            </cx:txData>
          </cx:tx>
          <cx:spPr>
            <a:solidFill>
              <a:schemeClr val="tx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_xlchart.v1.111</cx:f>
      </cx:numDim>
    </cx:data>
  </cx:chartData>
  <cx:chart>
    <cx:plotArea>
      <cx:plotAreaRegion>
        <cx:series layoutId="clusteredColumn" uniqueId="{6ADAF96F-9A54-48F5-AED2-4BD07CF0FE65}">
          <cx:spPr>
            <a:solidFill>
              <a:schemeClr val="accent1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_xlchart.v1.110</cx:f>
      </cx:numDim>
    </cx:data>
  </cx:chartData>
  <cx:chart>
    <cx:plotArea>
      <cx:plotAreaRegion>
        <cx:series layoutId="clusteredColumn" uniqueId="{489ABA44-8337-43E2-9B5F-87F5BEB0A84A}">
          <cx:spPr>
            <a:solidFill>
              <a:schemeClr val="accent2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_xlchart.v1.109</cx:f>
      </cx:numDim>
    </cx:data>
  </cx:chartData>
  <cx:chart>
    <cx:plotArea>
      <cx:plotAreaRegion>
        <cx:series layoutId="clusteredColumn" uniqueId="{C3C78263-8465-45D8-9B59-53144444FD10}">
          <cx:tx>
            <cx:txData>
              <cx:f>_xlchart.v1.108</cx:f>
              <cx:v/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_xlchart.v1.107</cx:f>
      </cx:numDim>
    </cx:data>
  </cx:chartData>
  <cx:chart>
    <cx:plotArea>
      <cx:plotAreaRegion>
        <cx:series layoutId="clusteredColumn" uniqueId="{C0CAFDBD-BBA3-4D49-9BC4-E10A8EA5C747}">
          <cx:spPr>
            <a:solidFill>
              <a:schemeClr val="accent4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_xlchart.v1.120</cx:f>
      </cx:numDim>
    </cx:data>
  </cx:chartData>
  <cx:chart>
    <cx:plotArea>
      <cx:plotAreaRegion>
        <cx:series layoutId="clusteredColumn" uniqueId="{59155447-2070-434C-A532-F5A89F0C0674}">
          <cx:spPr>
            <a:solidFill>
              <a:schemeClr val="accent5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_xlchart.v1.122</cx:f>
      </cx:numDim>
    </cx:data>
  </cx:chartData>
  <cx:chart>
    <cx:plotArea>
      <cx:plotAreaRegion>
        <cx:series layoutId="clusteredColumn" uniqueId="{D227BA15-14F7-4785-BB1B-8646F994C7ED}">
          <cx:spPr>
            <a:solidFill>
              <a:schemeClr val="accent6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_xlchart.v1.121</cx:f>
      </cx:numDim>
    </cx:data>
  </cx:chartData>
  <cx:chart>
    <cx:plotArea>
      <cx:plotAreaRegion>
        <cx:series layoutId="clusteredColumn" uniqueId="{8C4AAD4E-D736-4A54-B17E-FBC0AF1A799D}">
          <cx:spPr>
            <a:solidFill>
              <a:schemeClr val="tx2">
                <a:lumMod val="60000"/>
                <a:lumOff val="4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numFmt formatCode="#.##0,0000" sourceLinked="0"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5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_xlchart.v1.117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0-B7E2-49BD-8481-E019832BA7E6}">
          <cx:spPr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20000000000000001"/>
        <cx:majorGridlines/>
        <cx:tickLabels/>
      </cx:axis>
    </cx:plotArea>
  </cx:chart>
</cx:chartSpace>
</file>

<file path=xl/charts/chartEx5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_xlchart.v1.132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639B59F5-574C-4D7B-8D76-3922E7AB6D31}"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" min="1"/>
        <cx:majorGridlines/>
        <cx:tickLabels/>
      </cx:axis>
    </cx:plotArea>
  </cx:chart>
</cx:chartSpace>
</file>

<file path=xl/charts/chartEx5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_xlchart.v1.124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31A522BC-751F-4CD9-9276-B323EA612DCF}"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6" min="1"/>
        <cx:majorGridlines/>
        <cx:tickLabels/>
      </cx:axis>
    </cx:plotArea>
  </cx:chart>
</cx:chartSpace>
</file>

<file path=xl/charts/chartEx5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_xlchart.v1.115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61A1792C-2FE5-4012-B413-ACB30558D913}"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4" min="1"/>
        <cx:majorGridlines/>
        <cx:tickLabels/>
      </cx:axis>
    </cx:plotArea>
  </cx:chart>
</cx:chartSpace>
</file>

<file path=xl/charts/chartEx5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_xlchart.v1.126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D2CFC6AF-FCB5-44E0-893A-A0132305A8F7}"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 min="0"/>
        <cx:majorGridlines/>
        <cx:tickLabels/>
      </cx:axis>
    </cx:plotArea>
  </cx:chart>
</cx:chartSpace>
</file>

<file path=xl/charts/chartEx5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_xlchart.v1.128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080C10D4-0ACF-4CC4-A6FC-085B91168D3C}"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60000000000000009" min="0.30000000000000004"/>
        <cx:majorGridlines/>
        <cx:tickLabels/>
      </cx:axis>
    </cx:plotArea>
  </cx:chart>
</cx:chartSpace>
</file>

<file path=xl/charts/chartEx5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_xlchart.v1.130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B2A82FD2-B762-4C99-AA9C-0D8093ACA08F}"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5" min="0.20000000000000001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0.xml"/><Relationship Id="rId7" Type="http://schemas.microsoft.com/office/2014/relationships/chartEx" Target="../charts/chartEx14.xml"/><Relationship Id="rId2" Type="http://schemas.microsoft.com/office/2014/relationships/chartEx" Target="../charts/chartEx9.xml"/><Relationship Id="rId1" Type="http://schemas.microsoft.com/office/2014/relationships/chartEx" Target="../charts/chartEx8.xml"/><Relationship Id="rId6" Type="http://schemas.microsoft.com/office/2014/relationships/chartEx" Target="../charts/chartEx13.xml"/><Relationship Id="rId5" Type="http://schemas.microsoft.com/office/2014/relationships/chartEx" Target="../charts/chartEx12.xml"/><Relationship Id="rId4" Type="http://schemas.microsoft.com/office/2014/relationships/chartEx" Target="../charts/chartEx1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7.xml"/><Relationship Id="rId7" Type="http://schemas.microsoft.com/office/2014/relationships/chartEx" Target="../charts/chartEx21.xml"/><Relationship Id="rId2" Type="http://schemas.microsoft.com/office/2014/relationships/chartEx" Target="../charts/chartEx16.xml"/><Relationship Id="rId1" Type="http://schemas.microsoft.com/office/2014/relationships/chartEx" Target="../charts/chartEx15.xml"/><Relationship Id="rId6" Type="http://schemas.microsoft.com/office/2014/relationships/chartEx" Target="../charts/chartEx20.xml"/><Relationship Id="rId5" Type="http://schemas.microsoft.com/office/2014/relationships/chartEx" Target="../charts/chartEx19.xml"/><Relationship Id="rId4" Type="http://schemas.microsoft.com/office/2014/relationships/chartEx" Target="../charts/chartEx18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9.xml"/><Relationship Id="rId13" Type="http://schemas.microsoft.com/office/2014/relationships/chartEx" Target="../charts/chartEx34.xml"/><Relationship Id="rId3" Type="http://schemas.microsoft.com/office/2014/relationships/chartEx" Target="../charts/chartEx24.xml"/><Relationship Id="rId7" Type="http://schemas.microsoft.com/office/2014/relationships/chartEx" Target="../charts/chartEx28.xml"/><Relationship Id="rId12" Type="http://schemas.microsoft.com/office/2014/relationships/chartEx" Target="../charts/chartEx33.xml"/><Relationship Id="rId2" Type="http://schemas.microsoft.com/office/2014/relationships/chartEx" Target="../charts/chartEx23.xml"/><Relationship Id="rId1" Type="http://schemas.microsoft.com/office/2014/relationships/chartEx" Target="../charts/chartEx22.xml"/><Relationship Id="rId6" Type="http://schemas.microsoft.com/office/2014/relationships/chartEx" Target="../charts/chartEx27.xml"/><Relationship Id="rId11" Type="http://schemas.microsoft.com/office/2014/relationships/chartEx" Target="../charts/chartEx32.xml"/><Relationship Id="rId5" Type="http://schemas.microsoft.com/office/2014/relationships/chartEx" Target="../charts/chartEx26.xml"/><Relationship Id="rId10" Type="http://schemas.microsoft.com/office/2014/relationships/chartEx" Target="../charts/chartEx31.xml"/><Relationship Id="rId4" Type="http://schemas.microsoft.com/office/2014/relationships/chartEx" Target="../charts/chartEx25.xml"/><Relationship Id="rId9" Type="http://schemas.microsoft.com/office/2014/relationships/chartEx" Target="../charts/chartEx30.xml"/><Relationship Id="rId14" Type="http://schemas.microsoft.com/office/2014/relationships/chartEx" Target="../charts/chartEx35.xml"/></Relationships>
</file>

<file path=xl/drawings/_rels/drawing5.xml.rels><?xml version="1.0" encoding="UTF-8" standalone="yes"?>
<Relationships xmlns="http://schemas.openxmlformats.org/package/2006/relationships"><Relationship Id="rId8" Type="http://schemas.microsoft.com/office/2014/relationships/chartEx" Target="../charts/chartEx43.xml"/><Relationship Id="rId13" Type="http://schemas.microsoft.com/office/2014/relationships/chartEx" Target="../charts/chartEx48.xml"/><Relationship Id="rId18" Type="http://schemas.microsoft.com/office/2014/relationships/chartEx" Target="../charts/chartEx53.xml"/><Relationship Id="rId3" Type="http://schemas.microsoft.com/office/2014/relationships/chartEx" Target="../charts/chartEx38.xml"/><Relationship Id="rId21" Type="http://schemas.microsoft.com/office/2014/relationships/chartEx" Target="../charts/chartEx56.xml"/><Relationship Id="rId7" Type="http://schemas.microsoft.com/office/2014/relationships/chartEx" Target="../charts/chartEx42.xml"/><Relationship Id="rId12" Type="http://schemas.microsoft.com/office/2014/relationships/chartEx" Target="../charts/chartEx47.xml"/><Relationship Id="rId17" Type="http://schemas.microsoft.com/office/2014/relationships/chartEx" Target="../charts/chartEx52.xml"/><Relationship Id="rId2" Type="http://schemas.microsoft.com/office/2014/relationships/chartEx" Target="../charts/chartEx37.xml"/><Relationship Id="rId16" Type="http://schemas.microsoft.com/office/2014/relationships/chartEx" Target="../charts/chartEx51.xml"/><Relationship Id="rId20" Type="http://schemas.microsoft.com/office/2014/relationships/chartEx" Target="../charts/chartEx55.xml"/><Relationship Id="rId1" Type="http://schemas.microsoft.com/office/2014/relationships/chartEx" Target="../charts/chartEx36.xml"/><Relationship Id="rId6" Type="http://schemas.microsoft.com/office/2014/relationships/chartEx" Target="../charts/chartEx41.xml"/><Relationship Id="rId11" Type="http://schemas.microsoft.com/office/2014/relationships/chartEx" Target="../charts/chartEx46.xml"/><Relationship Id="rId5" Type="http://schemas.microsoft.com/office/2014/relationships/chartEx" Target="../charts/chartEx40.xml"/><Relationship Id="rId15" Type="http://schemas.microsoft.com/office/2014/relationships/chartEx" Target="../charts/chartEx50.xml"/><Relationship Id="rId10" Type="http://schemas.microsoft.com/office/2014/relationships/chartEx" Target="../charts/chartEx45.xml"/><Relationship Id="rId19" Type="http://schemas.microsoft.com/office/2014/relationships/chartEx" Target="../charts/chartEx54.xml"/><Relationship Id="rId4" Type="http://schemas.microsoft.com/office/2014/relationships/chartEx" Target="../charts/chartEx39.xml"/><Relationship Id="rId9" Type="http://schemas.microsoft.com/office/2014/relationships/chartEx" Target="../charts/chartEx44.xml"/><Relationship Id="rId14" Type="http://schemas.microsoft.com/office/2014/relationships/chartEx" Target="../charts/chartEx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55</xdr:row>
      <xdr:rowOff>156210</xdr:rowOff>
    </xdr:from>
    <xdr:to>
      <xdr:col>19</xdr:col>
      <xdr:colOff>205740</xdr:colOff>
      <xdr:row>70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D540306-19E9-A1D7-62DE-784BCD163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3280" y="1021461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365760</xdr:colOff>
      <xdr:row>55</xdr:row>
      <xdr:rowOff>160020</xdr:rowOff>
    </xdr:from>
    <xdr:to>
      <xdr:col>23</xdr:col>
      <xdr:colOff>83820</xdr:colOff>
      <xdr:row>70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C4F40FA-08F7-45AE-BDE8-FCECA4616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8160" y="1021842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23</xdr:col>
      <xdr:colOff>144780</xdr:colOff>
      <xdr:row>55</xdr:row>
      <xdr:rowOff>167640</xdr:rowOff>
    </xdr:from>
    <xdr:to>
      <xdr:col>26</xdr:col>
      <xdr:colOff>472440</xdr:colOff>
      <xdr:row>70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CB772B7-AB61-4E30-8950-FF1E66A7B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5580" y="1022604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586740</xdr:colOff>
      <xdr:row>55</xdr:row>
      <xdr:rowOff>160020</xdr:rowOff>
    </xdr:from>
    <xdr:to>
      <xdr:col>30</xdr:col>
      <xdr:colOff>304800</xdr:colOff>
      <xdr:row>70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F4574968-90A0-4DEC-9EA7-79FB33DB2F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36340" y="1021842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30</xdr:col>
      <xdr:colOff>411480</xdr:colOff>
      <xdr:row>55</xdr:row>
      <xdr:rowOff>160020</xdr:rowOff>
    </xdr:from>
    <xdr:to>
      <xdr:col>34</xdr:col>
      <xdr:colOff>129540</xdr:colOff>
      <xdr:row>70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2336BD1C-05A1-495A-83CA-588B1C0443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99480" y="1021842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34</xdr:col>
      <xdr:colOff>236220</xdr:colOff>
      <xdr:row>56</xdr:row>
      <xdr:rowOff>7620</xdr:rowOff>
    </xdr:from>
    <xdr:to>
      <xdr:col>37</xdr:col>
      <xdr:colOff>563880</xdr:colOff>
      <xdr:row>71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20AAA31F-1305-408A-9376-1E8F58657F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62620" y="1024890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37</xdr:col>
      <xdr:colOff>601980</xdr:colOff>
      <xdr:row>56</xdr:row>
      <xdr:rowOff>7620</xdr:rowOff>
    </xdr:from>
    <xdr:to>
      <xdr:col>41</xdr:col>
      <xdr:colOff>320040</xdr:colOff>
      <xdr:row>71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BF52F143-2EDB-47EA-9DF9-7675C432AC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57180" y="1024890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45</xdr:row>
      <xdr:rowOff>156210</xdr:rowOff>
    </xdr:from>
    <xdr:to>
      <xdr:col>19</xdr:col>
      <xdr:colOff>205740</xdr:colOff>
      <xdr:row>60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0B0AE4C-B63D-464F-8979-FF50CED2AB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7100" y="838581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365760</xdr:colOff>
      <xdr:row>45</xdr:row>
      <xdr:rowOff>160020</xdr:rowOff>
    </xdr:from>
    <xdr:to>
      <xdr:col>23</xdr:col>
      <xdr:colOff>83820</xdr:colOff>
      <xdr:row>60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0804C37-B72B-4869-AFAC-35E6A6206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9760" y="1021842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23</xdr:col>
      <xdr:colOff>144780</xdr:colOff>
      <xdr:row>45</xdr:row>
      <xdr:rowOff>167640</xdr:rowOff>
    </xdr:from>
    <xdr:to>
      <xdr:col>26</xdr:col>
      <xdr:colOff>472440</xdr:colOff>
      <xdr:row>60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9BC266A-0B9E-4B5B-8978-C70A427E60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7180" y="1022604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586740</xdr:colOff>
      <xdr:row>45</xdr:row>
      <xdr:rowOff>160020</xdr:rowOff>
    </xdr:from>
    <xdr:to>
      <xdr:col>30</xdr:col>
      <xdr:colOff>304800</xdr:colOff>
      <xdr:row>60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1344C33-8A89-4320-8BDC-4BAB5D68DD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97940" y="1021842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30</xdr:col>
      <xdr:colOff>411480</xdr:colOff>
      <xdr:row>45</xdr:row>
      <xdr:rowOff>160020</xdr:rowOff>
    </xdr:from>
    <xdr:to>
      <xdr:col>34</xdr:col>
      <xdr:colOff>129540</xdr:colOff>
      <xdr:row>60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2BB56268-29CC-4F2D-ABD9-17F0A1B8BF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61080" y="1021842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34</xdr:col>
      <xdr:colOff>236220</xdr:colOff>
      <xdr:row>46</xdr:row>
      <xdr:rowOff>7620</xdr:rowOff>
    </xdr:from>
    <xdr:to>
      <xdr:col>37</xdr:col>
      <xdr:colOff>563880</xdr:colOff>
      <xdr:row>61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8DF2E26-8F83-4FDC-9216-3ED32BEE43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24220" y="1024890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37</xdr:col>
      <xdr:colOff>601980</xdr:colOff>
      <xdr:row>46</xdr:row>
      <xdr:rowOff>7620</xdr:rowOff>
    </xdr:from>
    <xdr:to>
      <xdr:col>41</xdr:col>
      <xdr:colOff>320040</xdr:colOff>
      <xdr:row>61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2EAC2419-4F78-4B33-9B75-9F3A82572A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18780" y="10248900"/>
              <a:ext cx="21564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403860</xdr:colOff>
      <xdr:row>40</xdr:row>
      <xdr:rowOff>148590</xdr:rowOff>
    </xdr:from>
    <xdr:to>
      <xdr:col>14</xdr:col>
      <xdr:colOff>250260</xdr:colOff>
      <xdr:row>58</xdr:row>
      <xdr:rowOff>114750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14313D2-8E08-44AA-90C9-053ACDDB3C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4080" y="7463790"/>
              <a:ext cx="2894400" cy="32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327660</xdr:colOff>
      <xdr:row>40</xdr:row>
      <xdr:rowOff>160020</xdr:rowOff>
    </xdr:from>
    <xdr:to>
      <xdr:col>23</xdr:col>
      <xdr:colOff>177660</xdr:colOff>
      <xdr:row>58</xdr:row>
      <xdr:rowOff>126180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CF4BF95-0B48-44AF-AC99-55E018B56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5880" y="7475220"/>
              <a:ext cx="2898000" cy="32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23</xdr:col>
      <xdr:colOff>213360</xdr:colOff>
      <xdr:row>40</xdr:row>
      <xdr:rowOff>175260</xdr:rowOff>
    </xdr:from>
    <xdr:to>
      <xdr:col>28</xdr:col>
      <xdr:colOff>59760</xdr:colOff>
      <xdr:row>58</xdr:row>
      <xdr:rowOff>141420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7B56609-7A5F-4810-8D7F-52EEFA615F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1485" y="7414260"/>
              <a:ext cx="2894400" cy="3223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100965</xdr:colOff>
      <xdr:row>40</xdr:row>
      <xdr:rowOff>169544</xdr:rowOff>
    </xdr:from>
    <xdr:to>
      <xdr:col>32</xdr:col>
      <xdr:colOff>556965</xdr:colOff>
      <xdr:row>58</xdr:row>
      <xdr:rowOff>169994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AA743A6-FE8B-4A7B-BA1E-B20FB5EFA6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17090" y="7408544"/>
              <a:ext cx="2894400" cy="32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33</xdr:col>
      <xdr:colOff>9525</xdr:colOff>
      <xdr:row>41</xdr:row>
      <xdr:rowOff>1904</xdr:rowOff>
    </xdr:from>
    <xdr:to>
      <xdr:col>37</xdr:col>
      <xdr:colOff>465525</xdr:colOff>
      <xdr:row>59</xdr:row>
      <xdr:rowOff>2354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1AC69B26-4080-4120-90F7-E75CD30512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73650" y="7421879"/>
              <a:ext cx="2894400" cy="32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37</xdr:col>
      <xdr:colOff>541020</xdr:colOff>
      <xdr:row>41</xdr:row>
      <xdr:rowOff>11429</xdr:rowOff>
    </xdr:from>
    <xdr:to>
      <xdr:col>42</xdr:col>
      <xdr:colOff>387420</xdr:colOff>
      <xdr:row>59</xdr:row>
      <xdr:rowOff>11879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EA645EF-6E26-414B-8365-EEAF2FBD66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43545" y="7431404"/>
              <a:ext cx="2894400" cy="32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42</xdr:col>
      <xdr:colOff>478155</xdr:colOff>
      <xdr:row>41</xdr:row>
      <xdr:rowOff>9524</xdr:rowOff>
    </xdr:from>
    <xdr:to>
      <xdr:col>47</xdr:col>
      <xdr:colOff>324555</xdr:colOff>
      <xdr:row>59</xdr:row>
      <xdr:rowOff>9974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7D74C5F3-DA06-4C22-8E61-A956B73B8A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28680" y="7429499"/>
              <a:ext cx="2894400" cy="32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152400</xdr:rowOff>
    </xdr:from>
    <xdr:to>
      <xdr:col>19</xdr:col>
      <xdr:colOff>494100</xdr:colOff>
      <xdr:row>18</xdr:row>
      <xdr:rowOff>100560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AFDB47D-360C-465C-A49B-7E2BEDC683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7980" y="15240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579120</xdr:colOff>
      <xdr:row>0</xdr:row>
      <xdr:rowOff>175260</xdr:rowOff>
    </xdr:from>
    <xdr:to>
      <xdr:col>24</xdr:col>
      <xdr:colOff>429120</xdr:colOff>
      <xdr:row>18</xdr:row>
      <xdr:rowOff>123420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072A983-AED4-4B66-83B3-D6B8A8863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7400" y="175260"/>
              <a:ext cx="28980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556260</xdr:colOff>
      <xdr:row>1</xdr:row>
      <xdr:rowOff>7620</xdr:rowOff>
    </xdr:from>
    <xdr:to>
      <xdr:col>29</xdr:col>
      <xdr:colOff>402660</xdr:colOff>
      <xdr:row>18</xdr:row>
      <xdr:rowOff>138660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75B6E53-EBC3-466D-889F-3CFADB8EB0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2540" y="19050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556260</xdr:colOff>
      <xdr:row>1</xdr:row>
      <xdr:rowOff>0</xdr:rowOff>
    </xdr:from>
    <xdr:to>
      <xdr:col>34</xdr:col>
      <xdr:colOff>402660</xdr:colOff>
      <xdr:row>18</xdr:row>
      <xdr:rowOff>131040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FA44E0C7-0F2D-4DD0-ABCF-465E43404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50540" y="18288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30480</xdr:colOff>
      <xdr:row>1</xdr:row>
      <xdr:rowOff>38100</xdr:rowOff>
    </xdr:from>
    <xdr:to>
      <xdr:col>39</xdr:col>
      <xdr:colOff>486480</xdr:colOff>
      <xdr:row>18</xdr:row>
      <xdr:rowOff>169140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32F3CF-660F-48AB-A9CF-CC40D7A37C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0360" y="314706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39</xdr:col>
      <xdr:colOff>601980</xdr:colOff>
      <xdr:row>1</xdr:row>
      <xdr:rowOff>60960</xdr:rowOff>
    </xdr:from>
    <xdr:to>
      <xdr:col>44</xdr:col>
      <xdr:colOff>448380</xdr:colOff>
      <xdr:row>19</xdr:row>
      <xdr:rowOff>9120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07AB91D-3DDB-4D31-B49B-063A28BA4C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0260" y="316992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44</xdr:col>
      <xdr:colOff>495300</xdr:colOff>
      <xdr:row>1</xdr:row>
      <xdr:rowOff>53340</xdr:rowOff>
    </xdr:from>
    <xdr:to>
      <xdr:col>49</xdr:col>
      <xdr:colOff>341700</xdr:colOff>
      <xdr:row>19</xdr:row>
      <xdr:rowOff>1500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32739C2C-33A7-4261-8E82-C8D6FEE90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1580" y="316230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38100</xdr:colOff>
      <xdr:row>19</xdr:row>
      <xdr:rowOff>42862</xdr:rowOff>
    </xdr:from>
    <xdr:to>
      <xdr:col>19</xdr:col>
      <xdr:colOff>333375</xdr:colOff>
      <xdr:row>35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B0B260D2-2D7F-9E42-95D2-AE1E2BB2BD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5" y="3481387"/>
              <a:ext cx="2733675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600075</xdr:colOff>
      <xdr:row>19</xdr:row>
      <xdr:rowOff>85725</xdr:rowOff>
    </xdr:from>
    <xdr:to>
      <xdr:col>24</xdr:col>
      <xdr:colOff>285750</xdr:colOff>
      <xdr:row>35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499DB9DA-06E8-4971-B901-86D4F5F4E9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6850" y="3524250"/>
              <a:ext cx="2733675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571500</xdr:colOff>
      <xdr:row>19</xdr:row>
      <xdr:rowOff>123825</xdr:rowOff>
    </xdr:from>
    <xdr:to>
      <xdr:col>29</xdr:col>
      <xdr:colOff>342899</xdr:colOff>
      <xdr:row>35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745585C7-07FA-40D4-BCC1-04414939F0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6275" y="3562350"/>
              <a:ext cx="2819399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542925</xdr:colOff>
      <xdr:row>19</xdr:row>
      <xdr:rowOff>171450</xdr:rowOff>
    </xdr:from>
    <xdr:to>
      <xdr:col>34</xdr:col>
      <xdr:colOff>228600</xdr:colOff>
      <xdr:row>36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B8BE5FA4-D20C-492D-87BB-B9C43A5EAA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25700" y="3609975"/>
              <a:ext cx="2733675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28575</xdr:colOff>
      <xdr:row>20</xdr:row>
      <xdr:rowOff>57150</xdr:rowOff>
    </xdr:from>
    <xdr:to>
      <xdr:col>39</xdr:col>
      <xdr:colOff>323850</xdr:colOff>
      <xdr:row>36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C07F6E11-DFD6-4834-A7F5-0281BA5D71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68950" y="3676650"/>
              <a:ext cx="2733675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39</xdr:col>
      <xdr:colOff>600076</xdr:colOff>
      <xdr:row>20</xdr:row>
      <xdr:rowOff>0</xdr:rowOff>
    </xdr:from>
    <xdr:to>
      <xdr:col>44</xdr:col>
      <xdr:colOff>419100</xdr:colOff>
      <xdr:row>36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30BF69B3-8577-4FF0-9947-C18E31A891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78851" y="3619500"/>
              <a:ext cx="2867024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44</xdr:col>
      <xdr:colOff>561975</xdr:colOff>
      <xdr:row>20</xdr:row>
      <xdr:rowOff>123825</xdr:rowOff>
    </xdr:from>
    <xdr:to>
      <xdr:col>49</xdr:col>
      <xdr:colOff>247650</xdr:colOff>
      <xdr:row>36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4D51B106-E6B6-4963-9F4A-A67117B11F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0" y="3743325"/>
              <a:ext cx="2733675" cy="2928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152400</xdr:rowOff>
    </xdr:from>
    <xdr:to>
      <xdr:col>19</xdr:col>
      <xdr:colOff>494100</xdr:colOff>
      <xdr:row>18</xdr:row>
      <xdr:rowOff>100560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313EFA0-F96C-436E-B963-2B865BF806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8380" y="15240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579120</xdr:colOff>
      <xdr:row>0</xdr:row>
      <xdr:rowOff>175260</xdr:rowOff>
    </xdr:from>
    <xdr:to>
      <xdr:col>24</xdr:col>
      <xdr:colOff>429120</xdr:colOff>
      <xdr:row>18</xdr:row>
      <xdr:rowOff>123420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DF15A0-9DC9-4781-9BD4-F4D4206537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7800" y="175260"/>
              <a:ext cx="28980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556260</xdr:colOff>
      <xdr:row>1</xdr:row>
      <xdr:rowOff>7620</xdr:rowOff>
    </xdr:from>
    <xdr:to>
      <xdr:col>29</xdr:col>
      <xdr:colOff>402660</xdr:colOff>
      <xdr:row>18</xdr:row>
      <xdr:rowOff>138660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2FB2C91-5BAC-495D-BB7D-54C4EEB4A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2940" y="19050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556260</xdr:colOff>
      <xdr:row>1</xdr:row>
      <xdr:rowOff>0</xdr:rowOff>
    </xdr:from>
    <xdr:to>
      <xdr:col>34</xdr:col>
      <xdr:colOff>402660</xdr:colOff>
      <xdr:row>18</xdr:row>
      <xdr:rowOff>131040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4325D652-1E77-48E7-9D69-3F926E77CE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40940" y="18288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30480</xdr:colOff>
      <xdr:row>1</xdr:row>
      <xdr:rowOff>38100</xdr:rowOff>
    </xdr:from>
    <xdr:to>
      <xdr:col>39</xdr:col>
      <xdr:colOff>486480</xdr:colOff>
      <xdr:row>18</xdr:row>
      <xdr:rowOff>169140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BFD2B5A-6335-4DA2-82F2-E8D1511599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72760" y="22098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39</xdr:col>
      <xdr:colOff>601980</xdr:colOff>
      <xdr:row>1</xdr:row>
      <xdr:rowOff>60960</xdr:rowOff>
    </xdr:from>
    <xdr:to>
      <xdr:col>44</xdr:col>
      <xdr:colOff>448380</xdr:colOff>
      <xdr:row>19</xdr:row>
      <xdr:rowOff>9120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8F50541-08FD-4935-8E68-607171FD4E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82660" y="24384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44</xdr:col>
      <xdr:colOff>495300</xdr:colOff>
      <xdr:row>1</xdr:row>
      <xdr:rowOff>53340</xdr:rowOff>
    </xdr:from>
    <xdr:to>
      <xdr:col>49</xdr:col>
      <xdr:colOff>341700</xdr:colOff>
      <xdr:row>19</xdr:row>
      <xdr:rowOff>1500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FBFA99C0-21C0-48DC-A9DC-332177475E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23980" y="236220"/>
              <a:ext cx="28944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38100</xdr:colOff>
      <xdr:row>19</xdr:row>
      <xdr:rowOff>42862</xdr:rowOff>
    </xdr:from>
    <xdr:to>
      <xdr:col>19</xdr:col>
      <xdr:colOff>333375</xdr:colOff>
      <xdr:row>35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CD371CD5-824B-44A1-8385-6FB9CCE1B6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8380" y="3517582"/>
              <a:ext cx="2733675" cy="2959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600075</xdr:colOff>
      <xdr:row>19</xdr:row>
      <xdr:rowOff>85725</xdr:rowOff>
    </xdr:from>
    <xdr:to>
      <xdr:col>24</xdr:col>
      <xdr:colOff>285750</xdr:colOff>
      <xdr:row>35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CAEB1121-4240-4DC3-903B-96DCF3CD46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8755" y="3560445"/>
              <a:ext cx="2733675" cy="2959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571500</xdr:colOff>
      <xdr:row>19</xdr:row>
      <xdr:rowOff>123825</xdr:rowOff>
    </xdr:from>
    <xdr:to>
      <xdr:col>29</xdr:col>
      <xdr:colOff>342899</xdr:colOff>
      <xdr:row>35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1D1673D-19EC-4803-AD36-B3429EDC9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8180" y="3598545"/>
              <a:ext cx="2819399" cy="2959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542925</xdr:colOff>
      <xdr:row>19</xdr:row>
      <xdr:rowOff>171450</xdr:rowOff>
    </xdr:from>
    <xdr:to>
      <xdr:col>34</xdr:col>
      <xdr:colOff>228600</xdr:colOff>
      <xdr:row>36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5133A47B-D769-4060-8C2D-8A6FF2E660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27605" y="3646170"/>
              <a:ext cx="2733675" cy="29613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28575</xdr:colOff>
      <xdr:row>20</xdr:row>
      <xdr:rowOff>57150</xdr:rowOff>
    </xdr:from>
    <xdr:to>
      <xdr:col>39</xdr:col>
      <xdr:colOff>323850</xdr:colOff>
      <xdr:row>36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14573418-0797-4AD7-B1B0-6148D59AB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70855" y="3714750"/>
              <a:ext cx="2733675" cy="2959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39</xdr:col>
      <xdr:colOff>600076</xdr:colOff>
      <xdr:row>20</xdr:row>
      <xdr:rowOff>0</xdr:rowOff>
    </xdr:from>
    <xdr:to>
      <xdr:col>44</xdr:col>
      <xdr:colOff>419100</xdr:colOff>
      <xdr:row>36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F38708A9-4337-4C62-91B9-DD775E5507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80756" y="3657600"/>
              <a:ext cx="2867024" cy="2959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44</xdr:col>
      <xdr:colOff>561975</xdr:colOff>
      <xdr:row>20</xdr:row>
      <xdr:rowOff>123825</xdr:rowOff>
    </xdr:from>
    <xdr:to>
      <xdr:col>49</xdr:col>
      <xdr:colOff>247650</xdr:colOff>
      <xdr:row>36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2FA323B3-C820-48DE-A52E-15E8A940A4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90655" y="3781425"/>
              <a:ext cx="2733675" cy="2959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47625</xdr:colOff>
      <xdr:row>63</xdr:row>
      <xdr:rowOff>133350</xdr:rowOff>
    </xdr:from>
    <xdr:to>
      <xdr:col>19</xdr:col>
      <xdr:colOff>503625</xdr:colOff>
      <xdr:row>81</xdr:row>
      <xdr:rowOff>81510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6657A10B-88B7-4C10-8E44-C395C8C3D0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11534775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552450</xdr:colOff>
      <xdr:row>63</xdr:row>
      <xdr:rowOff>142875</xdr:rowOff>
    </xdr:from>
    <xdr:to>
      <xdr:col>24</xdr:col>
      <xdr:colOff>398850</xdr:colOff>
      <xdr:row>81</xdr:row>
      <xdr:rowOff>91035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3F805EE9-F5E0-4906-B443-F1B90C277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9225" y="11544300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438150</xdr:colOff>
      <xdr:row>63</xdr:row>
      <xdr:rowOff>133350</xdr:rowOff>
    </xdr:from>
    <xdr:to>
      <xdr:col>29</xdr:col>
      <xdr:colOff>284550</xdr:colOff>
      <xdr:row>81</xdr:row>
      <xdr:rowOff>81510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128778CF-D392-4F3C-B074-5682AFC2C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2925" y="11534775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381000</xdr:colOff>
      <xdr:row>63</xdr:row>
      <xdr:rowOff>133350</xdr:rowOff>
    </xdr:from>
    <xdr:to>
      <xdr:col>34</xdr:col>
      <xdr:colOff>227400</xdr:colOff>
      <xdr:row>81</xdr:row>
      <xdr:rowOff>81510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3E30618B-C7DE-4843-ABF9-783218EA72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3775" y="11534775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34</xdr:col>
      <xdr:colOff>266700</xdr:colOff>
      <xdr:row>63</xdr:row>
      <xdr:rowOff>114300</xdr:rowOff>
    </xdr:from>
    <xdr:to>
      <xdr:col>39</xdr:col>
      <xdr:colOff>113100</xdr:colOff>
      <xdr:row>81</xdr:row>
      <xdr:rowOff>62460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BC5C9C24-DFEE-4D98-9DF1-1B9AAD82B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7475" y="11515725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39</xdr:col>
      <xdr:colOff>152400</xdr:colOff>
      <xdr:row>63</xdr:row>
      <xdr:rowOff>114300</xdr:rowOff>
    </xdr:from>
    <xdr:to>
      <xdr:col>43</xdr:col>
      <xdr:colOff>608400</xdr:colOff>
      <xdr:row>81</xdr:row>
      <xdr:rowOff>62460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0C932CDB-9032-45E1-8B7B-655B5DFB6A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31175" y="11515725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44</xdr:col>
      <xdr:colOff>47625</xdr:colOff>
      <xdr:row>63</xdr:row>
      <xdr:rowOff>142875</xdr:rowOff>
    </xdr:from>
    <xdr:to>
      <xdr:col>48</xdr:col>
      <xdr:colOff>503625</xdr:colOff>
      <xdr:row>81</xdr:row>
      <xdr:rowOff>91035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5CED33E8-E1E2-4F3C-911C-4B504C4CDD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74400" y="11544300"/>
              <a:ext cx="2894400" cy="320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G51"/>
  <sheetViews>
    <sheetView workbookViewId="0"/>
  </sheetViews>
  <sheetFormatPr baseColWidth="10" defaultColWidth="8.88671875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>
        <v>21532.821246699979</v>
      </c>
      <c r="D2">
        <v>358.88035411166641</v>
      </c>
      <c r="E2" t="s">
        <v>34</v>
      </c>
      <c r="F2" t="s">
        <v>35</v>
      </c>
      <c r="G2" t="s">
        <v>36</v>
      </c>
      <c r="H2" t="s">
        <v>37</v>
      </c>
      <c r="I2">
        <v>1.383836386357711E-2</v>
      </c>
      <c r="J2">
        <v>0</v>
      </c>
      <c r="K2" t="s">
        <v>14</v>
      </c>
      <c r="L2">
        <v>696</v>
      </c>
      <c r="M2">
        <v>8.185283822881637E-5</v>
      </c>
      <c r="N2">
        <v>1E-4</v>
      </c>
      <c r="O2">
        <v>3000</v>
      </c>
      <c r="T2">
        <v>7.9591669120431585E-2</v>
      </c>
      <c r="U2">
        <v>1.2775896728366729</v>
      </c>
      <c r="V2">
        <v>7.5802309025826844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2.1607735069316112</v>
      </c>
      <c r="AD2">
        <v>0.82252605860305728</v>
      </c>
      <c r="AE2">
        <v>1.6426339999999999</v>
      </c>
      <c r="AF2">
        <v>0.35680740547586048</v>
      </c>
      <c r="AG2">
        <v>0.45267027933618659</v>
      </c>
    </row>
    <row r="3" spans="1:33" x14ac:dyDescent="0.3">
      <c r="A3">
        <v>2</v>
      </c>
      <c r="B3" t="s">
        <v>38</v>
      </c>
      <c r="C3">
        <v>13723.09800200001</v>
      </c>
      <c r="D3">
        <v>228.71830003333349</v>
      </c>
      <c r="E3" t="s">
        <v>39</v>
      </c>
      <c r="F3" t="s">
        <v>35</v>
      </c>
      <c r="G3" t="s">
        <v>40</v>
      </c>
      <c r="H3" t="s">
        <v>37</v>
      </c>
      <c r="I3">
        <v>2.215953604856552E-2</v>
      </c>
      <c r="J3">
        <v>0</v>
      </c>
      <c r="K3" t="s">
        <v>14</v>
      </c>
      <c r="L3">
        <v>887</v>
      </c>
      <c r="M3">
        <v>7.024331252581321E-5</v>
      </c>
      <c r="N3">
        <v>1E-4</v>
      </c>
      <c r="O3">
        <v>3000</v>
      </c>
      <c r="T3">
        <v>9.8766372635100658E-2</v>
      </c>
      <c r="U3">
        <v>3.6465402710403638</v>
      </c>
      <c r="V3">
        <v>8.2205194458374589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1.1816009681183359</v>
      </c>
      <c r="AD3">
        <v>0.88822287194601712</v>
      </c>
      <c r="AE3">
        <v>1.6426339999999999</v>
      </c>
      <c r="AF3">
        <v>0.53209866830297281</v>
      </c>
      <c r="AG3">
        <v>0.39887350963340551</v>
      </c>
    </row>
    <row r="4" spans="1:33" x14ac:dyDescent="0.3">
      <c r="A4">
        <v>3</v>
      </c>
      <c r="B4" t="s">
        <v>41</v>
      </c>
      <c r="C4">
        <v>16460.32268909999</v>
      </c>
      <c r="D4">
        <v>274.33871148499992</v>
      </c>
      <c r="E4" t="s">
        <v>42</v>
      </c>
      <c r="F4" t="s">
        <v>35</v>
      </c>
      <c r="G4" t="s">
        <v>43</v>
      </c>
      <c r="H4" t="s">
        <v>37</v>
      </c>
      <c r="I4">
        <v>2.7170029073700579E-2</v>
      </c>
      <c r="J4">
        <v>0</v>
      </c>
      <c r="K4" t="s">
        <v>14</v>
      </c>
      <c r="L4">
        <v>1005</v>
      </c>
      <c r="M4">
        <v>9.0988985070517673E-5</v>
      </c>
      <c r="N4">
        <v>1E-4</v>
      </c>
      <c r="O4">
        <v>3000</v>
      </c>
      <c r="T4">
        <v>0.37011382296304352</v>
      </c>
      <c r="U4">
        <v>4.0377609609125411</v>
      </c>
      <c r="V4">
        <v>4.893633921028858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1.019681920031783</v>
      </c>
      <c r="AD4">
        <v>0.84916496649548145</v>
      </c>
      <c r="AE4">
        <v>1.6426339999999999</v>
      </c>
      <c r="AF4">
        <v>0.65144663433556238</v>
      </c>
      <c r="AG4">
        <v>0.2466999560033826</v>
      </c>
    </row>
    <row r="5" spans="1:33" x14ac:dyDescent="0.3">
      <c r="A5">
        <v>4</v>
      </c>
      <c r="B5" t="s">
        <v>44</v>
      </c>
      <c r="C5">
        <v>11892.94603309999</v>
      </c>
      <c r="D5">
        <v>198.2157672183331</v>
      </c>
      <c r="E5" t="s">
        <v>45</v>
      </c>
      <c r="F5" t="s">
        <v>35</v>
      </c>
      <c r="G5" t="s">
        <v>46</v>
      </c>
      <c r="H5" t="s">
        <v>37</v>
      </c>
      <c r="I5">
        <v>3.2932345418400157E-2</v>
      </c>
      <c r="J5">
        <v>0</v>
      </c>
      <c r="K5" t="s">
        <v>14</v>
      </c>
      <c r="L5">
        <v>570</v>
      </c>
      <c r="M5">
        <v>7.8616762310083067E-5</v>
      </c>
      <c r="N5">
        <v>1E-4</v>
      </c>
      <c r="O5">
        <v>3000</v>
      </c>
      <c r="T5">
        <v>0.51836778843463194</v>
      </c>
      <c r="U5">
        <v>1.4647098509224801</v>
      </c>
      <c r="V5">
        <v>4.5605109176630076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2.425115399105819</v>
      </c>
      <c r="AD5">
        <v>0.72470652287394666</v>
      </c>
      <c r="AE5">
        <v>1.6426339999999999</v>
      </c>
      <c r="AF5">
        <v>0.52726656750367029</v>
      </c>
      <c r="AG5">
        <v>0.3430580459790617</v>
      </c>
    </row>
    <row r="6" spans="1:33" x14ac:dyDescent="0.3">
      <c r="A6">
        <v>5</v>
      </c>
      <c r="B6" t="s">
        <v>47</v>
      </c>
      <c r="C6">
        <v>15098.10594339998</v>
      </c>
      <c r="D6">
        <v>251.63509905666629</v>
      </c>
      <c r="E6" t="s">
        <v>48</v>
      </c>
      <c r="F6" t="s">
        <v>35</v>
      </c>
      <c r="G6" t="s">
        <v>49</v>
      </c>
      <c r="H6" t="s">
        <v>37</v>
      </c>
      <c r="I6">
        <v>1.3606320218398429E-2</v>
      </c>
      <c r="J6">
        <v>0</v>
      </c>
      <c r="K6" t="s">
        <v>14</v>
      </c>
      <c r="L6">
        <v>136</v>
      </c>
      <c r="M6">
        <v>9.8399779378960679E-5</v>
      </c>
      <c r="N6">
        <v>1E-4</v>
      </c>
      <c r="O6">
        <v>3000</v>
      </c>
      <c r="T6">
        <v>6.472871915222754E-2</v>
      </c>
      <c r="U6">
        <v>3.9702093993711252</v>
      </c>
      <c r="V6">
        <v>1.180538637321028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1.7779311466140399</v>
      </c>
      <c r="AD6">
        <v>0.21868182914115469</v>
      </c>
      <c r="AE6">
        <v>1.6426339999999999</v>
      </c>
      <c r="AF6">
        <v>0.50789262577800998</v>
      </c>
      <c r="AG6">
        <v>0.24431553740673689</v>
      </c>
    </row>
    <row r="7" spans="1:33" x14ac:dyDescent="0.3">
      <c r="A7">
        <v>6</v>
      </c>
      <c r="B7" t="s">
        <v>50</v>
      </c>
      <c r="C7">
        <v>13495.663089799989</v>
      </c>
      <c r="D7">
        <v>224.92771816333311</v>
      </c>
      <c r="E7" t="s">
        <v>51</v>
      </c>
      <c r="F7" t="s">
        <v>35</v>
      </c>
      <c r="G7" t="s">
        <v>52</v>
      </c>
      <c r="H7" t="s">
        <v>37</v>
      </c>
      <c r="I7">
        <v>3.0229030348613531E-2</v>
      </c>
      <c r="J7">
        <v>0</v>
      </c>
      <c r="K7" t="s">
        <v>14</v>
      </c>
      <c r="L7">
        <v>355</v>
      </c>
      <c r="M7">
        <v>9.5006492752152603E-5</v>
      </c>
      <c r="N7">
        <v>1E-4</v>
      </c>
      <c r="O7">
        <v>3000</v>
      </c>
      <c r="T7">
        <v>0.1157248521841775</v>
      </c>
      <c r="U7">
        <v>3.9483938391554938</v>
      </c>
      <c r="V7">
        <v>0.38672266013306461</v>
      </c>
      <c r="W7">
        <v>9.6469999999999993E-3</v>
      </c>
      <c r="X7">
        <v>8.5518540000000005</v>
      </c>
      <c r="Y7">
        <v>7.1656500000000003</v>
      </c>
      <c r="Z7">
        <v>44.150669999999998</v>
      </c>
      <c r="AA7">
        <v>42.528283999999999</v>
      </c>
      <c r="AB7">
        <v>1E-4</v>
      </c>
      <c r="AC7">
        <v>3.255620818675057</v>
      </c>
      <c r="AD7">
        <v>0.99829186819717619</v>
      </c>
      <c r="AE7">
        <v>1.6426339999999999</v>
      </c>
      <c r="AF7">
        <v>0.6034988410088048</v>
      </c>
      <c r="AG7">
        <v>0.113896957025405</v>
      </c>
    </row>
    <row r="8" spans="1:33" x14ac:dyDescent="0.3">
      <c r="A8">
        <v>7</v>
      </c>
      <c r="B8" t="s">
        <v>53</v>
      </c>
      <c r="C8">
        <v>17343.553537199969</v>
      </c>
      <c r="D8">
        <v>289.05922561999961</v>
      </c>
      <c r="E8" t="s">
        <v>54</v>
      </c>
      <c r="F8" t="s">
        <v>35</v>
      </c>
      <c r="G8" t="s">
        <v>55</v>
      </c>
      <c r="H8" t="s">
        <v>37</v>
      </c>
      <c r="I8">
        <v>2.949173099146854E-2</v>
      </c>
      <c r="J8">
        <v>0</v>
      </c>
      <c r="K8" t="s">
        <v>14</v>
      </c>
      <c r="L8">
        <v>491</v>
      </c>
      <c r="M8">
        <v>9.5276271585833304E-5</v>
      </c>
      <c r="N8">
        <v>1E-4</v>
      </c>
      <c r="O8">
        <v>3000</v>
      </c>
      <c r="T8">
        <v>0.2472338620818213</v>
      </c>
      <c r="U8">
        <v>1.263156339572632</v>
      </c>
      <c r="V8">
        <v>5.1083127893955114</v>
      </c>
      <c r="W8">
        <v>9.6469999999999993E-3</v>
      </c>
      <c r="X8">
        <v>8.5518540000000005</v>
      </c>
      <c r="Y8">
        <v>7.1656500000000003</v>
      </c>
      <c r="Z8">
        <v>44.150669999999998</v>
      </c>
      <c r="AA8">
        <v>42.528283999999999</v>
      </c>
      <c r="AB8">
        <v>1E-4</v>
      </c>
      <c r="AC8">
        <v>2.629510266844215</v>
      </c>
      <c r="AD8">
        <v>0.58836422403116395</v>
      </c>
      <c r="AE8">
        <v>1.6426339999999999</v>
      </c>
      <c r="AF8">
        <v>0.69227653247292043</v>
      </c>
      <c r="AG8">
        <v>0.34393317151587521</v>
      </c>
    </row>
    <row r="9" spans="1:33" x14ac:dyDescent="0.3">
      <c r="A9">
        <v>8</v>
      </c>
      <c r="B9" t="s">
        <v>56</v>
      </c>
      <c r="C9">
        <v>15002.84113319998</v>
      </c>
      <c r="D9">
        <v>250.04735221999971</v>
      </c>
      <c r="E9" t="s">
        <v>57</v>
      </c>
      <c r="F9" t="s">
        <v>35</v>
      </c>
      <c r="G9" t="s">
        <v>58</v>
      </c>
      <c r="H9" t="s">
        <v>37</v>
      </c>
      <c r="I9">
        <v>1.929738615317832E-2</v>
      </c>
      <c r="J9">
        <v>0</v>
      </c>
      <c r="K9" t="s">
        <v>14</v>
      </c>
      <c r="L9">
        <v>1051</v>
      </c>
      <c r="M9">
        <v>9.4129634067320533E-5</v>
      </c>
      <c r="N9">
        <v>1E-4</v>
      </c>
      <c r="O9">
        <v>3000</v>
      </c>
      <c r="T9">
        <v>8.7481495012858304E-2</v>
      </c>
      <c r="U9">
        <v>1.4461727354296821</v>
      </c>
      <c r="V9">
        <v>5.3414239314315353</v>
      </c>
      <c r="W9">
        <v>9.6469999999999993E-3</v>
      </c>
      <c r="X9">
        <v>8.5518540000000005</v>
      </c>
      <c r="Y9">
        <v>7.1656500000000003</v>
      </c>
      <c r="Z9">
        <v>44.150669999999998</v>
      </c>
      <c r="AA9">
        <v>42.528283999999999</v>
      </c>
      <c r="AB9">
        <v>1E-4</v>
      </c>
      <c r="AC9">
        <v>3.754208637255438</v>
      </c>
      <c r="AD9">
        <v>0.94292399766561574</v>
      </c>
      <c r="AE9">
        <v>1.6426339999999999</v>
      </c>
      <c r="AF9">
        <v>0.57997025002292379</v>
      </c>
      <c r="AG9">
        <v>0.33046316687705829</v>
      </c>
    </row>
    <row r="10" spans="1:33" x14ac:dyDescent="0.3">
      <c r="A10">
        <v>9</v>
      </c>
      <c r="B10" t="s">
        <v>59</v>
      </c>
      <c r="C10">
        <v>21327.64941950003</v>
      </c>
      <c r="D10">
        <v>355.46082365833382</v>
      </c>
      <c r="E10" t="s">
        <v>60</v>
      </c>
      <c r="F10" t="s">
        <v>35</v>
      </c>
      <c r="G10" t="s">
        <v>61</v>
      </c>
      <c r="H10" t="s">
        <v>37</v>
      </c>
      <c r="I10">
        <v>1.586158086551305E-2</v>
      </c>
      <c r="J10">
        <v>0</v>
      </c>
      <c r="K10" t="s">
        <v>14</v>
      </c>
      <c r="L10">
        <v>891</v>
      </c>
      <c r="M10">
        <v>8.9575734519545429E-5</v>
      </c>
      <c r="N10">
        <v>1E-4</v>
      </c>
      <c r="O10">
        <v>3000</v>
      </c>
      <c r="T10">
        <v>0.16914051832313759</v>
      </c>
      <c r="U10">
        <v>3.5405026676757392</v>
      </c>
      <c r="V10">
        <v>6.512342661209547</v>
      </c>
      <c r="W10">
        <v>9.6469999999999993E-3</v>
      </c>
      <c r="X10">
        <v>8.5518540000000005</v>
      </c>
      <c r="Y10">
        <v>7.1656500000000003</v>
      </c>
      <c r="Z10">
        <v>44.150669999999998</v>
      </c>
      <c r="AA10">
        <v>42.528283999999999</v>
      </c>
      <c r="AB10">
        <v>1E-4</v>
      </c>
      <c r="AC10">
        <v>1.4283796721075921</v>
      </c>
      <c r="AD10">
        <v>0.999987290047613</v>
      </c>
      <c r="AE10">
        <v>1.6426339999999999</v>
      </c>
      <c r="AF10">
        <v>0.54601783945066418</v>
      </c>
      <c r="AG10">
        <v>0.35095067247721079</v>
      </c>
    </row>
    <row r="11" spans="1:33" x14ac:dyDescent="0.3">
      <c r="A11">
        <v>10</v>
      </c>
      <c r="B11" t="s">
        <v>62</v>
      </c>
      <c r="C11">
        <v>31379.76279070001</v>
      </c>
      <c r="D11">
        <v>522.99604651166692</v>
      </c>
      <c r="E11" t="s">
        <v>63</v>
      </c>
      <c r="F11" t="s">
        <v>35</v>
      </c>
      <c r="G11" t="s">
        <v>64</v>
      </c>
      <c r="H11" t="s">
        <v>37</v>
      </c>
      <c r="I11">
        <v>1.1196192493127539E-2</v>
      </c>
      <c r="J11">
        <v>0</v>
      </c>
      <c r="K11" t="s">
        <v>14</v>
      </c>
      <c r="L11">
        <v>2163</v>
      </c>
      <c r="M11">
        <v>9.3818426048656128E-5</v>
      </c>
      <c r="N11">
        <v>1E-4</v>
      </c>
      <c r="O11">
        <v>3000</v>
      </c>
      <c r="T11">
        <v>0.13171106680708281</v>
      </c>
      <c r="U11">
        <v>1.2803780296643441</v>
      </c>
      <c r="V11">
        <v>2.7189684162254459</v>
      </c>
      <c r="W11">
        <v>9.6469999999999993E-3</v>
      </c>
      <c r="X11">
        <v>8.5518540000000005</v>
      </c>
      <c r="Y11">
        <v>7.1656500000000003</v>
      </c>
      <c r="Z11">
        <v>44.150669999999998</v>
      </c>
      <c r="AA11">
        <v>42.528283999999999</v>
      </c>
      <c r="AB11">
        <v>1E-4</v>
      </c>
      <c r="AC11">
        <v>2.5192987561038431</v>
      </c>
      <c r="AD11">
        <v>0.34308949828818591</v>
      </c>
      <c r="AE11">
        <v>1.6426339999999999</v>
      </c>
      <c r="AF11">
        <v>0.39204389479805929</v>
      </c>
      <c r="AG11">
        <v>0.43880277409739332</v>
      </c>
    </row>
    <row r="12" spans="1:33" x14ac:dyDescent="0.3">
      <c r="A12">
        <v>11</v>
      </c>
      <c r="B12" t="s">
        <v>65</v>
      </c>
      <c r="C12">
        <v>21952.919157899971</v>
      </c>
      <c r="D12">
        <v>365.88198596499961</v>
      </c>
      <c r="E12" t="s">
        <v>66</v>
      </c>
      <c r="F12" t="s">
        <v>35</v>
      </c>
      <c r="G12" t="s">
        <v>67</v>
      </c>
      <c r="H12" t="s">
        <v>37</v>
      </c>
      <c r="I12">
        <v>2.0955927778411879E-2</v>
      </c>
      <c r="J12">
        <v>0</v>
      </c>
      <c r="K12" t="s">
        <v>14</v>
      </c>
      <c r="L12">
        <v>3001</v>
      </c>
      <c r="M12">
        <v>4.5480474266762261E-4</v>
      </c>
      <c r="N12">
        <v>1E-4</v>
      </c>
      <c r="O12">
        <v>3000</v>
      </c>
      <c r="T12">
        <v>8.8032865941792313E-2</v>
      </c>
      <c r="U12">
        <v>4.6400963663017514</v>
      </c>
      <c r="V12">
        <v>0.33911376185990011</v>
      </c>
      <c r="W12">
        <v>9.6469999999999993E-3</v>
      </c>
      <c r="X12">
        <v>8.5518540000000005</v>
      </c>
      <c r="Y12">
        <v>7.1656500000000003</v>
      </c>
      <c r="Z12">
        <v>44.150669999999998</v>
      </c>
      <c r="AA12">
        <v>42.528283999999999</v>
      </c>
      <c r="AB12">
        <v>1E-4</v>
      </c>
      <c r="AC12">
        <v>3.4184327761098738</v>
      </c>
      <c r="AD12">
        <v>0.99989075338987876</v>
      </c>
      <c r="AE12">
        <v>1.6426339999999999</v>
      </c>
      <c r="AF12">
        <v>0.62192843768557216</v>
      </c>
      <c r="AG12">
        <v>0.1000000000096664</v>
      </c>
    </row>
    <row r="13" spans="1:33" x14ac:dyDescent="0.3">
      <c r="A13">
        <v>12</v>
      </c>
      <c r="B13" t="s">
        <v>68</v>
      </c>
      <c r="C13">
        <v>6459.967974899977</v>
      </c>
      <c r="D13">
        <v>107.66613291499959</v>
      </c>
      <c r="E13" t="s">
        <v>69</v>
      </c>
      <c r="F13" t="s">
        <v>35</v>
      </c>
      <c r="G13" t="s">
        <v>70</v>
      </c>
      <c r="H13" t="s">
        <v>37</v>
      </c>
      <c r="I13">
        <v>4.2107440725379162E-2</v>
      </c>
      <c r="J13">
        <v>0</v>
      </c>
      <c r="K13" t="s">
        <v>14</v>
      </c>
      <c r="L13">
        <v>172</v>
      </c>
      <c r="M13">
        <v>7.8134429815787475E-5</v>
      </c>
      <c r="N13">
        <v>1E-4</v>
      </c>
      <c r="O13">
        <v>3000</v>
      </c>
      <c r="T13">
        <v>0.1169669628071545</v>
      </c>
      <c r="U13">
        <v>2.2710167679059632</v>
      </c>
      <c r="V13">
        <v>0.57718207759030193</v>
      </c>
      <c r="W13">
        <v>9.6469999999999993E-3</v>
      </c>
      <c r="X13">
        <v>8.5518540000000005</v>
      </c>
      <c r="Y13">
        <v>7.1656500000000003</v>
      </c>
      <c r="Z13">
        <v>44.150669999999998</v>
      </c>
      <c r="AA13">
        <v>42.528283999999999</v>
      </c>
      <c r="AB13">
        <v>1E-4</v>
      </c>
      <c r="AC13">
        <v>5.423645052202092</v>
      </c>
      <c r="AD13">
        <v>0.99973389025040671</v>
      </c>
      <c r="AE13">
        <v>1.6426339999999999</v>
      </c>
      <c r="AF13">
        <v>0.54891150406931755</v>
      </c>
      <c r="AG13">
        <v>0.2369861228432418</v>
      </c>
    </row>
    <row r="14" spans="1:33" x14ac:dyDescent="0.3">
      <c r="A14">
        <v>13</v>
      </c>
      <c r="B14" t="s">
        <v>71</v>
      </c>
      <c r="C14">
        <v>18510.96055610001</v>
      </c>
      <c r="D14">
        <v>308.51600926833339</v>
      </c>
      <c r="E14" t="s">
        <v>72</v>
      </c>
      <c r="F14" t="s">
        <v>35</v>
      </c>
      <c r="G14" t="s">
        <v>73</v>
      </c>
      <c r="H14" t="s">
        <v>37</v>
      </c>
      <c r="I14">
        <v>3.0028068761530059E-2</v>
      </c>
      <c r="J14">
        <v>0</v>
      </c>
      <c r="K14" t="s">
        <v>14</v>
      </c>
      <c r="L14">
        <v>382</v>
      </c>
      <c r="M14">
        <v>7.9462689905198121E-5</v>
      </c>
      <c r="N14">
        <v>1E-4</v>
      </c>
      <c r="O14">
        <v>3000</v>
      </c>
      <c r="T14">
        <v>0.13543101585881839</v>
      </c>
      <c r="U14">
        <v>2.1675745542474041</v>
      </c>
      <c r="V14">
        <v>0.44371357160502928</v>
      </c>
      <c r="W14">
        <v>9.6469999999999993E-3</v>
      </c>
      <c r="X14">
        <v>8.5518540000000005</v>
      </c>
      <c r="Y14">
        <v>7.1656500000000003</v>
      </c>
      <c r="Z14">
        <v>44.150669999999998</v>
      </c>
      <c r="AA14">
        <v>42.528283999999999</v>
      </c>
      <c r="AB14">
        <v>1E-4</v>
      </c>
      <c r="AC14">
        <v>6.2503316935079756</v>
      </c>
      <c r="AD14">
        <v>0.99972102398571816</v>
      </c>
      <c r="AE14">
        <v>1.6426339999999999</v>
      </c>
      <c r="AF14">
        <v>0.56821626431158878</v>
      </c>
      <c r="AG14">
        <v>0.32018714573871382</v>
      </c>
    </row>
    <row r="15" spans="1:33" x14ac:dyDescent="0.3">
      <c r="A15">
        <v>14</v>
      </c>
      <c r="B15" t="s">
        <v>74</v>
      </c>
      <c r="C15">
        <v>24515.56501680001</v>
      </c>
      <c r="D15">
        <v>408.59275028000019</v>
      </c>
      <c r="E15" t="s">
        <v>75</v>
      </c>
      <c r="F15" t="s">
        <v>35</v>
      </c>
      <c r="G15" t="s">
        <v>76</v>
      </c>
      <c r="H15" t="s">
        <v>37</v>
      </c>
      <c r="I15">
        <v>7.3830590685885116E-3</v>
      </c>
      <c r="J15">
        <v>0</v>
      </c>
      <c r="K15" t="s">
        <v>14</v>
      </c>
      <c r="L15">
        <v>1057</v>
      </c>
      <c r="M15">
        <v>8.5157052708816476E-5</v>
      </c>
      <c r="N15">
        <v>1E-4</v>
      </c>
      <c r="O15">
        <v>3000</v>
      </c>
      <c r="T15">
        <v>0.1534114159421463</v>
      </c>
      <c r="U15">
        <v>0.9590989768560666</v>
      </c>
      <c r="V15">
        <v>3.1739355788760122</v>
      </c>
      <c r="W15">
        <v>9.6469999999999993E-3</v>
      </c>
      <c r="X15">
        <v>8.5518540000000005</v>
      </c>
      <c r="Y15">
        <v>7.1656500000000003</v>
      </c>
      <c r="Z15">
        <v>44.150669999999998</v>
      </c>
      <c r="AA15">
        <v>42.528283999999999</v>
      </c>
      <c r="AB15">
        <v>1E-4</v>
      </c>
      <c r="AC15">
        <v>4.4949406730690553</v>
      </c>
      <c r="AD15">
        <v>0.83074837802974244</v>
      </c>
      <c r="AE15">
        <v>1.6426339999999999</v>
      </c>
      <c r="AF15">
        <v>0.72639349291145316</v>
      </c>
      <c r="AG15">
        <v>0.3149494549068898</v>
      </c>
    </row>
    <row r="16" spans="1:33" x14ac:dyDescent="0.3">
      <c r="A16">
        <v>15</v>
      </c>
      <c r="B16" t="s">
        <v>77</v>
      </c>
      <c r="C16">
        <v>26313.242024800042</v>
      </c>
      <c r="D16">
        <v>438.55403374666741</v>
      </c>
      <c r="E16" t="s">
        <v>78</v>
      </c>
      <c r="F16" t="s">
        <v>35</v>
      </c>
      <c r="G16" t="s">
        <v>79</v>
      </c>
      <c r="H16" t="s">
        <v>37</v>
      </c>
      <c r="I16">
        <v>4.2066127507307628E-2</v>
      </c>
      <c r="J16">
        <v>0</v>
      </c>
      <c r="K16" t="s">
        <v>14</v>
      </c>
      <c r="L16">
        <v>3001</v>
      </c>
      <c r="M16">
        <v>5.9714565602925099E-4</v>
      </c>
      <c r="N16">
        <v>1E-4</v>
      </c>
      <c r="O16">
        <v>3000</v>
      </c>
      <c r="T16">
        <v>0.10919431527604841</v>
      </c>
      <c r="U16">
        <v>5.9048720015390499</v>
      </c>
      <c r="V16">
        <v>0.42149702139665751</v>
      </c>
      <c r="W16">
        <v>9.6469999999999993E-3</v>
      </c>
      <c r="X16">
        <v>8.5518540000000005</v>
      </c>
      <c r="Y16">
        <v>7.1656500000000003</v>
      </c>
      <c r="Z16">
        <v>44.150669999999998</v>
      </c>
      <c r="AA16">
        <v>42.528283999999999</v>
      </c>
      <c r="AB16">
        <v>1E-4</v>
      </c>
      <c r="AC16">
        <v>2.8783516430630258</v>
      </c>
      <c r="AD16">
        <v>0.6689549422052169</v>
      </c>
      <c r="AE16">
        <v>1.6426339999999999</v>
      </c>
      <c r="AF16">
        <v>0.64839212787686984</v>
      </c>
      <c r="AG16">
        <v>0.1000040595335784</v>
      </c>
    </row>
    <row r="17" spans="1:33" x14ac:dyDescent="0.3">
      <c r="A17">
        <v>16</v>
      </c>
      <c r="B17" t="s">
        <v>80</v>
      </c>
      <c r="C17">
        <v>12643.227703299959</v>
      </c>
      <c r="D17">
        <v>210.72046172166591</v>
      </c>
      <c r="E17" t="s">
        <v>81</v>
      </c>
      <c r="F17" t="s">
        <v>35</v>
      </c>
      <c r="G17" t="s">
        <v>82</v>
      </c>
      <c r="H17" t="s">
        <v>37</v>
      </c>
      <c r="I17">
        <v>2.192124426666146E-2</v>
      </c>
      <c r="J17">
        <v>0</v>
      </c>
      <c r="K17" t="s">
        <v>14</v>
      </c>
      <c r="L17">
        <v>162</v>
      </c>
      <c r="M17">
        <v>7.477436671692065E-5</v>
      </c>
      <c r="N17">
        <v>1E-4</v>
      </c>
      <c r="O17">
        <v>3000</v>
      </c>
      <c r="T17">
        <v>0.54967575647615363</v>
      </c>
      <c r="U17">
        <v>1.1274939039692471</v>
      </c>
      <c r="V17">
        <v>3.092042495539713</v>
      </c>
      <c r="W17">
        <v>9.6469999999999993E-3</v>
      </c>
      <c r="X17">
        <v>8.5518540000000005</v>
      </c>
      <c r="Y17">
        <v>7.1656500000000003</v>
      </c>
      <c r="Z17">
        <v>44.150669999999998</v>
      </c>
      <c r="AA17">
        <v>42.528283999999999</v>
      </c>
      <c r="AB17">
        <v>1E-4</v>
      </c>
      <c r="AC17">
        <v>2.471230373218726</v>
      </c>
      <c r="AD17">
        <v>0.26201798906588591</v>
      </c>
      <c r="AE17">
        <v>1.6426339999999999</v>
      </c>
      <c r="AF17">
        <v>0.39369724135998557</v>
      </c>
      <c r="AG17">
        <v>0.47725294919084699</v>
      </c>
    </row>
    <row r="18" spans="1:33" x14ac:dyDescent="0.3">
      <c r="A18">
        <v>17</v>
      </c>
      <c r="B18" t="s">
        <v>83</v>
      </c>
      <c r="C18">
        <v>11705.461016899961</v>
      </c>
      <c r="D18">
        <v>195.09101694833271</v>
      </c>
      <c r="E18" t="s">
        <v>84</v>
      </c>
      <c r="F18" t="s">
        <v>35</v>
      </c>
      <c r="G18" t="s">
        <v>85</v>
      </c>
      <c r="H18" t="s">
        <v>37</v>
      </c>
      <c r="I18">
        <v>3.4722377077894093E-2</v>
      </c>
      <c r="J18">
        <v>0</v>
      </c>
      <c r="K18" t="s">
        <v>14</v>
      </c>
      <c r="L18">
        <v>693</v>
      </c>
      <c r="M18">
        <v>9.4658566841202219E-5</v>
      </c>
      <c r="N18">
        <v>1E-4</v>
      </c>
      <c r="O18">
        <v>3000</v>
      </c>
      <c r="T18">
        <v>0.1247409847184488</v>
      </c>
      <c r="U18">
        <v>2.0617667729750919</v>
      </c>
      <c r="V18">
        <v>6.1905422438013984</v>
      </c>
      <c r="W18">
        <v>9.6469999999999993E-3</v>
      </c>
      <c r="X18">
        <v>8.5518540000000005</v>
      </c>
      <c r="Y18">
        <v>7.1656500000000003</v>
      </c>
      <c r="Z18">
        <v>44.150669999999998</v>
      </c>
      <c r="AA18">
        <v>42.528283999999999</v>
      </c>
      <c r="AB18">
        <v>1E-4</v>
      </c>
      <c r="AC18">
        <v>2.11150873794552</v>
      </c>
      <c r="AD18">
        <v>0.99638664340240357</v>
      </c>
      <c r="AE18">
        <v>1.6426339999999999</v>
      </c>
      <c r="AF18">
        <v>0.60028149619551618</v>
      </c>
      <c r="AG18">
        <v>0.35570150974047682</v>
      </c>
    </row>
    <row r="19" spans="1:33" x14ac:dyDescent="0.3">
      <c r="A19">
        <v>18</v>
      </c>
      <c r="B19" t="s">
        <v>86</v>
      </c>
      <c r="C19">
        <v>8567.5156035000109</v>
      </c>
      <c r="D19">
        <v>142.7919267250002</v>
      </c>
      <c r="E19" t="s">
        <v>87</v>
      </c>
      <c r="F19" t="s">
        <v>35</v>
      </c>
      <c r="G19" t="s">
        <v>88</v>
      </c>
      <c r="H19" t="s">
        <v>37</v>
      </c>
      <c r="I19">
        <v>2.1423299307281232E-2</v>
      </c>
      <c r="J19">
        <v>0</v>
      </c>
      <c r="K19" t="s">
        <v>14</v>
      </c>
      <c r="L19">
        <v>501</v>
      </c>
      <c r="M19">
        <v>9.3207531817915881E-5</v>
      </c>
      <c r="N19">
        <v>1E-4</v>
      </c>
      <c r="O19">
        <v>3000</v>
      </c>
      <c r="T19">
        <v>7.4887903519829518E-2</v>
      </c>
      <c r="U19">
        <v>1.6597110508188599</v>
      </c>
      <c r="V19">
        <v>7.2393305965200589</v>
      </c>
      <c r="W19">
        <v>9.6469999999999993E-3</v>
      </c>
      <c r="X19">
        <v>8.5518540000000005</v>
      </c>
      <c r="Y19">
        <v>7.1656500000000003</v>
      </c>
      <c r="Z19">
        <v>44.150669999999998</v>
      </c>
      <c r="AA19">
        <v>42.528283999999999</v>
      </c>
      <c r="AB19">
        <v>1E-4</v>
      </c>
      <c r="AC19">
        <v>1.878639362892996</v>
      </c>
      <c r="AD19">
        <v>0.9307014604157966</v>
      </c>
      <c r="AE19">
        <v>1.6426339999999999</v>
      </c>
      <c r="AF19">
        <v>0.34788418859904041</v>
      </c>
      <c r="AG19">
        <v>0.43621617173692429</v>
      </c>
    </row>
    <row r="20" spans="1:33" x14ac:dyDescent="0.3">
      <c r="A20">
        <v>19</v>
      </c>
      <c r="B20" t="s">
        <v>89</v>
      </c>
      <c r="C20">
        <v>20694.814912500031</v>
      </c>
      <c r="D20">
        <v>344.9135818750006</v>
      </c>
      <c r="E20" t="s">
        <v>90</v>
      </c>
      <c r="F20" t="s">
        <v>35</v>
      </c>
      <c r="G20" t="s">
        <v>91</v>
      </c>
      <c r="H20" t="s">
        <v>37</v>
      </c>
      <c r="I20">
        <v>3.8522091929358723E-2</v>
      </c>
      <c r="J20">
        <v>0</v>
      </c>
      <c r="K20" t="s">
        <v>14</v>
      </c>
      <c r="L20">
        <v>100</v>
      </c>
      <c r="M20">
        <v>9.6278762795005046E-5</v>
      </c>
      <c r="N20">
        <v>1E-4</v>
      </c>
      <c r="O20">
        <v>3000</v>
      </c>
      <c r="T20">
        <v>0.14829744064733261</v>
      </c>
      <c r="U20">
        <v>2.8201904669098701</v>
      </c>
      <c r="V20">
        <v>0.27074727739642368</v>
      </c>
      <c r="W20">
        <v>9.6469999999999993E-3</v>
      </c>
      <c r="X20">
        <v>8.5518540000000005</v>
      </c>
      <c r="Y20">
        <v>7.1656500000000003</v>
      </c>
      <c r="Z20">
        <v>44.150669999999998</v>
      </c>
      <c r="AA20">
        <v>42.528283999999999</v>
      </c>
      <c r="AB20">
        <v>1E-4</v>
      </c>
      <c r="AC20">
        <v>6.1928314300162226</v>
      </c>
      <c r="AD20">
        <v>0.99550952113101554</v>
      </c>
      <c r="AE20">
        <v>1.6426339999999999</v>
      </c>
      <c r="AF20">
        <v>0.65618001653466473</v>
      </c>
      <c r="AG20">
        <v>0.16383814585034409</v>
      </c>
    </row>
    <row r="21" spans="1:33" x14ac:dyDescent="0.3">
      <c r="A21">
        <v>20</v>
      </c>
      <c r="B21" t="s">
        <v>92</v>
      </c>
      <c r="C21">
        <v>12230.44841160002</v>
      </c>
      <c r="D21">
        <v>203.84080686000041</v>
      </c>
      <c r="E21" t="s">
        <v>93</v>
      </c>
      <c r="F21" t="s">
        <v>35</v>
      </c>
      <c r="G21" t="s">
        <v>94</v>
      </c>
      <c r="H21" t="s">
        <v>37</v>
      </c>
      <c r="I21">
        <v>1.7770044334358769E-2</v>
      </c>
      <c r="J21">
        <v>0</v>
      </c>
      <c r="K21" t="s">
        <v>14</v>
      </c>
      <c r="L21">
        <v>778</v>
      </c>
      <c r="M21">
        <v>4.6077991776780228E-5</v>
      </c>
      <c r="N21">
        <v>1E-4</v>
      </c>
      <c r="O21">
        <v>3000</v>
      </c>
      <c r="T21">
        <v>0.36718112461538288</v>
      </c>
      <c r="U21">
        <v>1.581350856340892</v>
      </c>
      <c r="V21">
        <v>2.3656852582156298</v>
      </c>
      <c r="W21">
        <v>9.6469999999999993E-3</v>
      </c>
      <c r="X21">
        <v>8.5518540000000005</v>
      </c>
      <c r="Y21">
        <v>7.1656500000000003</v>
      </c>
      <c r="Z21">
        <v>44.150669999999998</v>
      </c>
      <c r="AA21">
        <v>42.528283999999999</v>
      </c>
      <c r="AB21">
        <v>1E-4</v>
      </c>
      <c r="AC21">
        <v>2.5073621613262498</v>
      </c>
      <c r="AD21">
        <v>0.86465860694325269</v>
      </c>
      <c r="AE21">
        <v>1.6426339999999999</v>
      </c>
      <c r="AF21">
        <v>0.45099099543516691</v>
      </c>
      <c r="AG21">
        <v>0.37132148128167219</v>
      </c>
    </row>
    <row r="22" spans="1:33" x14ac:dyDescent="0.3">
      <c r="A22">
        <v>21</v>
      </c>
      <c r="B22" t="s">
        <v>95</v>
      </c>
      <c r="C22">
        <v>9946.9028688999824</v>
      </c>
      <c r="D22">
        <v>165.7817144816664</v>
      </c>
      <c r="E22" t="s">
        <v>96</v>
      </c>
      <c r="F22" t="s">
        <v>35</v>
      </c>
      <c r="G22" t="s">
        <v>97</v>
      </c>
      <c r="H22" t="s">
        <v>37</v>
      </c>
      <c r="I22">
        <v>2.335202050082839E-2</v>
      </c>
      <c r="J22">
        <v>0</v>
      </c>
      <c r="K22" t="s">
        <v>14</v>
      </c>
      <c r="L22">
        <v>460</v>
      </c>
      <c r="M22">
        <v>5.7876139669823443E-5</v>
      </c>
      <c r="N22">
        <v>1E-4</v>
      </c>
      <c r="O22">
        <v>3000</v>
      </c>
      <c r="T22">
        <v>0.1007806174028873</v>
      </c>
      <c r="U22">
        <v>3.1013839769131928</v>
      </c>
      <c r="V22">
        <v>0.3880276905116356</v>
      </c>
      <c r="W22">
        <v>9.6469999999999993E-3</v>
      </c>
      <c r="X22">
        <v>8.5518540000000005</v>
      </c>
      <c r="Y22">
        <v>7.1656500000000003</v>
      </c>
      <c r="Z22">
        <v>44.150669999999998</v>
      </c>
      <c r="AA22">
        <v>42.528283999999999</v>
      </c>
      <c r="AB22">
        <v>1E-4</v>
      </c>
      <c r="AC22">
        <v>6.3127115601138337</v>
      </c>
      <c r="AD22">
        <v>0.99986765253831733</v>
      </c>
      <c r="AE22">
        <v>1.6426339999999999</v>
      </c>
      <c r="AF22">
        <v>0.59871415946888007</v>
      </c>
      <c r="AG22">
        <v>0.1376576989796609</v>
      </c>
    </row>
    <row r="23" spans="1:33" x14ac:dyDescent="0.3">
      <c r="A23">
        <v>22</v>
      </c>
      <c r="B23" t="s">
        <v>98</v>
      </c>
      <c r="C23">
        <v>17131.037991099991</v>
      </c>
      <c r="D23">
        <v>285.51729985166651</v>
      </c>
      <c r="E23" t="s">
        <v>99</v>
      </c>
      <c r="F23" t="s">
        <v>35</v>
      </c>
      <c r="G23" t="s">
        <v>100</v>
      </c>
      <c r="H23" t="s">
        <v>37</v>
      </c>
      <c r="I23">
        <v>2.1599331365598311E-2</v>
      </c>
      <c r="J23">
        <v>0</v>
      </c>
      <c r="K23" t="s">
        <v>14</v>
      </c>
      <c r="L23">
        <v>779</v>
      </c>
      <c r="M23">
        <v>9.5838012336323396E-5</v>
      </c>
      <c r="N23">
        <v>1E-4</v>
      </c>
      <c r="O23">
        <v>3000</v>
      </c>
      <c r="T23">
        <v>5.210099899692875E-2</v>
      </c>
      <c r="U23">
        <v>3.015522408377767</v>
      </c>
      <c r="V23">
        <v>7.9151639875341484</v>
      </c>
      <c r="W23">
        <v>9.6469999999999993E-3</v>
      </c>
      <c r="X23">
        <v>8.5518540000000005</v>
      </c>
      <c r="Y23">
        <v>7.1656500000000003</v>
      </c>
      <c r="Z23">
        <v>44.150669999999998</v>
      </c>
      <c r="AA23">
        <v>42.528283999999999</v>
      </c>
      <c r="AB23">
        <v>1E-4</v>
      </c>
      <c r="AC23">
        <v>1.1906484209683921</v>
      </c>
      <c r="AD23">
        <v>0.81419279270488276</v>
      </c>
      <c r="AE23">
        <v>1.6426339999999999</v>
      </c>
      <c r="AF23">
        <v>0.40469248406287478</v>
      </c>
      <c r="AG23">
        <v>0.40732257988081888</v>
      </c>
    </row>
    <row r="24" spans="1:33" x14ac:dyDescent="0.3">
      <c r="A24">
        <v>23</v>
      </c>
      <c r="B24" t="s">
        <v>101</v>
      </c>
      <c r="C24">
        <v>28166.06068460003</v>
      </c>
      <c r="D24">
        <v>469.43434474333378</v>
      </c>
      <c r="E24" t="s">
        <v>102</v>
      </c>
      <c r="F24" t="s">
        <v>35</v>
      </c>
      <c r="G24" t="s">
        <v>103</v>
      </c>
      <c r="H24" t="s">
        <v>37</v>
      </c>
      <c r="I24">
        <v>1.7315566881666831E-2</v>
      </c>
      <c r="J24">
        <v>0</v>
      </c>
      <c r="K24" t="s">
        <v>14</v>
      </c>
      <c r="L24">
        <v>3001</v>
      </c>
      <c r="M24">
        <v>2.0913073636632542E-3</v>
      </c>
      <c r="N24">
        <v>1E-4</v>
      </c>
      <c r="O24">
        <v>3000</v>
      </c>
      <c r="T24">
        <v>4.6474636586851983E-2</v>
      </c>
      <c r="U24">
        <v>3.7605962647048039</v>
      </c>
      <c r="V24">
        <v>2.2957334841377941</v>
      </c>
      <c r="W24">
        <v>9.6469999999999993E-3</v>
      </c>
      <c r="X24">
        <v>8.5518540000000005</v>
      </c>
      <c r="Y24">
        <v>7.1656500000000003</v>
      </c>
      <c r="Z24">
        <v>44.150669999999998</v>
      </c>
      <c r="AA24">
        <v>42.528283999999999</v>
      </c>
      <c r="AB24">
        <v>1E-4</v>
      </c>
      <c r="AC24">
        <v>2.9958857853356449</v>
      </c>
      <c r="AD24">
        <v>0.61806702516702294</v>
      </c>
      <c r="AE24">
        <v>1.6426339999999999</v>
      </c>
      <c r="AF24">
        <v>0.29257548014512241</v>
      </c>
      <c r="AG24">
        <v>0.66209753633458845</v>
      </c>
    </row>
    <row r="25" spans="1:33" x14ac:dyDescent="0.3">
      <c r="A25">
        <v>24</v>
      </c>
      <c r="B25" t="s">
        <v>104</v>
      </c>
      <c r="C25">
        <v>14789.701960600039</v>
      </c>
      <c r="D25">
        <v>246.49503267666731</v>
      </c>
      <c r="E25" t="s">
        <v>105</v>
      </c>
      <c r="F25" t="s">
        <v>35</v>
      </c>
      <c r="G25" t="s">
        <v>106</v>
      </c>
      <c r="H25" t="s">
        <v>37</v>
      </c>
      <c r="I25">
        <v>2.408440037657289E-2</v>
      </c>
      <c r="J25">
        <v>0</v>
      </c>
      <c r="K25" t="s">
        <v>14</v>
      </c>
      <c r="L25">
        <v>804</v>
      </c>
      <c r="M25">
        <v>1.383623615168159E-5</v>
      </c>
      <c r="N25">
        <v>1E-4</v>
      </c>
      <c r="O25">
        <v>3000</v>
      </c>
      <c r="T25">
        <v>0.21845217753180651</v>
      </c>
      <c r="U25">
        <v>2.0911938493088078</v>
      </c>
      <c r="V25">
        <v>4.3728829139642666</v>
      </c>
      <c r="W25">
        <v>9.6469999999999993E-3</v>
      </c>
      <c r="X25">
        <v>8.5518540000000005</v>
      </c>
      <c r="Y25">
        <v>7.1656500000000003</v>
      </c>
      <c r="Z25">
        <v>44.150669999999998</v>
      </c>
      <c r="AA25">
        <v>42.528283999999999</v>
      </c>
      <c r="AB25">
        <v>1E-4</v>
      </c>
      <c r="AC25">
        <v>2.138969401279883</v>
      </c>
      <c r="AD25">
        <v>0.99996580887285103</v>
      </c>
      <c r="AE25">
        <v>1.6426339999999999</v>
      </c>
      <c r="AF25">
        <v>0.59852158661471366</v>
      </c>
      <c r="AG25">
        <v>0.33301313040425051</v>
      </c>
    </row>
    <row r="26" spans="1:33" x14ac:dyDescent="0.3">
      <c r="A26">
        <v>25</v>
      </c>
      <c r="B26" t="s">
        <v>107</v>
      </c>
      <c r="C26">
        <v>14214.389217899999</v>
      </c>
      <c r="D26">
        <v>236.90648696499991</v>
      </c>
      <c r="E26" t="s">
        <v>108</v>
      </c>
      <c r="F26" t="s">
        <v>35</v>
      </c>
      <c r="G26" t="s">
        <v>109</v>
      </c>
      <c r="H26" t="s">
        <v>37</v>
      </c>
      <c r="I26">
        <v>3.9863356155437117E-2</v>
      </c>
      <c r="J26">
        <v>0</v>
      </c>
      <c r="K26" t="s">
        <v>14</v>
      </c>
      <c r="L26">
        <v>293</v>
      </c>
      <c r="M26">
        <v>9.3045775907907302E-5</v>
      </c>
      <c r="N26">
        <v>1E-4</v>
      </c>
      <c r="O26">
        <v>3000</v>
      </c>
      <c r="T26">
        <v>0.14069450013491799</v>
      </c>
      <c r="U26">
        <v>3.174672574828024</v>
      </c>
      <c r="V26">
        <v>0.32192459528220269</v>
      </c>
      <c r="W26">
        <v>9.6469999999999993E-3</v>
      </c>
      <c r="X26">
        <v>8.5518540000000005</v>
      </c>
      <c r="Y26">
        <v>7.1656500000000003</v>
      </c>
      <c r="Z26">
        <v>44.150669999999998</v>
      </c>
      <c r="AA26">
        <v>42.528283999999999</v>
      </c>
      <c r="AB26">
        <v>1E-4</v>
      </c>
      <c r="AC26">
        <v>5.3114347620153426</v>
      </c>
      <c r="AD26">
        <v>0.99997221925628821</v>
      </c>
      <c r="AE26">
        <v>1.6426339999999999</v>
      </c>
      <c r="AF26">
        <v>0.62628626979708013</v>
      </c>
      <c r="AG26">
        <v>0.17305469620323699</v>
      </c>
    </row>
    <row r="27" spans="1:33" x14ac:dyDescent="0.3">
      <c r="A27">
        <v>26</v>
      </c>
      <c r="B27" t="s">
        <v>110</v>
      </c>
      <c r="C27">
        <v>13282.04843599995</v>
      </c>
      <c r="D27">
        <v>221.36747393333249</v>
      </c>
      <c r="E27" t="s">
        <v>111</v>
      </c>
      <c r="F27" t="s">
        <v>35</v>
      </c>
      <c r="G27" t="s">
        <v>112</v>
      </c>
      <c r="H27" t="s">
        <v>37</v>
      </c>
      <c r="I27">
        <v>2.841602851562924E-2</v>
      </c>
      <c r="J27">
        <v>0</v>
      </c>
      <c r="K27" t="s">
        <v>14</v>
      </c>
      <c r="L27">
        <v>132</v>
      </c>
      <c r="M27">
        <v>9.8926370172199813E-5</v>
      </c>
      <c r="N27">
        <v>1E-4</v>
      </c>
      <c r="O27">
        <v>3000</v>
      </c>
      <c r="T27">
        <v>8.5631191895631953E-2</v>
      </c>
      <c r="U27">
        <v>5.89094623593002</v>
      </c>
      <c r="V27">
        <v>0.29589318304247308</v>
      </c>
      <c r="W27">
        <v>9.6469999999999993E-3</v>
      </c>
      <c r="X27">
        <v>8.5518540000000005</v>
      </c>
      <c r="Y27">
        <v>7.1656500000000003</v>
      </c>
      <c r="Z27">
        <v>44.150669999999998</v>
      </c>
      <c r="AA27">
        <v>42.528283999999999</v>
      </c>
      <c r="AB27">
        <v>1E-4</v>
      </c>
      <c r="AC27">
        <v>2.6592132432596638</v>
      </c>
      <c r="AD27">
        <v>0.99954289809891528</v>
      </c>
      <c r="AE27">
        <v>1.6426339999999999</v>
      </c>
      <c r="AF27">
        <v>0.6431989634258003</v>
      </c>
      <c r="AG27">
        <v>0.10000123165212681</v>
      </c>
    </row>
    <row r="28" spans="1:33" x14ac:dyDescent="0.3">
      <c r="A28">
        <v>27</v>
      </c>
      <c r="B28" t="s">
        <v>113</v>
      </c>
      <c r="C28">
        <v>11686.551706300001</v>
      </c>
      <c r="D28">
        <v>194.77586177166671</v>
      </c>
      <c r="E28" t="s">
        <v>114</v>
      </c>
      <c r="F28" t="s">
        <v>35</v>
      </c>
      <c r="G28" t="s">
        <v>115</v>
      </c>
      <c r="H28" t="s">
        <v>37</v>
      </c>
      <c r="I28">
        <v>4.4134797555378219E-2</v>
      </c>
      <c r="J28">
        <v>0</v>
      </c>
      <c r="K28" t="s">
        <v>14</v>
      </c>
      <c r="L28">
        <v>189</v>
      </c>
      <c r="M28">
        <v>9.8388218657852655E-5</v>
      </c>
      <c r="N28">
        <v>1E-4</v>
      </c>
      <c r="O28">
        <v>3000</v>
      </c>
      <c r="T28">
        <v>0.13621594287194261</v>
      </c>
      <c r="U28">
        <v>0.62336019347073179</v>
      </c>
      <c r="V28">
        <v>4.4254863447449537</v>
      </c>
      <c r="W28">
        <v>9.6469999999999993E-3</v>
      </c>
      <c r="X28">
        <v>8.5518540000000005</v>
      </c>
      <c r="Y28">
        <v>7.1656500000000003</v>
      </c>
      <c r="Z28">
        <v>44.150669999999998</v>
      </c>
      <c r="AA28">
        <v>42.528283999999999</v>
      </c>
      <c r="AB28">
        <v>1E-4</v>
      </c>
      <c r="AC28">
        <v>5.2674317721245973</v>
      </c>
      <c r="AD28">
        <v>0.99944616171819511</v>
      </c>
      <c r="AE28">
        <v>1.6426339999999999</v>
      </c>
      <c r="AF28">
        <v>0.46167342682691231</v>
      </c>
      <c r="AG28">
        <v>0.46000879976541909</v>
      </c>
    </row>
    <row r="29" spans="1:33" x14ac:dyDescent="0.3">
      <c r="A29">
        <v>28</v>
      </c>
      <c r="B29" t="s">
        <v>116</v>
      </c>
      <c r="C29">
        <v>23853.468509299972</v>
      </c>
      <c r="D29">
        <v>397.55780848833291</v>
      </c>
      <c r="E29" t="s">
        <v>117</v>
      </c>
      <c r="F29" t="s">
        <v>35</v>
      </c>
      <c r="G29" t="s">
        <v>118</v>
      </c>
      <c r="H29" t="s">
        <v>37</v>
      </c>
      <c r="I29">
        <v>1.117870673096903E-2</v>
      </c>
      <c r="J29">
        <v>0</v>
      </c>
      <c r="K29" t="s">
        <v>14</v>
      </c>
      <c r="L29">
        <v>2733</v>
      </c>
      <c r="M29">
        <v>5.6235267880706847E-5</v>
      </c>
      <c r="N29">
        <v>1E-4</v>
      </c>
      <c r="O29">
        <v>3000</v>
      </c>
      <c r="T29">
        <v>0.1038050282684658</v>
      </c>
      <c r="U29">
        <v>2.1510199708419919</v>
      </c>
      <c r="V29">
        <v>4.6485538465200511</v>
      </c>
      <c r="W29">
        <v>9.6469999999999993E-3</v>
      </c>
      <c r="X29">
        <v>8.5518540000000005</v>
      </c>
      <c r="Y29">
        <v>7.1656500000000003</v>
      </c>
      <c r="Z29">
        <v>44.150669999999998</v>
      </c>
      <c r="AA29">
        <v>42.528283999999999</v>
      </c>
      <c r="AB29">
        <v>1E-4</v>
      </c>
      <c r="AC29">
        <v>1.687027607910689</v>
      </c>
      <c r="AD29">
        <v>0.98225824301224984</v>
      </c>
      <c r="AE29">
        <v>1.6426339999999999</v>
      </c>
      <c r="AF29">
        <v>0.34377987776962088</v>
      </c>
      <c r="AG29">
        <v>0.51948428964501769</v>
      </c>
    </row>
    <row r="30" spans="1:33" x14ac:dyDescent="0.3">
      <c r="A30">
        <v>29</v>
      </c>
      <c r="B30" t="s">
        <v>119</v>
      </c>
      <c r="C30">
        <v>15049.41904260003</v>
      </c>
      <c r="D30">
        <v>250.82365071000049</v>
      </c>
      <c r="E30" t="s">
        <v>120</v>
      </c>
      <c r="F30" t="s">
        <v>35</v>
      </c>
      <c r="G30" t="s">
        <v>121</v>
      </c>
      <c r="H30" t="s">
        <v>37</v>
      </c>
      <c r="I30">
        <v>3.8063826526005783E-2</v>
      </c>
      <c r="J30">
        <v>0</v>
      </c>
      <c r="K30" t="s">
        <v>14</v>
      </c>
      <c r="L30">
        <v>347</v>
      </c>
      <c r="M30">
        <v>9.2878479626219235E-5</v>
      </c>
      <c r="N30">
        <v>1E-4</v>
      </c>
      <c r="O30">
        <v>3000</v>
      </c>
      <c r="T30">
        <v>0.12482275810710131</v>
      </c>
      <c r="U30">
        <v>4.375140557470278</v>
      </c>
      <c r="V30">
        <v>0.21599926544369061</v>
      </c>
      <c r="W30">
        <v>9.6469999999999993E-3</v>
      </c>
      <c r="X30">
        <v>8.5518540000000005</v>
      </c>
      <c r="Y30">
        <v>7.1656500000000003</v>
      </c>
      <c r="Z30">
        <v>44.150669999999998</v>
      </c>
      <c r="AA30">
        <v>42.528283999999999</v>
      </c>
      <c r="AB30">
        <v>1E-4</v>
      </c>
      <c r="AC30">
        <v>4.3635049261817116</v>
      </c>
      <c r="AD30">
        <v>0.99977804316314223</v>
      </c>
      <c r="AE30">
        <v>1.6426339999999999</v>
      </c>
      <c r="AF30">
        <v>0.66410832315251844</v>
      </c>
      <c r="AG30">
        <v>0.1000009317318306</v>
      </c>
    </row>
    <row r="31" spans="1:33" x14ac:dyDescent="0.3">
      <c r="A31">
        <v>30</v>
      </c>
      <c r="B31" t="s">
        <v>122</v>
      </c>
      <c r="C31">
        <v>16268.08912309998</v>
      </c>
      <c r="D31">
        <v>271.13481871833312</v>
      </c>
      <c r="E31" t="s">
        <v>123</v>
      </c>
      <c r="F31" t="s">
        <v>35</v>
      </c>
      <c r="G31" t="s">
        <v>124</v>
      </c>
      <c r="H31" t="s">
        <v>37</v>
      </c>
      <c r="I31">
        <v>1.213877768628047E-2</v>
      </c>
      <c r="J31">
        <v>0</v>
      </c>
      <c r="K31" t="s">
        <v>14</v>
      </c>
      <c r="L31">
        <v>282</v>
      </c>
      <c r="M31">
        <v>9.6368006952754354E-5</v>
      </c>
      <c r="N31">
        <v>1E-4</v>
      </c>
      <c r="O31">
        <v>3000</v>
      </c>
      <c r="T31">
        <v>0.40789312153804952</v>
      </c>
      <c r="U31">
        <v>1.286000710709591</v>
      </c>
      <c r="V31">
        <v>4.0267090952175906</v>
      </c>
      <c r="W31">
        <v>9.6469999999999993E-3</v>
      </c>
      <c r="X31">
        <v>8.5518540000000005</v>
      </c>
      <c r="Y31">
        <v>7.1656500000000003</v>
      </c>
      <c r="Z31">
        <v>44.150669999999998</v>
      </c>
      <c r="AA31">
        <v>42.528283999999999</v>
      </c>
      <c r="AB31">
        <v>1E-4</v>
      </c>
      <c r="AC31">
        <v>2.0931151216855439</v>
      </c>
      <c r="AD31">
        <v>0.35553288806227201</v>
      </c>
      <c r="AE31">
        <v>1.6426339999999999</v>
      </c>
      <c r="AF31">
        <v>0.55917117410030059</v>
      </c>
      <c r="AG31">
        <v>0.38187394947779479</v>
      </c>
    </row>
    <row r="32" spans="1:33" x14ac:dyDescent="0.3">
      <c r="A32">
        <v>31</v>
      </c>
      <c r="B32" t="s">
        <v>125</v>
      </c>
      <c r="C32">
        <v>16004.396076400009</v>
      </c>
      <c r="D32">
        <v>266.73993460666679</v>
      </c>
      <c r="E32" t="s">
        <v>126</v>
      </c>
      <c r="F32" t="s">
        <v>35</v>
      </c>
      <c r="G32" t="s">
        <v>127</v>
      </c>
      <c r="H32" t="s">
        <v>37</v>
      </c>
      <c r="I32">
        <v>2.3408870731412589E-2</v>
      </c>
      <c r="J32">
        <v>0</v>
      </c>
      <c r="K32" t="s">
        <v>14</v>
      </c>
      <c r="L32">
        <v>750</v>
      </c>
      <c r="M32">
        <v>7.8372569649464861E-5</v>
      </c>
      <c r="N32">
        <v>1E-4</v>
      </c>
      <c r="O32">
        <v>3000</v>
      </c>
      <c r="T32">
        <v>0.14191534691450619</v>
      </c>
      <c r="U32">
        <v>2.7399551136459368</v>
      </c>
      <c r="V32">
        <v>7.9671731469137352</v>
      </c>
      <c r="W32">
        <v>9.6469999999999993E-3</v>
      </c>
      <c r="X32">
        <v>8.5518540000000005</v>
      </c>
      <c r="Y32">
        <v>7.1656500000000003</v>
      </c>
      <c r="Z32">
        <v>44.150669999999998</v>
      </c>
      <c r="AA32">
        <v>42.528283999999999</v>
      </c>
      <c r="AB32">
        <v>1E-4</v>
      </c>
      <c r="AC32">
        <v>1.4421003378878381</v>
      </c>
      <c r="AD32">
        <v>0.97176326153770465</v>
      </c>
      <c r="AE32">
        <v>1.6426339999999999</v>
      </c>
      <c r="AF32">
        <v>0.52973155657927862</v>
      </c>
      <c r="AG32">
        <v>0.38153331065287138</v>
      </c>
    </row>
    <row r="33" spans="1:33" x14ac:dyDescent="0.3">
      <c r="A33">
        <v>32</v>
      </c>
      <c r="B33" t="s">
        <v>128</v>
      </c>
      <c r="C33">
        <v>7143.0076842000126</v>
      </c>
      <c r="D33">
        <v>119.0501280700002</v>
      </c>
      <c r="E33" t="s">
        <v>129</v>
      </c>
      <c r="F33" t="s">
        <v>35</v>
      </c>
      <c r="G33" t="s">
        <v>130</v>
      </c>
      <c r="H33" t="s">
        <v>37</v>
      </c>
      <c r="I33">
        <v>3.7092552097302348E-2</v>
      </c>
      <c r="J33">
        <v>0</v>
      </c>
      <c r="K33" t="s">
        <v>14</v>
      </c>
      <c r="L33">
        <v>241</v>
      </c>
      <c r="M33">
        <v>9.0346687101605747E-5</v>
      </c>
      <c r="N33">
        <v>1E-4</v>
      </c>
      <c r="O33">
        <v>3000</v>
      </c>
      <c r="T33">
        <v>8.9467123665495668E-2</v>
      </c>
      <c r="U33">
        <v>3.7912187764253291</v>
      </c>
      <c r="V33">
        <v>0.25088220657233617</v>
      </c>
      <c r="W33">
        <v>9.6469999999999993E-3</v>
      </c>
      <c r="X33">
        <v>8.5518540000000005</v>
      </c>
      <c r="Y33">
        <v>7.1656500000000003</v>
      </c>
      <c r="Z33">
        <v>44.150669999999998</v>
      </c>
      <c r="AA33">
        <v>42.528283999999999</v>
      </c>
      <c r="AB33">
        <v>1E-4</v>
      </c>
      <c r="AC33">
        <v>5.0569275860207377</v>
      </c>
      <c r="AD33">
        <v>0.8176213061425609</v>
      </c>
      <c r="AE33">
        <v>1.6426339999999999</v>
      </c>
      <c r="AF33">
        <v>0.61239908106267815</v>
      </c>
      <c r="AG33">
        <v>0.10001411208734259</v>
      </c>
    </row>
    <row r="34" spans="1:33" x14ac:dyDescent="0.3">
      <c r="A34">
        <v>33</v>
      </c>
      <c r="B34" t="s">
        <v>131</v>
      </c>
      <c r="C34">
        <v>19947.705137000012</v>
      </c>
      <c r="D34">
        <v>332.46175228333351</v>
      </c>
      <c r="E34" t="s">
        <v>132</v>
      </c>
      <c r="F34" t="s">
        <v>35</v>
      </c>
      <c r="G34" t="s">
        <v>133</v>
      </c>
      <c r="H34" t="s">
        <v>37</v>
      </c>
      <c r="I34">
        <v>2.229270003870994E-2</v>
      </c>
      <c r="J34">
        <v>0</v>
      </c>
      <c r="K34" t="s">
        <v>14</v>
      </c>
      <c r="L34">
        <v>666</v>
      </c>
      <c r="M34">
        <v>9.4340261531952515E-5</v>
      </c>
      <c r="N34">
        <v>1E-4</v>
      </c>
      <c r="O34">
        <v>3000</v>
      </c>
      <c r="T34">
        <v>0.1009190082394365</v>
      </c>
      <c r="U34">
        <v>5.7162753589990256</v>
      </c>
      <c r="V34">
        <v>4.1061464659955309</v>
      </c>
      <c r="W34">
        <v>9.6469999999999993E-3</v>
      </c>
      <c r="X34">
        <v>8.5518540000000005</v>
      </c>
      <c r="Y34">
        <v>7.1656500000000003</v>
      </c>
      <c r="Z34">
        <v>44.150669999999998</v>
      </c>
      <c r="AA34">
        <v>42.528283999999999</v>
      </c>
      <c r="AB34">
        <v>1E-4</v>
      </c>
      <c r="AC34">
        <v>1.166041405336286</v>
      </c>
      <c r="AD34">
        <v>0.90954387778796719</v>
      </c>
      <c r="AE34">
        <v>1.6426339999999999</v>
      </c>
      <c r="AF34">
        <v>0.4126071456982176</v>
      </c>
      <c r="AG34">
        <v>0.46872665387361861</v>
      </c>
    </row>
    <row r="35" spans="1:33" x14ac:dyDescent="0.3">
      <c r="A35">
        <v>34</v>
      </c>
      <c r="B35" t="s">
        <v>134</v>
      </c>
      <c r="C35">
        <v>14579.828070799989</v>
      </c>
      <c r="D35">
        <v>242.99713451333321</v>
      </c>
      <c r="E35" t="s">
        <v>135</v>
      </c>
      <c r="F35" t="s">
        <v>35</v>
      </c>
      <c r="G35" t="s">
        <v>136</v>
      </c>
      <c r="H35" t="s">
        <v>37</v>
      </c>
      <c r="I35">
        <v>4.8681683866055411E-2</v>
      </c>
      <c r="J35">
        <v>0</v>
      </c>
      <c r="K35" t="s">
        <v>14</v>
      </c>
      <c r="L35">
        <v>456</v>
      </c>
      <c r="M35">
        <v>9.2617254727688959E-5</v>
      </c>
      <c r="N35">
        <v>1E-4</v>
      </c>
      <c r="O35">
        <v>3000</v>
      </c>
      <c r="T35">
        <v>0.29378323721928012</v>
      </c>
      <c r="U35">
        <v>0.91680787530937258</v>
      </c>
      <c r="V35">
        <v>4.0059583967442114</v>
      </c>
      <c r="W35">
        <v>9.6469999999999993E-3</v>
      </c>
      <c r="X35">
        <v>8.5518540000000005</v>
      </c>
      <c r="Y35">
        <v>7.1656500000000003</v>
      </c>
      <c r="Z35">
        <v>44.150669999999998</v>
      </c>
      <c r="AA35">
        <v>42.528283999999999</v>
      </c>
      <c r="AB35">
        <v>1E-4</v>
      </c>
      <c r="AC35">
        <v>4.252325426065541</v>
      </c>
      <c r="AD35">
        <v>0.95427111021416655</v>
      </c>
      <c r="AE35">
        <v>1.6426339999999999</v>
      </c>
      <c r="AF35">
        <v>0.61320962287952185</v>
      </c>
      <c r="AG35">
        <v>0.4156812945679253</v>
      </c>
    </row>
    <row r="36" spans="1:33" x14ac:dyDescent="0.3">
      <c r="A36">
        <v>35</v>
      </c>
      <c r="B36" t="s">
        <v>137</v>
      </c>
      <c r="C36">
        <v>13605.1550876</v>
      </c>
      <c r="D36">
        <v>226.75258479333331</v>
      </c>
      <c r="E36" t="s">
        <v>138</v>
      </c>
      <c r="F36" t="s">
        <v>35</v>
      </c>
      <c r="G36" t="s">
        <v>139</v>
      </c>
      <c r="H36" t="s">
        <v>37</v>
      </c>
      <c r="I36">
        <v>2.0743334447347179E-2</v>
      </c>
      <c r="J36">
        <v>0</v>
      </c>
      <c r="K36" t="s">
        <v>14</v>
      </c>
      <c r="L36">
        <v>533</v>
      </c>
      <c r="M36">
        <v>9.5771392753918555E-5</v>
      </c>
      <c r="N36">
        <v>1E-4</v>
      </c>
      <c r="O36">
        <v>3000</v>
      </c>
      <c r="T36">
        <v>6.9670662460170188E-2</v>
      </c>
      <c r="U36">
        <v>3.1060014804906468</v>
      </c>
      <c r="V36">
        <v>4.7532143132203437</v>
      </c>
      <c r="W36">
        <v>9.6469999999999993E-3</v>
      </c>
      <c r="X36">
        <v>8.5518540000000005</v>
      </c>
      <c r="Y36">
        <v>7.1656500000000003</v>
      </c>
      <c r="Z36">
        <v>44.150669999999998</v>
      </c>
      <c r="AA36">
        <v>42.528283999999999</v>
      </c>
      <c r="AB36">
        <v>1E-4</v>
      </c>
      <c r="AC36">
        <v>1.281974422227417</v>
      </c>
      <c r="AD36">
        <v>0.82495782009139251</v>
      </c>
      <c r="AE36">
        <v>1.6426339999999999</v>
      </c>
      <c r="AF36">
        <v>0.37588761330540049</v>
      </c>
      <c r="AG36">
        <v>0.42550928027932139</v>
      </c>
    </row>
    <row r="37" spans="1:33" x14ac:dyDescent="0.3">
      <c r="A37">
        <v>36</v>
      </c>
      <c r="B37" t="s">
        <v>140</v>
      </c>
      <c r="C37">
        <v>17238.200984300001</v>
      </c>
      <c r="D37">
        <v>287.30334973833328</v>
      </c>
      <c r="E37" t="s">
        <v>141</v>
      </c>
      <c r="F37" t="s">
        <v>35</v>
      </c>
      <c r="G37" t="s">
        <v>142</v>
      </c>
      <c r="H37" t="s">
        <v>37</v>
      </c>
      <c r="I37">
        <v>1.021763141273108E-2</v>
      </c>
      <c r="J37">
        <v>0</v>
      </c>
      <c r="K37" t="s">
        <v>14</v>
      </c>
      <c r="L37">
        <v>405</v>
      </c>
      <c r="M37">
        <v>9.8470037554762669E-5</v>
      </c>
      <c r="N37">
        <v>1E-4</v>
      </c>
      <c r="O37">
        <v>3000</v>
      </c>
      <c r="T37">
        <v>0.29181717581740368</v>
      </c>
      <c r="U37">
        <v>1.279621368416282</v>
      </c>
      <c r="V37">
        <v>4.2088484938113222</v>
      </c>
      <c r="W37">
        <v>9.6469999999999993E-3</v>
      </c>
      <c r="X37">
        <v>8.5518540000000005</v>
      </c>
      <c r="Y37">
        <v>7.1656500000000003</v>
      </c>
      <c r="Z37">
        <v>44.150669999999998</v>
      </c>
      <c r="AA37">
        <v>42.528283999999999</v>
      </c>
      <c r="AB37">
        <v>1E-4</v>
      </c>
      <c r="AC37">
        <v>2.1006337460212632</v>
      </c>
      <c r="AD37">
        <v>0.99588913113327215</v>
      </c>
      <c r="AE37">
        <v>1.6426339999999999</v>
      </c>
      <c r="AF37">
        <v>0.46611857605913842</v>
      </c>
      <c r="AG37">
        <v>0.38530408581084519</v>
      </c>
    </row>
    <row r="38" spans="1:33" x14ac:dyDescent="0.3">
      <c r="A38">
        <v>37</v>
      </c>
      <c r="B38" t="s">
        <v>143</v>
      </c>
      <c r="C38">
        <v>10821.325008000011</v>
      </c>
      <c r="D38">
        <v>180.3554168000002</v>
      </c>
      <c r="E38" t="s">
        <v>144</v>
      </c>
      <c r="F38" t="s">
        <v>35</v>
      </c>
      <c r="G38" t="s">
        <v>145</v>
      </c>
      <c r="H38" t="s">
        <v>37</v>
      </c>
      <c r="I38">
        <v>2.3742916167235499E-2</v>
      </c>
      <c r="J38">
        <v>0</v>
      </c>
      <c r="K38" t="s">
        <v>14</v>
      </c>
      <c r="L38">
        <v>285</v>
      </c>
      <c r="M38">
        <v>9.4449768455108306E-5</v>
      </c>
      <c r="N38">
        <v>1E-4</v>
      </c>
      <c r="O38">
        <v>3000</v>
      </c>
      <c r="T38">
        <v>0.1094464579719584</v>
      </c>
      <c r="U38">
        <v>3.0789013453249461</v>
      </c>
      <c r="V38">
        <v>0.41024012838144058</v>
      </c>
      <c r="W38">
        <v>9.6469999999999993E-3</v>
      </c>
      <c r="X38">
        <v>8.5518540000000005</v>
      </c>
      <c r="Y38">
        <v>7.1656500000000003</v>
      </c>
      <c r="Z38">
        <v>44.150669999999998</v>
      </c>
      <c r="AA38">
        <v>42.528283999999999</v>
      </c>
      <c r="AB38">
        <v>1E-4</v>
      </c>
      <c r="AC38">
        <v>5.619499902173156</v>
      </c>
      <c r="AD38">
        <v>0.99855160122087683</v>
      </c>
      <c r="AE38">
        <v>1.6426339999999999</v>
      </c>
      <c r="AF38">
        <v>0.62944585684363086</v>
      </c>
      <c r="AG38">
        <v>0.13942272763891819</v>
      </c>
    </row>
    <row r="39" spans="1:33" x14ac:dyDescent="0.3">
      <c r="A39">
        <v>38</v>
      </c>
      <c r="B39" t="s">
        <v>146</v>
      </c>
      <c r="C39">
        <v>6861.0893611999927</v>
      </c>
      <c r="D39">
        <v>114.35148935333321</v>
      </c>
      <c r="E39" t="s">
        <v>147</v>
      </c>
      <c r="F39" t="s">
        <v>35</v>
      </c>
      <c r="G39" t="s">
        <v>148</v>
      </c>
      <c r="H39" t="s">
        <v>37</v>
      </c>
      <c r="I39">
        <v>4.1078049329061478E-2</v>
      </c>
      <c r="J39">
        <v>0</v>
      </c>
      <c r="K39" t="s">
        <v>14</v>
      </c>
      <c r="L39">
        <v>307</v>
      </c>
      <c r="M39">
        <v>8.44483923271514E-5</v>
      </c>
      <c r="N39">
        <v>1E-4</v>
      </c>
      <c r="O39">
        <v>3000</v>
      </c>
      <c r="T39">
        <v>0.1227094513141276</v>
      </c>
      <c r="U39">
        <v>2.8073541301759581</v>
      </c>
      <c r="V39">
        <v>0.35996106555883861</v>
      </c>
      <c r="W39">
        <v>9.6469999999999993E-3</v>
      </c>
      <c r="X39">
        <v>8.5518540000000005</v>
      </c>
      <c r="Y39">
        <v>7.1656500000000003</v>
      </c>
      <c r="Z39">
        <v>44.150669999999998</v>
      </c>
      <c r="AA39">
        <v>42.528283999999999</v>
      </c>
      <c r="AB39">
        <v>1E-4</v>
      </c>
      <c r="AC39">
        <v>5.5402010605605714</v>
      </c>
      <c r="AD39">
        <v>0.99994831101529702</v>
      </c>
      <c r="AE39">
        <v>1.6426339999999999</v>
      </c>
      <c r="AF39">
        <v>0.61622094997605092</v>
      </c>
      <c r="AG39">
        <v>0.10802070616135891</v>
      </c>
    </row>
    <row r="40" spans="1:33" x14ac:dyDescent="0.3">
      <c r="A40">
        <v>39</v>
      </c>
      <c r="B40" t="s">
        <v>149</v>
      </c>
      <c r="C40">
        <v>28859.046271200001</v>
      </c>
      <c r="D40">
        <v>480.98410452000002</v>
      </c>
      <c r="E40" t="s">
        <v>150</v>
      </c>
      <c r="F40" t="s">
        <v>35</v>
      </c>
      <c r="G40" t="s">
        <v>151</v>
      </c>
      <c r="H40" t="s">
        <v>37</v>
      </c>
      <c r="I40">
        <v>2.2975391594716999E-2</v>
      </c>
      <c r="J40">
        <v>0</v>
      </c>
      <c r="K40" t="s">
        <v>14</v>
      </c>
      <c r="L40">
        <v>2436</v>
      </c>
      <c r="M40">
        <v>2.3041478700691549E-5</v>
      </c>
      <c r="N40">
        <v>1E-4</v>
      </c>
      <c r="O40">
        <v>3000</v>
      </c>
      <c r="T40">
        <v>0.1359756669553438</v>
      </c>
      <c r="U40">
        <v>1.2077244210816229</v>
      </c>
      <c r="V40">
        <v>2.7492654559773451</v>
      </c>
      <c r="W40">
        <v>9.6469999999999993E-3</v>
      </c>
      <c r="X40">
        <v>8.5518540000000005</v>
      </c>
      <c r="Y40">
        <v>7.1656500000000003</v>
      </c>
      <c r="Z40">
        <v>44.150669999999998</v>
      </c>
      <c r="AA40">
        <v>42.528283999999999</v>
      </c>
      <c r="AB40">
        <v>1E-4</v>
      </c>
      <c r="AC40">
        <v>2.9393355212587058</v>
      </c>
      <c r="AD40">
        <v>0.54244360620199983</v>
      </c>
      <c r="AE40">
        <v>1.6426339999999999</v>
      </c>
      <c r="AF40">
        <v>0.40411122050813453</v>
      </c>
      <c r="AG40">
        <v>0.44339809679893338</v>
      </c>
    </row>
    <row r="41" spans="1:33" x14ac:dyDescent="0.3">
      <c r="A41">
        <v>40</v>
      </c>
      <c r="B41" t="s">
        <v>152</v>
      </c>
      <c r="C41">
        <v>13846.7761362</v>
      </c>
      <c r="D41">
        <v>230.77960227</v>
      </c>
      <c r="E41" t="s">
        <v>153</v>
      </c>
      <c r="F41" t="s">
        <v>35</v>
      </c>
      <c r="G41" t="s">
        <v>154</v>
      </c>
      <c r="H41" t="s">
        <v>37</v>
      </c>
      <c r="I41">
        <v>2.536539985805418E-2</v>
      </c>
      <c r="J41">
        <v>0</v>
      </c>
      <c r="K41" t="s">
        <v>14</v>
      </c>
      <c r="L41">
        <v>545</v>
      </c>
      <c r="M41">
        <v>8.5307801128211352E-5</v>
      </c>
      <c r="N41">
        <v>1E-4</v>
      </c>
      <c r="O41">
        <v>3000</v>
      </c>
      <c r="T41">
        <v>0.13037461209861351</v>
      </c>
      <c r="U41">
        <v>2.9990983245261522</v>
      </c>
      <c r="V41">
        <v>0.19024970648280681</v>
      </c>
      <c r="W41">
        <v>9.6469999999999993E-3</v>
      </c>
      <c r="X41">
        <v>8.5518540000000005</v>
      </c>
      <c r="Y41">
        <v>7.1656500000000003</v>
      </c>
      <c r="Z41">
        <v>44.150669999999998</v>
      </c>
      <c r="AA41">
        <v>42.528283999999999</v>
      </c>
      <c r="AB41">
        <v>1E-4</v>
      </c>
      <c r="AC41">
        <v>5.5519419204908083</v>
      </c>
      <c r="AD41">
        <v>0.99988864820782386</v>
      </c>
      <c r="AE41">
        <v>1.6426339999999999</v>
      </c>
      <c r="AF41">
        <v>0.63989909300625203</v>
      </c>
      <c r="AG41">
        <v>0.100003480751062</v>
      </c>
    </row>
    <row r="42" spans="1:33" x14ac:dyDescent="0.3">
      <c r="A42">
        <v>41</v>
      </c>
      <c r="B42" t="s">
        <v>155</v>
      </c>
      <c r="C42">
        <v>18719.35781500005</v>
      </c>
      <c r="D42">
        <v>311.98929691666763</v>
      </c>
      <c r="E42" t="s">
        <v>156</v>
      </c>
      <c r="F42" t="s">
        <v>35</v>
      </c>
      <c r="G42" t="s">
        <v>157</v>
      </c>
      <c r="H42" t="s">
        <v>37</v>
      </c>
      <c r="I42">
        <v>3.6246139784788738E-2</v>
      </c>
      <c r="J42">
        <v>0</v>
      </c>
      <c r="K42" t="s">
        <v>14</v>
      </c>
      <c r="L42">
        <v>368</v>
      </c>
      <c r="M42">
        <v>9.8345836645852161E-5</v>
      </c>
      <c r="N42">
        <v>1E-4</v>
      </c>
      <c r="O42">
        <v>3000</v>
      </c>
      <c r="T42">
        <v>0.57752332244897775</v>
      </c>
      <c r="U42">
        <v>1.66130228696973</v>
      </c>
      <c r="V42">
        <v>2.8064492199273641</v>
      </c>
      <c r="W42">
        <v>9.6469999999999993E-3</v>
      </c>
      <c r="X42">
        <v>8.5518540000000005</v>
      </c>
      <c r="Y42">
        <v>7.1656500000000003</v>
      </c>
      <c r="Z42">
        <v>44.150669999999998</v>
      </c>
      <c r="AA42">
        <v>42.528283999999999</v>
      </c>
      <c r="AB42">
        <v>1E-4</v>
      </c>
      <c r="AC42">
        <v>2.5523096462554031</v>
      </c>
      <c r="AD42">
        <v>0.6524331565562036</v>
      </c>
      <c r="AE42">
        <v>1.6426339999999999</v>
      </c>
      <c r="AF42">
        <v>0.62554233314690944</v>
      </c>
      <c r="AG42">
        <v>0.32930354055451472</v>
      </c>
    </row>
    <row r="43" spans="1:33" x14ac:dyDescent="0.3">
      <c r="A43">
        <v>42</v>
      </c>
      <c r="B43" t="s">
        <v>158</v>
      </c>
      <c r="C43">
        <v>12090.978558199949</v>
      </c>
      <c r="D43">
        <v>201.51630930333241</v>
      </c>
      <c r="E43" t="s">
        <v>159</v>
      </c>
      <c r="F43" t="s">
        <v>35</v>
      </c>
      <c r="G43" t="s">
        <v>160</v>
      </c>
      <c r="H43" t="s">
        <v>37</v>
      </c>
      <c r="I43">
        <v>8.8008252518393913E-3</v>
      </c>
      <c r="J43">
        <v>0</v>
      </c>
      <c r="K43" t="s">
        <v>14</v>
      </c>
      <c r="L43">
        <v>242</v>
      </c>
      <c r="M43">
        <v>9.956494080706589E-5</v>
      </c>
      <c r="N43">
        <v>1E-4</v>
      </c>
      <c r="O43">
        <v>3000</v>
      </c>
      <c r="T43">
        <v>4.9713069633522372E-2</v>
      </c>
      <c r="U43">
        <v>6.5977463672493366</v>
      </c>
      <c r="V43">
        <v>0.31311858046653779</v>
      </c>
      <c r="W43">
        <v>9.6469999999999993E-3</v>
      </c>
      <c r="X43">
        <v>8.5518540000000005</v>
      </c>
      <c r="Y43">
        <v>7.1656500000000003</v>
      </c>
      <c r="Z43">
        <v>44.150669999999998</v>
      </c>
      <c r="AA43">
        <v>42.528283999999999</v>
      </c>
      <c r="AB43">
        <v>1E-4</v>
      </c>
      <c r="AC43">
        <v>5.4377300307475114</v>
      </c>
      <c r="AD43">
        <v>0.37203381820939702</v>
      </c>
      <c r="AE43">
        <v>1.6426339999999999</v>
      </c>
      <c r="AF43">
        <v>0.55232036777290161</v>
      </c>
      <c r="AG43">
        <v>0.16099309977936019</v>
      </c>
    </row>
    <row r="44" spans="1:33" x14ac:dyDescent="0.3">
      <c r="A44">
        <v>43</v>
      </c>
      <c r="B44" t="s">
        <v>161</v>
      </c>
      <c r="C44">
        <v>18989.932084700031</v>
      </c>
      <c r="D44">
        <v>316.49886807833389</v>
      </c>
      <c r="E44" t="s">
        <v>162</v>
      </c>
      <c r="F44" t="s">
        <v>35</v>
      </c>
      <c r="G44" t="s">
        <v>163</v>
      </c>
      <c r="H44" t="s">
        <v>37</v>
      </c>
      <c r="I44">
        <v>1.6314150010495201E-2</v>
      </c>
      <c r="J44">
        <v>0</v>
      </c>
      <c r="K44" t="s">
        <v>14</v>
      </c>
      <c r="L44">
        <v>3001</v>
      </c>
      <c r="M44">
        <v>3.531258613098696E-4</v>
      </c>
      <c r="N44">
        <v>1E-4</v>
      </c>
      <c r="O44">
        <v>3000</v>
      </c>
      <c r="T44">
        <v>3.7111673490320622E-2</v>
      </c>
      <c r="U44">
        <v>6.5818128854750508</v>
      </c>
      <c r="V44">
        <v>1.1073073121699619</v>
      </c>
      <c r="W44">
        <v>9.6469999999999993E-3</v>
      </c>
      <c r="X44">
        <v>8.5518540000000005</v>
      </c>
      <c r="Y44">
        <v>7.1656500000000003</v>
      </c>
      <c r="Z44">
        <v>44.150669999999998</v>
      </c>
      <c r="AA44">
        <v>42.528283999999999</v>
      </c>
      <c r="AB44">
        <v>1E-4</v>
      </c>
      <c r="AC44">
        <v>3.853162958204702</v>
      </c>
      <c r="AD44">
        <v>0.5561711208575485</v>
      </c>
      <c r="AE44">
        <v>1.6426339999999999</v>
      </c>
      <c r="AF44">
        <v>0.45734700779106402</v>
      </c>
      <c r="AG44">
        <v>0.30097147464853968</v>
      </c>
    </row>
    <row r="45" spans="1:33" x14ac:dyDescent="0.3">
      <c r="A45">
        <v>44</v>
      </c>
      <c r="B45" t="s">
        <v>164</v>
      </c>
      <c r="C45">
        <v>24786.473786599989</v>
      </c>
      <c r="D45">
        <v>413.10789644333317</v>
      </c>
      <c r="E45" t="s">
        <v>165</v>
      </c>
      <c r="F45" t="s">
        <v>35</v>
      </c>
      <c r="G45" t="s">
        <v>166</v>
      </c>
      <c r="H45" t="s">
        <v>37</v>
      </c>
      <c r="I45">
        <v>1.0003044111750939E-2</v>
      </c>
      <c r="J45">
        <v>0</v>
      </c>
      <c r="K45" t="s">
        <v>14</v>
      </c>
      <c r="L45">
        <v>2336</v>
      </c>
      <c r="M45">
        <v>9.4838676435224324E-5</v>
      </c>
      <c r="N45">
        <v>1E-4</v>
      </c>
      <c r="O45">
        <v>3000</v>
      </c>
      <c r="T45">
        <v>0.1079931138950458</v>
      </c>
      <c r="U45">
        <v>1.728289082338875</v>
      </c>
      <c r="V45">
        <v>4.2993726803987578</v>
      </c>
      <c r="W45">
        <v>9.6469999999999993E-3</v>
      </c>
      <c r="X45">
        <v>8.5518540000000005</v>
      </c>
      <c r="Y45">
        <v>7.1656500000000003</v>
      </c>
      <c r="Z45">
        <v>44.150669999999998</v>
      </c>
      <c r="AA45">
        <v>42.528283999999999</v>
      </c>
      <c r="AB45">
        <v>1E-4</v>
      </c>
      <c r="AC45">
        <v>1.9108034117474511</v>
      </c>
      <c r="AD45">
        <v>0.1731438874098615</v>
      </c>
      <c r="AE45">
        <v>1.6426339999999999</v>
      </c>
      <c r="AF45">
        <v>0.35409572834679381</v>
      </c>
      <c r="AG45">
        <v>0.51800295285361286</v>
      </c>
    </row>
    <row r="46" spans="1:33" x14ac:dyDescent="0.3">
      <c r="A46">
        <v>45</v>
      </c>
      <c r="B46" t="s">
        <v>167</v>
      </c>
      <c r="C46">
        <v>16503.990401200019</v>
      </c>
      <c r="D46">
        <v>275.06650668666703</v>
      </c>
      <c r="E46" t="s">
        <v>168</v>
      </c>
      <c r="F46" t="s">
        <v>35</v>
      </c>
      <c r="G46" t="s">
        <v>169</v>
      </c>
      <c r="H46" t="s">
        <v>37</v>
      </c>
      <c r="I46">
        <v>1.9023041442677021E-2</v>
      </c>
      <c r="J46">
        <v>0</v>
      </c>
      <c r="K46" t="s">
        <v>14</v>
      </c>
      <c r="L46">
        <v>940</v>
      </c>
      <c r="M46">
        <v>9.379461023133869E-5</v>
      </c>
      <c r="N46">
        <v>1E-4</v>
      </c>
      <c r="O46">
        <v>3000</v>
      </c>
      <c r="T46">
        <v>7.6338007895285567E-2</v>
      </c>
      <c r="U46">
        <v>2.1484320279473619</v>
      </c>
      <c r="V46">
        <v>1.475429098981929</v>
      </c>
      <c r="W46">
        <v>9.6469999999999993E-3</v>
      </c>
      <c r="X46">
        <v>8.5518540000000005</v>
      </c>
      <c r="Y46">
        <v>7.1656500000000003</v>
      </c>
      <c r="Z46">
        <v>44.150669999999998</v>
      </c>
      <c r="AA46">
        <v>42.528283999999999</v>
      </c>
      <c r="AB46">
        <v>1E-4</v>
      </c>
      <c r="AC46">
        <v>3.7618758667714789</v>
      </c>
      <c r="AD46">
        <v>0.99439372698298123</v>
      </c>
      <c r="AE46">
        <v>1.6426339999999999</v>
      </c>
      <c r="AF46">
        <v>0.37729042300840809</v>
      </c>
      <c r="AG46">
        <v>0.45713889274769082</v>
      </c>
    </row>
    <row r="47" spans="1:33" x14ac:dyDescent="0.3">
      <c r="A47">
        <v>46</v>
      </c>
      <c r="B47" t="s">
        <v>170</v>
      </c>
      <c r="C47">
        <v>8646.3214053999982</v>
      </c>
      <c r="D47">
        <v>144.10535675666659</v>
      </c>
      <c r="E47" t="s">
        <v>171</v>
      </c>
      <c r="F47" t="s">
        <v>35</v>
      </c>
      <c r="G47" t="s">
        <v>172</v>
      </c>
      <c r="H47" t="s">
        <v>37</v>
      </c>
      <c r="I47">
        <v>2.6580167883440298E-2</v>
      </c>
      <c r="J47">
        <v>0</v>
      </c>
      <c r="K47" t="s">
        <v>14</v>
      </c>
      <c r="L47">
        <v>165</v>
      </c>
      <c r="M47">
        <v>9.8347257197603234E-5</v>
      </c>
      <c r="N47">
        <v>1E-4</v>
      </c>
      <c r="O47">
        <v>3000</v>
      </c>
      <c r="T47">
        <v>9.5371729442421352E-2</v>
      </c>
      <c r="U47">
        <v>5.3417965560104061</v>
      </c>
      <c r="V47">
        <v>0.29185520463689879</v>
      </c>
      <c r="W47">
        <v>9.6469999999999993E-3</v>
      </c>
      <c r="X47">
        <v>8.5518540000000005</v>
      </c>
      <c r="Y47">
        <v>7.1656500000000003</v>
      </c>
      <c r="Z47">
        <v>44.150669999999998</v>
      </c>
      <c r="AA47">
        <v>42.528283999999999</v>
      </c>
      <c r="AB47">
        <v>1E-4</v>
      </c>
      <c r="AC47">
        <v>3.9691047816148899</v>
      </c>
      <c r="AD47">
        <v>0.99957490285693673</v>
      </c>
      <c r="AE47">
        <v>1.6426339999999999</v>
      </c>
      <c r="AF47">
        <v>0.66077463465516251</v>
      </c>
      <c r="AG47">
        <v>0.1000050148419402</v>
      </c>
    </row>
    <row r="48" spans="1:33" x14ac:dyDescent="0.3">
      <c r="A48">
        <v>47</v>
      </c>
      <c r="B48" t="s">
        <v>173</v>
      </c>
      <c r="C48">
        <v>6941.031269100029</v>
      </c>
      <c r="D48">
        <v>115.6838544850005</v>
      </c>
      <c r="E48" t="s">
        <v>174</v>
      </c>
      <c r="F48" t="s">
        <v>35</v>
      </c>
      <c r="G48" t="s">
        <v>175</v>
      </c>
      <c r="H48" t="s">
        <v>37</v>
      </c>
      <c r="I48">
        <v>1.194849876928167E-2</v>
      </c>
      <c r="J48">
        <v>0</v>
      </c>
      <c r="K48" t="s">
        <v>14</v>
      </c>
      <c r="L48">
        <v>261</v>
      </c>
      <c r="M48">
        <v>9.610442217277581E-5</v>
      </c>
      <c r="N48">
        <v>1E-4</v>
      </c>
      <c r="O48">
        <v>3000</v>
      </c>
      <c r="T48">
        <v>4.4611724074754201E-2</v>
      </c>
      <c r="U48">
        <v>8.6715172891943784</v>
      </c>
      <c r="V48">
        <v>0.78540916525045068</v>
      </c>
      <c r="W48">
        <v>9.6469999999999993E-3</v>
      </c>
      <c r="X48">
        <v>8.5518540000000005</v>
      </c>
      <c r="Y48">
        <v>7.1656500000000003</v>
      </c>
      <c r="Z48">
        <v>44.150669999999998</v>
      </c>
      <c r="AA48">
        <v>42.528283999999999</v>
      </c>
      <c r="AB48">
        <v>1E-4</v>
      </c>
      <c r="AC48">
        <v>3.0887805327998801</v>
      </c>
      <c r="AD48">
        <v>0.63577382502144675</v>
      </c>
      <c r="AE48">
        <v>1.6426339999999999</v>
      </c>
      <c r="AF48">
        <v>0.53810147502254213</v>
      </c>
      <c r="AG48">
        <v>0.21795264160310901</v>
      </c>
    </row>
    <row r="49" spans="1:33" x14ac:dyDescent="0.3">
      <c r="A49">
        <v>48</v>
      </c>
      <c r="B49" t="s">
        <v>176</v>
      </c>
      <c r="C49">
        <v>9781.6516631999984</v>
      </c>
      <c r="D49">
        <v>163.02752771999999</v>
      </c>
      <c r="E49" t="s">
        <v>177</v>
      </c>
      <c r="F49" t="s">
        <v>35</v>
      </c>
      <c r="G49" t="s">
        <v>178</v>
      </c>
      <c r="H49" t="s">
        <v>37</v>
      </c>
      <c r="I49">
        <v>2.6623449290692811E-2</v>
      </c>
      <c r="J49">
        <v>0</v>
      </c>
      <c r="K49" t="s">
        <v>14</v>
      </c>
      <c r="L49">
        <v>423</v>
      </c>
      <c r="M49">
        <v>8.1032135582779046E-5</v>
      </c>
      <c r="N49">
        <v>1E-4</v>
      </c>
      <c r="O49">
        <v>3000</v>
      </c>
      <c r="T49">
        <v>9.5281571547884178E-2</v>
      </c>
      <c r="U49">
        <v>3.331226214473054</v>
      </c>
      <c r="V49">
        <v>9.9367311695043021</v>
      </c>
      <c r="W49">
        <v>9.6469999999999993E-3</v>
      </c>
      <c r="X49">
        <v>8.5518540000000005</v>
      </c>
      <c r="Y49">
        <v>7.1656500000000003</v>
      </c>
      <c r="Z49">
        <v>44.150669999999998</v>
      </c>
      <c r="AA49">
        <v>42.528283999999999</v>
      </c>
      <c r="AB49">
        <v>1E-4</v>
      </c>
      <c r="AC49">
        <v>1.3428594002424179</v>
      </c>
      <c r="AD49">
        <v>0.99223058602201264</v>
      </c>
      <c r="AE49">
        <v>1.6426339999999999</v>
      </c>
      <c r="AF49">
        <v>0.59821293014856636</v>
      </c>
      <c r="AG49">
        <v>0.36451007621972331</v>
      </c>
    </row>
    <row r="50" spans="1:33" x14ac:dyDescent="0.3">
      <c r="A50">
        <v>49</v>
      </c>
      <c r="B50" t="s">
        <v>179</v>
      </c>
      <c r="C50">
        <v>9371.0296170999645</v>
      </c>
      <c r="D50">
        <v>156.18382695166611</v>
      </c>
      <c r="E50" t="s">
        <v>180</v>
      </c>
      <c r="F50" t="s">
        <v>35</v>
      </c>
      <c r="G50" t="s">
        <v>181</v>
      </c>
      <c r="H50" t="s">
        <v>37</v>
      </c>
      <c r="I50">
        <v>2.5088682414831209E-2</v>
      </c>
      <c r="J50">
        <v>0</v>
      </c>
      <c r="K50" t="s">
        <v>14</v>
      </c>
      <c r="L50">
        <v>321</v>
      </c>
      <c r="M50">
        <v>9.4901856563863355E-5</v>
      </c>
      <c r="N50">
        <v>1E-4</v>
      </c>
      <c r="O50">
        <v>3000</v>
      </c>
      <c r="T50">
        <v>4.9643664583569523E-2</v>
      </c>
      <c r="U50">
        <v>2.9722745354726041</v>
      </c>
      <c r="V50">
        <v>5.4297146770707574</v>
      </c>
      <c r="W50">
        <v>9.6469999999999993E-3</v>
      </c>
      <c r="X50">
        <v>8.5518540000000005</v>
      </c>
      <c r="Y50">
        <v>7.1656500000000003</v>
      </c>
      <c r="Z50">
        <v>44.150669999999998</v>
      </c>
      <c r="AA50">
        <v>42.528283999999999</v>
      </c>
      <c r="AB50">
        <v>1E-4</v>
      </c>
      <c r="AC50">
        <v>1.127648468367126</v>
      </c>
      <c r="AD50">
        <v>0.80815535727297716</v>
      </c>
      <c r="AE50">
        <v>1.6426339999999999</v>
      </c>
      <c r="AF50">
        <v>0.36345241980061638</v>
      </c>
      <c r="AG50">
        <v>0.42112222077518813</v>
      </c>
    </row>
    <row r="51" spans="1:33" x14ac:dyDescent="0.3">
      <c r="A51">
        <v>50</v>
      </c>
      <c r="B51" t="s">
        <v>182</v>
      </c>
      <c r="C51">
        <v>14771.834517899961</v>
      </c>
      <c r="D51">
        <v>246.19724196499931</v>
      </c>
      <c r="E51" t="s">
        <v>183</v>
      </c>
      <c r="F51" t="s">
        <v>35</v>
      </c>
      <c r="G51" t="s">
        <v>184</v>
      </c>
      <c r="H51" t="s">
        <v>37</v>
      </c>
      <c r="I51">
        <v>1.8079349947727929E-2</v>
      </c>
      <c r="J51">
        <v>0</v>
      </c>
      <c r="K51" t="s">
        <v>14</v>
      </c>
      <c r="L51">
        <v>1619</v>
      </c>
      <c r="M51">
        <v>9.7776949008474202E-5</v>
      </c>
      <c r="N51">
        <v>1E-4</v>
      </c>
      <c r="O51">
        <v>3000</v>
      </c>
      <c r="T51">
        <v>0.1033758665619207</v>
      </c>
      <c r="U51">
        <v>3.4894102345850828</v>
      </c>
      <c r="V51">
        <v>1.316810436714732</v>
      </c>
      <c r="W51">
        <v>9.6469999999999993E-3</v>
      </c>
      <c r="X51">
        <v>8.5518540000000005</v>
      </c>
      <c r="Y51">
        <v>7.1656500000000003</v>
      </c>
      <c r="Z51">
        <v>44.150669999999998</v>
      </c>
      <c r="AA51">
        <v>42.528283999999999</v>
      </c>
      <c r="AB51">
        <v>1E-4</v>
      </c>
      <c r="AC51">
        <v>3.2706060034619742</v>
      </c>
      <c r="AD51">
        <v>0.99997920336769752</v>
      </c>
      <c r="AE51">
        <v>1.6426339999999999</v>
      </c>
      <c r="AF51">
        <v>0.54384241433488878</v>
      </c>
      <c r="AG51">
        <v>0.33642100846641448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ED38-DB97-4B93-B396-311E91E46429}">
  <sheetPr codeName="Hoja2"/>
  <dimension ref="A1:AH78"/>
  <sheetViews>
    <sheetView topLeftCell="M1" workbookViewId="0">
      <selection activeCell="V19" sqref="V19"/>
    </sheetView>
  </sheetViews>
  <sheetFormatPr baseColWidth="10" defaultColWidth="8.88671875" defaultRowHeight="14.4" x14ac:dyDescent="0.3"/>
  <cols>
    <col min="16" max="19" width="0" hidden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4" x14ac:dyDescent="0.3">
      <c r="A2">
        <v>1</v>
      </c>
      <c r="B2" t="s">
        <v>33</v>
      </c>
      <c r="C2">
        <v>21532.821246699979</v>
      </c>
      <c r="D2">
        <v>358.88035411166641</v>
      </c>
      <c r="E2" t="s">
        <v>34</v>
      </c>
      <c r="F2" t="s">
        <v>35</v>
      </c>
      <c r="G2" t="s">
        <v>36</v>
      </c>
      <c r="H2" t="s">
        <v>37</v>
      </c>
      <c r="I2">
        <v>1.383836386357711E-2</v>
      </c>
      <c r="J2">
        <v>0</v>
      </c>
      <c r="K2" t="s">
        <v>14</v>
      </c>
      <c r="L2">
        <v>696</v>
      </c>
      <c r="M2">
        <v>8.185283822881637E-5</v>
      </c>
      <c r="N2">
        <v>1E-4</v>
      </c>
      <c r="O2">
        <v>3000</v>
      </c>
      <c r="T2">
        <v>7.9591669120431585E-2</v>
      </c>
      <c r="U2">
        <v>1.2775896728366729</v>
      </c>
      <c r="V2">
        <v>7.5802309025826844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2.1607735069316112</v>
      </c>
      <c r="AD2">
        <v>0.82252605860305728</v>
      </c>
      <c r="AE2">
        <v>1.6426339999999999</v>
      </c>
      <c r="AF2">
        <v>0.35680740547586048</v>
      </c>
      <c r="AG2">
        <v>0.45267027933618659</v>
      </c>
      <c r="AH2">
        <v>1</v>
      </c>
    </row>
    <row r="3" spans="1:34" x14ac:dyDescent="0.3">
      <c r="A3">
        <v>2</v>
      </c>
      <c r="B3" t="s">
        <v>38</v>
      </c>
      <c r="C3">
        <v>13723.09800200001</v>
      </c>
      <c r="D3">
        <v>228.71830003333349</v>
      </c>
      <c r="E3" t="s">
        <v>39</v>
      </c>
      <c r="F3" t="s">
        <v>35</v>
      </c>
      <c r="G3" t="s">
        <v>40</v>
      </c>
      <c r="H3" t="s">
        <v>37</v>
      </c>
      <c r="I3">
        <v>2.215953604856552E-2</v>
      </c>
      <c r="J3">
        <v>0</v>
      </c>
      <c r="K3" t="s">
        <v>14</v>
      </c>
      <c r="L3">
        <v>887</v>
      </c>
      <c r="M3">
        <v>7.024331252581321E-5</v>
      </c>
      <c r="N3">
        <v>1E-4</v>
      </c>
      <c r="O3">
        <v>3000</v>
      </c>
      <c r="T3">
        <v>9.8766372635100658E-2</v>
      </c>
      <c r="U3">
        <v>3.6465402710403638</v>
      </c>
      <c r="V3">
        <v>8.2205194458374589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1.1816009681183359</v>
      </c>
      <c r="AD3">
        <v>0.88822287194601712</v>
      </c>
      <c r="AE3">
        <v>1.6426339999999999</v>
      </c>
      <c r="AF3">
        <v>0.53209866830297281</v>
      </c>
      <c r="AG3">
        <v>0.39887350963340551</v>
      </c>
      <c r="AH3">
        <v>1</v>
      </c>
    </row>
    <row r="4" spans="1:34" x14ac:dyDescent="0.3">
      <c r="A4">
        <v>3</v>
      </c>
      <c r="B4" t="s">
        <v>41</v>
      </c>
      <c r="C4">
        <v>16460.32268909999</v>
      </c>
      <c r="D4">
        <v>274.33871148499992</v>
      </c>
      <c r="E4" t="s">
        <v>42</v>
      </c>
      <c r="F4" t="s">
        <v>35</v>
      </c>
      <c r="G4" t="s">
        <v>43</v>
      </c>
      <c r="H4" t="s">
        <v>37</v>
      </c>
      <c r="I4">
        <v>2.7170029073700579E-2</v>
      </c>
      <c r="J4">
        <v>0</v>
      </c>
      <c r="K4" t="s">
        <v>14</v>
      </c>
      <c r="L4">
        <v>1005</v>
      </c>
      <c r="M4">
        <v>9.0988985070517673E-5</v>
      </c>
      <c r="N4">
        <v>1E-4</v>
      </c>
      <c r="O4">
        <v>3000</v>
      </c>
      <c r="T4">
        <v>0.37011382296304352</v>
      </c>
      <c r="U4">
        <v>4.0377609609125411</v>
      </c>
      <c r="V4">
        <v>4.893633921028858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1.019681920031783</v>
      </c>
      <c r="AD4">
        <v>0.84916496649548145</v>
      </c>
      <c r="AE4">
        <v>1.6426339999999999</v>
      </c>
      <c r="AF4">
        <v>0.65144663433556238</v>
      </c>
      <c r="AG4">
        <v>0.2466999560033826</v>
      </c>
      <c r="AH4">
        <v>2</v>
      </c>
    </row>
    <row r="5" spans="1:34" x14ac:dyDescent="0.3">
      <c r="A5">
        <v>4</v>
      </c>
      <c r="B5" t="s">
        <v>44</v>
      </c>
      <c r="C5">
        <v>11892.94603309999</v>
      </c>
      <c r="D5">
        <v>198.2157672183331</v>
      </c>
      <c r="E5" t="s">
        <v>45</v>
      </c>
      <c r="F5" t="s">
        <v>35</v>
      </c>
      <c r="G5" t="s">
        <v>46</v>
      </c>
      <c r="H5" t="s">
        <v>37</v>
      </c>
      <c r="I5">
        <v>3.2932345418400157E-2</v>
      </c>
      <c r="J5">
        <v>0</v>
      </c>
      <c r="K5" t="s">
        <v>14</v>
      </c>
      <c r="L5">
        <v>570</v>
      </c>
      <c r="M5">
        <v>7.8616762310083067E-5</v>
      </c>
      <c r="N5">
        <v>1E-4</v>
      </c>
      <c r="O5">
        <v>3000</v>
      </c>
      <c r="T5">
        <v>0.51836778843463194</v>
      </c>
      <c r="U5">
        <v>1.4647098509224801</v>
      </c>
      <c r="V5">
        <v>4.5605109176630076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2.425115399105819</v>
      </c>
      <c r="AD5">
        <v>0.72470652287394666</v>
      </c>
      <c r="AE5">
        <v>1.6426339999999999</v>
      </c>
      <c r="AF5">
        <v>0.52726656750367029</v>
      </c>
      <c r="AG5">
        <v>0.3430580459790617</v>
      </c>
      <c r="AH5">
        <v>1</v>
      </c>
    </row>
    <row r="6" spans="1:34" x14ac:dyDescent="0.3">
      <c r="A6">
        <v>5</v>
      </c>
      <c r="B6" t="s">
        <v>47</v>
      </c>
      <c r="C6">
        <v>15098.10594339998</v>
      </c>
      <c r="D6">
        <v>251.63509905666629</v>
      </c>
      <c r="E6" t="s">
        <v>48</v>
      </c>
      <c r="F6" t="s">
        <v>35</v>
      </c>
      <c r="G6" t="s">
        <v>49</v>
      </c>
      <c r="H6" t="s">
        <v>37</v>
      </c>
      <c r="I6">
        <v>1.3606320218398429E-2</v>
      </c>
      <c r="J6">
        <v>0</v>
      </c>
      <c r="K6" t="s">
        <v>14</v>
      </c>
      <c r="L6">
        <v>136</v>
      </c>
      <c r="M6">
        <v>9.8399779378960679E-5</v>
      </c>
      <c r="N6">
        <v>1E-4</v>
      </c>
      <c r="O6">
        <v>3000</v>
      </c>
      <c r="T6" s="2">
        <v>6.472871915222754E-2</v>
      </c>
      <c r="U6" s="2">
        <v>3.9702093993711252</v>
      </c>
      <c r="V6" s="2">
        <v>1.180538637321028</v>
      </c>
      <c r="W6" s="2">
        <v>9.6469999999999993E-3</v>
      </c>
      <c r="X6" s="2">
        <v>8.5518540000000005</v>
      </c>
      <c r="Y6" s="2">
        <v>7.1656500000000003</v>
      </c>
      <c r="Z6" s="2">
        <v>44.150669999999998</v>
      </c>
      <c r="AA6" s="2">
        <v>42.528283999999999</v>
      </c>
      <c r="AB6" s="2">
        <v>1E-4</v>
      </c>
      <c r="AC6" s="2">
        <v>1.7779311466140399</v>
      </c>
      <c r="AD6" s="2">
        <v>0.21868182914115469</v>
      </c>
      <c r="AE6" s="2">
        <v>1.6426339999999999</v>
      </c>
      <c r="AF6" s="2">
        <v>0.50789262577800998</v>
      </c>
      <c r="AG6" s="2">
        <v>0.24431553740673689</v>
      </c>
    </row>
    <row r="7" spans="1:34" x14ac:dyDescent="0.3">
      <c r="A7">
        <v>6</v>
      </c>
      <c r="B7" t="s">
        <v>50</v>
      </c>
      <c r="C7">
        <v>13495.663089799989</v>
      </c>
      <c r="D7">
        <v>224.92771816333311</v>
      </c>
      <c r="E7" t="s">
        <v>51</v>
      </c>
      <c r="F7" t="s">
        <v>35</v>
      </c>
      <c r="G7" t="s">
        <v>52</v>
      </c>
      <c r="H7" t="s">
        <v>37</v>
      </c>
      <c r="I7">
        <v>3.0229030348613531E-2</v>
      </c>
      <c r="J7">
        <v>0</v>
      </c>
      <c r="K7" t="s">
        <v>14</v>
      </c>
      <c r="L7">
        <v>355</v>
      </c>
      <c r="M7">
        <v>9.5006492752152603E-5</v>
      </c>
      <c r="N7">
        <v>1E-4</v>
      </c>
      <c r="O7">
        <v>3000</v>
      </c>
      <c r="T7" s="2">
        <v>0.1157248521841775</v>
      </c>
      <c r="U7" s="2">
        <v>3.9483938391554938</v>
      </c>
      <c r="V7" s="2">
        <v>0.38672266013306461</v>
      </c>
      <c r="W7" s="2">
        <v>9.6469999999999993E-3</v>
      </c>
      <c r="X7" s="2">
        <v>8.5518540000000005</v>
      </c>
      <c r="Y7" s="2">
        <v>7.1656500000000003</v>
      </c>
      <c r="Z7" s="2">
        <v>44.150669999999998</v>
      </c>
      <c r="AA7" s="2">
        <v>42.528283999999999</v>
      </c>
      <c r="AB7" s="2">
        <v>1E-4</v>
      </c>
      <c r="AC7" s="2">
        <v>3.255620818675057</v>
      </c>
      <c r="AD7" s="2">
        <v>0.99829186819717619</v>
      </c>
      <c r="AE7" s="2">
        <v>1.6426339999999999</v>
      </c>
      <c r="AF7" s="2">
        <v>0.6034988410088048</v>
      </c>
      <c r="AG7" s="2">
        <v>0.113896957025405</v>
      </c>
    </row>
    <row r="8" spans="1:34" x14ac:dyDescent="0.3">
      <c r="A8">
        <v>7</v>
      </c>
      <c r="B8" t="s">
        <v>53</v>
      </c>
      <c r="C8">
        <v>17343.553537199969</v>
      </c>
      <c r="D8">
        <v>289.05922561999961</v>
      </c>
      <c r="E8" t="s">
        <v>54</v>
      </c>
      <c r="F8" t="s">
        <v>35</v>
      </c>
      <c r="G8" t="s">
        <v>55</v>
      </c>
      <c r="H8" t="s">
        <v>37</v>
      </c>
      <c r="I8">
        <v>2.949173099146854E-2</v>
      </c>
      <c r="J8">
        <v>0</v>
      </c>
      <c r="K8" t="s">
        <v>14</v>
      </c>
      <c r="L8">
        <v>491</v>
      </c>
      <c r="M8">
        <v>9.5276271585833304E-5</v>
      </c>
      <c r="N8">
        <v>1E-4</v>
      </c>
      <c r="O8">
        <v>3000</v>
      </c>
      <c r="T8">
        <v>0.2472338620818213</v>
      </c>
      <c r="U8">
        <v>1.263156339572632</v>
      </c>
      <c r="V8">
        <v>5.1083127893955114</v>
      </c>
      <c r="W8">
        <v>9.6469999999999993E-3</v>
      </c>
      <c r="X8">
        <v>8.5518540000000005</v>
      </c>
      <c r="Y8">
        <v>7.1656500000000003</v>
      </c>
      <c r="Z8">
        <v>44.150669999999998</v>
      </c>
      <c r="AA8">
        <v>42.528283999999999</v>
      </c>
      <c r="AB8">
        <v>1E-4</v>
      </c>
      <c r="AC8">
        <v>2.629510266844215</v>
      </c>
      <c r="AD8">
        <v>0.58836422403116395</v>
      </c>
      <c r="AE8">
        <v>1.6426339999999999</v>
      </c>
      <c r="AF8">
        <v>0.69227653247292043</v>
      </c>
      <c r="AG8">
        <v>0.34393317151587521</v>
      </c>
      <c r="AH8">
        <v>1</v>
      </c>
    </row>
    <row r="9" spans="1:34" x14ac:dyDescent="0.3">
      <c r="A9">
        <v>8</v>
      </c>
      <c r="B9" t="s">
        <v>56</v>
      </c>
      <c r="C9">
        <v>15002.84113319998</v>
      </c>
      <c r="D9">
        <v>250.04735221999971</v>
      </c>
      <c r="E9" t="s">
        <v>57</v>
      </c>
      <c r="F9" t="s">
        <v>35</v>
      </c>
      <c r="G9" t="s">
        <v>58</v>
      </c>
      <c r="H9" t="s">
        <v>37</v>
      </c>
      <c r="I9">
        <v>1.929738615317832E-2</v>
      </c>
      <c r="J9">
        <v>0</v>
      </c>
      <c r="K9" t="s">
        <v>14</v>
      </c>
      <c r="L9">
        <v>1051</v>
      </c>
      <c r="M9">
        <v>9.4129634067320533E-5</v>
      </c>
      <c r="N9">
        <v>1E-4</v>
      </c>
      <c r="O9">
        <v>3000</v>
      </c>
      <c r="T9" s="2">
        <v>8.7481495012858304E-2</v>
      </c>
      <c r="U9" s="2">
        <v>1.4461727354296821</v>
      </c>
      <c r="V9" s="2">
        <v>5.3414239314315353</v>
      </c>
      <c r="W9" s="2">
        <v>9.6469999999999993E-3</v>
      </c>
      <c r="X9" s="2">
        <v>8.5518540000000005</v>
      </c>
      <c r="Y9" s="2">
        <v>7.1656500000000003</v>
      </c>
      <c r="Z9" s="2">
        <v>44.150669999999998</v>
      </c>
      <c r="AA9" s="2">
        <v>42.528283999999999</v>
      </c>
      <c r="AB9" s="2">
        <v>1E-4</v>
      </c>
      <c r="AC9" s="2">
        <v>3.754208637255438</v>
      </c>
      <c r="AD9" s="2">
        <v>0.94292399766561574</v>
      </c>
      <c r="AE9" s="2">
        <v>1.6426339999999999</v>
      </c>
      <c r="AF9" s="2">
        <v>0.57997025002292379</v>
      </c>
      <c r="AG9" s="2">
        <v>0.33046316687705829</v>
      </c>
    </row>
    <row r="10" spans="1:34" x14ac:dyDescent="0.3">
      <c r="A10">
        <v>9</v>
      </c>
      <c r="B10" t="s">
        <v>59</v>
      </c>
      <c r="C10">
        <v>21327.64941950003</v>
      </c>
      <c r="D10">
        <v>355.46082365833382</v>
      </c>
      <c r="E10" t="s">
        <v>60</v>
      </c>
      <c r="F10" t="s">
        <v>35</v>
      </c>
      <c r="G10" t="s">
        <v>61</v>
      </c>
      <c r="H10" t="s">
        <v>37</v>
      </c>
      <c r="I10">
        <v>1.586158086551305E-2</v>
      </c>
      <c r="J10">
        <v>0</v>
      </c>
      <c r="K10" t="s">
        <v>14</v>
      </c>
      <c r="L10">
        <v>891</v>
      </c>
      <c r="M10">
        <v>8.9575734519545429E-5</v>
      </c>
      <c r="N10">
        <v>1E-4</v>
      </c>
      <c r="O10">
        <v>3000</v>
      </c>
      <c r="T10">
        <v>0.16914051832313759</v>
      </c>
      <c r="U10">
        <v>3.5405026676757392</v>
      </c>
      <c r="V10">
        <v>6.512342661209547</v>
      </c>
      <c r="W10">
        <v>9.6469999999999993E-3</v>
      </c>
      <c r="X10">
        <v>8.5518540000000005</v>
      </c>
      <c r="Y10">
        <v>7.1656500000000003</v>
      </c>
      <c r="Z10">
        <v>44.150669999999998</v>
      </c>
      <c r="AA10">
        <v>42.528283999999999</v>
      </c>
      <c r="AB10">
        <v>1E-4</v>
      </c>
      <c r="AC10">
        <v>1.4283796721075921</v>
      </c>
      <c r="AD10">
        <v>0.999987290047613</v>
      </c>
      <c r="AE10">
        <v>1.6426339999999999</v>
      </c>
      <c r="AF10">
        <v>0.54601783945066418</v>
      </c>
      <c r="AG10">
        <v>0.35095067247721079</v>
      </c>
      <c r="AH10">
        <v>2</v>
      </c>
    </row>
    <row r="11" spans="1:34" x14ac:dyDescent="0.3">
      <c r="A11">
        <v>10</v>
      </c>
      <c r="B11" t="s">
        <v>62</v>
      </c>
      <c r="C11">
        <v>31379.76279070001</v>
      </c>
      <c r="D11">
        <v>522.99604651166692</v>
      </c>
      <c r="E11" t="s">
        <v>63</v>
      </c>
      <c r="F11" t="s">
        <v>35</v>
      </c>
      <c r="G11" t="s">
        <v>64</v>
      </c>
      <c r="H11" t="s">
        <v>37</v>
      </c>
      <c r="I11">
        <v>1.1196192493127539E-2</v>
      </c>
      <c r="J11">
        <v>0</v>
      </c>
      <c r="K11" t="s">
        <v>14</v>
      </c>
      <c r="L11">
        <v>2163</v>
      </c>
      <c r="M11">
        <v>9.3818426048656128E-5</v>
      </c>
      <c r="N11">
        <v>1E-4</v>
      </c>
      <c r="O11">
        <v>3000</v>
      </c>
      <c r="T11" s="2">
        <v>0.131711066807083</v>
      </c>
      <c r="U11" s="2">
        <v>1.2803780296643441</v>
      </c>
      <c r="V11" s="2">
        <v>2.7189684162254459</v>
      </c>
      <c r="W11" s="2">
        <v>9.6469999999999993E-3</v>
      </c>
      <c r="X11" s="2">
        <v>8.5518540000000005</v>
      </c>
      <c r="Y11" s="2">
        <v>7.1656500000000003</v>
      </c>
      <c r="Z11" s="2">
        <v>44.150669999999998</v>
      </c>
      <c r="AA11" s="2">
        <v>42.528283999999999</v>
      </c>
      <c r="AB11" s="2">
        <v>1E-4</v>
      </c>
      <c r="AC11" s="2">
        <v>2.5192987561038431</v>
      </c>
      <c r="AD11" s="2">
        <v>0.34308949828818591</v>
      </c>
      <c r="AE11" s="2">
        <v>1.6426339999999999</v>
      </c>
      <c r="AF11" s="2">
        <v>0.39204389479805929</v>
      </c>
      <c r="AG11" s="2">
        <v>0.43880277409739332</v>
      </c>
    </row>
    <row r="12" spans="1:34" x14ac:dyDescent="0.3">
      <c r="A12">
        <v>11</v>
      </c>
      <c r="B12" t="s">
        <v>65</v>
      </c>
      <c r="C12">
        <v>21952.919157899971</v>
      </c>
      <c r="D12">
        <v>365.88198596499961</v>
      </c>
      <c r="E12" t="s">
        <v>66</v>
      </c>
      <c r="F12" t="s">
        <v>35</v>
      </c>
      <c r="G12" t="s">
        <v>67</v>
      </c>
      <c r="H12" t="s">
        <v>37</v>
      </c>
      <c r="I12">
        <v>2.0955927778411879E-2</v>
      </c>
      <c r="J12">
        <v>0</v>
      </c>
      <c r="K12" t="s">
        <v>14</v>
      </c>
      <c r="L12">
        <v>3001</v>
      </c>
      <c r="M12">
        <v>4.5480474266762261E-4</v>
      </c>
      <c r="N12">
        <v>1E-4</v>
      </c>
      <c r="O12">
        <v>3000</v>
      </c>
      <c r="T12">
        <v>8.8032865941792313E-2</v>
      </c>
      <c r="U12">
        <v>4.6400963663017514</v>
      </c>
      <c r="V12">
        <v>0.33911376185990011</v>
      </c>
      <c r="W12">
        <v>9.6469999999999993E-3</v>
      </c>
      <c r="X12">
        <v>8.5518540000000005</v>
      </c>
      <c r="Y12">
        <v>7.1656500000000003</v>
      </c>
      <c r="Z12">
        <v>44.150669999999998</v>
      </c>
      <c r="AA12">
        <v>42.528283999999999</v>
      </c>
      <c r="AB12">
        <v>1E-4</v>
      </c>
      <c r="AC12">
        <v>3.4184327761098738</v>
      </c>
      <c r="AD12">
        <v>0.99989075338987876</v>
      </c>
      <c r="AE12">
        <v>1.6426339999999999</v>
      </c>
      <c r="AF12">
        <v>0.62192843768557216</v>
      </c>
      <c r="AG12">
        <v>0.1000000000096664</v>
      </c>
      <c r="AH12">
        <v>1</v>
      </c>
    </row>
    <row r="13" spans="1:34" x14ac:dyDescent="0.3">
      <c r="A13">
        <v>12</v>
      </c>
      <c r="B13" t="s">
        <v>68</v>
      </c>
      <c r="C13">
        <v>6459.967974899977</v>
      </c>
      <c r="D13">
        <v>107.66613291499959</v>
      </c>
      <c r="E13" t="s">
        <v>69</v>
      </c>
      <c r="F13" t="s">
        <v>35</v>
      </c>
      <c r="G13" t="s">
        <v>70</v>
      </c>
      <c r="H13" t="s">
        <v>37</v>
      </c>
      <c r="I13">
        <v>4.2107440725379162E-2</v>
      </c>
      <c r="J13">
        <v>0</v>
      </c>
      <c r="K13" t="s">
        <v>14</v>
      </c>
      <c r="L13">
        <v>172</v>
      </c>
      <c r="M13">
        <v>7.8134429815787475E-5</v>
      </c>
      <c r="N13">
        <v>1E-4</v>
      </c>
      <c r="O13">
        <v>3000</v>
      </c>
      <c r="T13" s="2">
        <v>0.1169669628071545</v>
      </c>
      <c r="U13" s="2">
        <v>2.2710167679059632</v>
      </c>
      <c r="V13" s="2">
        <v>0.57718207759030193</v>
      </c>
      <c r="W13" s="2">
        <v>9.6469999999999993E-3</v>
      </c>
      <c r="X13" s="2">
        <v>8.5518540000000005</v>
      </c>
      <c r="Y13" s="2">
        <v>7.1656500000000003</v>
      </c>
      <c r="Z13" s="2">
        <v>44.150669999999998</v>
      </c>
      <c r="AA13" s="2">
        <v>42.528283999999999</v>
      </c>
      <c r="AB13" s="2">
        <v>1E-4</v>
      </c>
      <c r="AC13" s="2">
        <v>5.423645052202092</v>
      </c>
      <c r="AD13" s="2">
        <v>0.99973389025040671</v>
      </c>
      <c r="AE13" s="2">
        <v>1.6426339999999999</v>
      </c>
      <c r="AF13" s="2">
        <v>0.54891150406931755</v>
      </c>
      <c r="AG13" s="2">
        <v>0.2369861228432418</v>
      </c>
    </row>
    <row r="14" spans="1:34" x14ac:dyDescent="0.3">
      <c r="A14">
        <v>13</v>
      </c>
      <c r="B14" t="s">
        <v>71</v>
      </c>
      <c r="C14">
        <v>18510.96055610001</v>
      </c>
      <c r="D14">
        <v>308.51600926833339</v>
      </c>
      <c r="E14" t="s">
        <v>72</v>
      </c>
      <c r="F14" t="s">
        <v>35</v>
      </c>
      <c r="G14" t="s">
        <v>73</v>
      </c>
      <c r="H14" t="s">
        <v>37</v>
      </c>
      <c r="I14">
        <v>3.0028068761530059E-2</v>
      </c>
      <c r="J14">
        <v>0</v>
      </c>
      <c r="K14" t="s">
        <v>14</v>
      </c>
      <c r="L14">
        <v>382</v>
      </c>
      <c r="M14">
        <v>7.9462689905198121E-5</v>
      </c>
      <c r="N14">
        <v>1E-4</v>
      </c>
      <c r="O14">
        <v>3000</v>
      </c>
      <c r="T14">
        <v>0.13543101585881839</v>
      </c>
      <c r="U14">
        <v>2.1675745542474041</v>
      </c>
      <c r="V14">
        <v>0.44371357160502928</v>
      </c>
      <c r="W14">
        <v>9.6469999999999993E-3</v>
      </c>
      <c r="X14">
        <v>8.5518540000000005</v>
      </c>
      <c r="Y14">
        <v>7.1656500000000003</v>
      </c>
      <c r="Z14">
        <v>44.150669999999998</v>
      </c>
      <c r="AA14">
        <v>42.528283999999999</v>
      </c>
      <c r="AB14">
        <v>1E-4</v>
      </c>
      <c r="AC14">
        <v>6.2503316935079756</v>
      </c>
      <c r="AD14">
        <v>0.99972102398571816</v>
      </c>
      <c r="AE14">
        <v>1.6426339999999999</v>
      </c>
      <c r="AF14">
        <v>0.56821626431158878</v>
      </c>
      <c r="AG14">
        <v>0.32018714573871382</v>
      </c>
      <c r="AH14">
        <v>1</v>
      </c>
    </row>
    <row r="15" spans="1:34" x14ac:dyDescent="0.3">
      <c r="A15">
        <v>14</v>
      </c>
      <c r="B15" t="s">
        <v>74</v>
      </c>
      <c r="C15">
        <v>24515.56501680001</v>
      </c>
      <c r="D15">
        <v>408.59275028000019</v>
      </c>
      <c r="E15" t="s">
        <v>75</v>
      </c>
      <c r="F15" t="s">
        <v>35</v>
      </c>
      <c r="G15" t="s">
        <v>76</v>
      </c>
      <c r="H15" t="s">
        <v>37</v>
      </c>
      <c r="I15">
        <v>7.3830590685885116E-3</v>
      </c>
      <c r="J15">
        <v>0</v>
      </c>
      <c r="K15" t="s">
        <v>14</v>
      </c>
      <c r="L15">
        <v>1057</v>
      </c>
      <c r="M15">
        <v>8.5157052708816476E-5</v>
      </c>
      <c r="N15">
        <v>1E-4</v>
      </c>
      <c r="O15">
        <v>3000</v>
      </c>
      <c r="T15">
        <v>0.1534114159421463</v>
      </c>
      <c r="U15">
        <v>0.9590989768560666</v>
      </c>
      <c r="V15">
        <v>3.1739355788760122</v>
      </c>
      <c r="W15">
        <v>9.6469999999999993E-3</v>
      </c>
      <c r="X15">
        <v>8.5518540000000005</v>
      </c>
      <c r="Y15">
        <v>7.1656500000000003</v>
      </c>
      <c r="Z15">
        <v>44.150669999999998</v>
      </c>
      <c r="AA15">
        <v>42.528283999999999</v>
      </c>
      <c r="AB15">
        <v>1E-4</v>
      </c>
      <c r="AC15">
        <v>4.4949406730690553</v>
      </c>
      <c r="AD15">
        <v>0.83074837802974244</v>
      </c>
      <c r="AE15">
        <v>1.6426339999999999</v>
      </c>
      <c r="AF15">
        <v>0.72639349291145316</v>
      </c>
      <c r="AG15">
        <v>0.3149494549068898</v>
      </c>
      <c r="AH15">
        <v>1</v>
      </c>
    </row>
    <row r="16" spans="1:34" x14ac:dyDescent="0.3">
      <c r="A16">
        <v>15</v>
      </c>
      <c r="B16" t="s">
        <v>77</v>
      </c>
      <c r="C16">
        <v>26313.242024800042</v>
      </c>
      <c r="D16">
        <v>438.55403374666741</v>
      </c>
      <c r="E16" t="s">
        <v>78</v>
      </c>
      <c r="F16" t="s">
        <v>35</v>
      </c>
      <c r="G16" t="s">
        <v>79</v>
      </c>
      <c r="H16" t="s">
        <v>37</v>
      </c>
      <c r="I16">
        <v>4.2066127507307628E-2</v>
      </c>
      <c r="J16">
        <v>0</v>
      </c>
      <c r="K16" t="s">
        <v>14</v>
      </c>
      <c r="L16">
        <v>3001</v>
      </c>
      <c r="M16">
        <v>5.9714565602925099E-4</v>
      </c>
      <c r="N16">
        <v>1E-4</v>
      </c>
      <c r="O16">
        <v>3000</v>
      </c>
      <c r="T16">
        <v>0.10919431527604841</v>
      </c>
      <c r="U16">
        <v>5.9048720015390499</v>
      </c>
      <c r="V16">
        <v>0.42149702139665751</v>
      </c>
      <c r="W16">
        <v>9.6469999999999993E-3</v>
      </c>
      <c r="X16">
        <v>8.5518540000000005</v>
      </c>
      <c r="Y16">
        <v>7.1656500000000003</v>
      </c>
      <c r="Z16">
        <v>44.150669999999998</v>
      </c>
      <c r="AA16">
        <v>42.528283999999999</v>
      </c>
      <c r="AB16">
        <v>1E-4</v>
      </c>
      <c r="AC16">
        <v>2.8783516430630258</v>
      </c>
      <c r="AD16">
        <v>0.6689549422052169</v>
      </c>
      <c r="AE16">
        <v>1.6426339999999999</v>
      </c>
      <c r="AF16">
        <v>0.64839212787686984</v>
      </c>
      <c r="AG16">
        <v>0.1000040595335784</v>
      </c>
      <c r="AH16">
        <v>2</v>
      </c>
    </row>
    <row r="17" spans="1:34" x14ac:dyDescent="0.3">
      <c r="A17">
        <v>16</v>
      </c>
      <c r="B17" t="s">
        <v>80</v>
      </c>
      <c r="C17">
        <v>12643.227703299959</v>
      </c>
      <c r="D17">
        <v>210.72046172166591</v>
      </c>
      <c r="E17" t="s">
        <v>81</v>
      </c>
      <c r="F17" t="s">
        <v>35</v>
      </c>
      <c r="G17" t="s">
        <v>82</v>
      </c>
      <c r="H17" t="s">
        <v>37</v>
      </c>
      <c r="I17">
        <v>2.192124426666146E-2</v>
      </c>
      <c r="J17">
        <v>0</v>
      </c>
      <c r="K17" t="s">
        <v>14</v>
      </c>
      <c r="L17">
        <v>162</v>
      </c>
      <c r="M17">
        <v>7.477436671692065E-5</v>
      </c>
      <c r="N17">
        <v>1E-4</v>
      </c>
      <c r="O17">
        <v>3000</v>
      </c>
      <c r="T17">
        <v>0.54967575647615363</v>
      </c>
      <c r="U17">
        <v>1.1274939039692471</v>
      </c>
      <c r="V17">
        <v>3.092042495539713</v>
      </c>
      <c r="W17">
        <v>9.6469999999999993E-3</v>
      </c>
      <c r="X17">
        <v>8.5518540000000005</v>
      </c>
      <c r="Y17">
        <v>7.1656500000000003</v>
      </c>
      <c r="Z17">
        <v>44.150669999999998</v>
      </c>
      <c r="AA17">
        <v>42.528283999999999</v>
      </c>
      <c r="AB17">
        <v>1E-4</v>
      </c>
      <c r="AC17">
        <v>2.471230373218726</v>
      </c>
      <c r="AD17">
        <v>0.26201798906588591</v>
      </c>
      <c r="AE17">
        <v>1.6426339999999999</v>
      </c>
      <c r="AF17">
        <v>0.39369724135998557</v>
      </c>
      <c r="AG17">
        <v>0.47725294919084699</v>
      </c>
      <c r="AH17">
        <v>2</v>
      </c>
    </row>
    <row r="18" spans="1:34" x14ac:dyDescent="0.3">
      <c r="A18">
        <v>17</v>
      </c>
      <c r="B18" t="s">
        <v>83</v>
      </c>
      <c r="C18">
        <v>11705.461016899961</v>
      </c>
      <c r="D18">
        <v>195.09101694833271</v>
      </c>
      <c r="E18" t="s">
        <v>84</v>
      </c>
      <c r="F18" t="s">
        <v>35</v>
      </c>
      <c r="G18" t="s">
        <v>85</v>
      </c>
      <c r="H18" t="s">
        <v>37</v>
      </c>
      <c r="I18">
        <v>3.4722377077894093E-2</v>
      </c>
      <c r="J18">
        <v>0</v>
      </c>
      <c r="K18" t="s">
        <v>14</v>
      </c>
      <c r="L18">
        <v>693</v>
      </c>
      <c r="M18">
        <v>9.4658566841202219E-5</v>
      </c>
      <c r="N18">
        <v>1E-4</v>
      </c>
      <c r="O18">
        <v>3000</v>
      </c>
      <c r="T18" s="2">
        <v>0.1247409847184488</v>
      </c>
      <c r="U18" s="2">
        <v>2.0617667729750919</v>
      </c>
      <c r="V18" s="2">
        <v>6.1905422438013984</v>
      </c>
      <c r="W18" s="2">
        <v>9.6469999999999993E-3</v>
      </c>
      <c r="X18" s="2">
        <v>8.5518540000000005</v>
      </c>
      <c r="Y18" s="2">
        <v>7.1656500000000003</v>
      </c>
      <c r="Z18" s="2">
        <v>44.150669999999998</v>
      </c>
      <c r="AA18" s="2">
        <v>42.528283999999999</v>
      </c>
      <c r="AB18" s="2">
        <v>1E-4</v>
      </c>
      <c r="AC18" s="2">
        <v>2.11150873794552</v>
      </c>
      <c r="AD18" s="2">
        <v>0.99638664340240357</v>
      </c>
      <c r="AE18" s="2">
        <v>1.6426339999999999</v>
      </c>
      <c r="AF18" s="2">
        <v>0.60028149619551618</v>
      </c>
      <c r="AG18" s="2">
        <v>0.35570150974047682</v>
      </c>
    </row>
    <row r="19" spans="1:34" x14ac:dyDescent="0.3">
      <c r="A19">
        <v>18</v>
      </c>
      <c r="B19" t="s">
        <v>86</v>
      </c>
      <c r="C19">
        <v>8567.5156035000109</v>
      </c>
      <c r="D19">
        <v>142.7919267250002</v>
      </c>
      <c r="E19" t="s">
        <v>87</v>
      </c>
      <c r="F19" t="s">
        <v>35</v>
      </c>
      <c r="G19" t="s">
        <v>88</v>
      </c>
      <c r="H19" t="s">
        <v>37</v>
      </c>
      <c r="I19">
        <v>2.1423299307281232E-2</v>
      </c>
      <c r="J19">
        <v>0</v>
      </c>
      <c r="K19" t="s">
        <v>14</v>
      </c>
      <c r="L19">
        <v>501</v>
      </c>
      <c r="M19">
        <v>9.3207531817915881E-5</v>
      </c>
      <c r="N19">
        <v>1E-4</v>
      </c>
      <c r="O19">
        <v>3000</v>
      </c>
      <c r="T19">
        <v>7.4887903519829518E-2</v>
      </c>
      <c r="U19">
        <v>1.6597110508188599</v>
      </c>
      <c r="V19">
        <v>7.2393305965200589</v>
      </c>
      <c r="W19">
        <v>9.6469999999999993E-3</v>
      </c>
      <c r="X19">
        <v>8.5518540000000005</v>
      </c>
      <c r="Y19">
        <v>7.1656500000000003</v>
      </c>
      <c r="Z19">
        <v>44.150669999999998</v>
      </c>
      <c r="AA19">
        <v>42.528283999999999</v>
      </c>
      <c r="AB19">
        <v>1E-4</v>
      </c>
      <c r="AC19">
        <v>1.878639362892996</v>
      </c>
      <c r="AD19">
        <v>0.9307014604157966</v>
      </c>
      <c r="AE19">
        <v>1.6426339999999999</v>
      </c>
      <c r="AF19">
        <v>0.34788418859904041</v>
      </c>
      <c r="AG19">
        <v>0.43621617173692429</v>
      </c>
      <c r="AH19">
        <v>1</v>
      </c>
    </row>
    <row r="20" spans="1:34" x14ac:dyDescent="0.3">
      <c r="A20">
        <v>19</v>
      </c>
      <c r="B20" t="s">
        <v>89</v>
      </c>
      <c r="C20">
        <v>20694.814912500031</v>
      </c>
      <c r="D20">
        <v>344.9135818750006</v>
      </c>
      <c r="E20" t="s">
        <v>90</v>
      </c>
      <c r="F20" t="s">
        <v>35</v>
      </c>
      <c r="G20" t="s">
        <v>91</v>
      </c>
      <c r="H20" t="s">
        <v>37</v>
      </c>
      <c r="I20">
        <v>3.8522091929358723E-2</v>
      </c>
      <c r="J20">
        <v>0</v>
      </c>
      <c r="K20" t="s">
        <v>14</v>
      </c>
      <c r="L20">
        <v>100</v>
      </c>
      <c r="M20">
        <v>9.6278762795005046E-5</v>
      </c>
      <c r="N20">
        <v>1E-4</v>
      </c>
      <c r="O20">
        <v>3000</v>
      </c>
      <c r="T20">
        <v>0.14829744064733261</v>
      </c>
      <c r="U20">
        <v>2.8201904669098701</v>
      </c>
      <c r="V20">
        <v>0.27074727739642368</v>
      </c>
      <c r="W20">
        <v>9.6469999999999993E-3</v>
      </c>
      <c r="X20">
        <v>8.5518540000000005</v>
      </c>
      <c r="Y20">
        <v>7.1656500000000003</v>
      </c>
      <c r="Z20">
        <v>44.150669999999998</v>
      </c>
      <c r="AA20">
        <v>42.528283999999999</v>
      </c>
      <c r="AB20">
        <v>1E-4</v>
      </c>
      <c r="AC20">
        <v>6.1928314300162226</v>
      </c>
      <c r="AD20">
        <v>0.99550952113101554</v>
      </c>
      <c r="AE20">
        <v>1.6426339999999999</v>
      </c>
      <c r="AF20">
        <v>0.65618001653466473</v>
      </c>
      <c r="AG20">
        <v>0.16383814585034409</v>
      </c>
      <c r="AH20">
        <v>2</v>
      </c>
    </row>
    <row r="21" spans="1:34" x14ac:dyDescent="0.3">
      <c r="A21">
        <v>20</v>
      </c>
      <c r="B21" t="s">
        <v>92</v>
      </c>
      <c r="C21">
        <v>12230.44841160002</v>
      </c>
      <c r="D21">
        <v>203.84080686000041</v>
      </c>
      <c r="E21" t="s">
        <v>93</v>
      </c>
      <c r="F21" t="s">
        <v>35</v>
      </c>
      <c r="G21" t="s">
        <v>94</v>
      </c>
      <c r="H21" t="s">
        <v>37</v>
      </c>
      <c r="I21">
        <v>1.7770044334358769E-2</v>
      </c>
      <c r="J21">
        <v>0</v>
      </c>
      <c r="K21" t="s">
        <v>14</v>
      </c>
      <c r="L21">
        <v>778</v>
      </c>
      <c r="M21">
        <v>4.6077991776780228E-5</v>
      </c>
      <c r="N21">
        <v>1E-4</v>
      </c>
      <c r="O21">
        <v>3000</v>
      </c>
      <c r="T21">
        <v>0.36718112461538288</v>
      </c>
      <c r="U21">
        <v>1.581350856340892</v>
      </c>
      <c r="V21">
        <v>2.3656852582156298</v>
      </c>
      <c r="W21">
        <v>9.6469999999999993E-3</v>
      </c>
      <c r="X21">
        <v>8.5518540000000005</v>
      </c>
      <c r="Y21">
        <v>7.1656500000000003</v>
      </c>
      <c r="Z21">
        <v>44.150669999999998</v>
      </c>
      <c r="AA21">
        <v>42.528283999999999</v>
      </c>
      <c r="AB21">
        <v>1E-4</v>
      </c>
      <c r="AC21">
        <v>2.5073621613262498</v>
      </c>
      <c r="AD21">
        <v>0.86465860694325269</v>
      </c>
      <c r="AE21">
        <v>1.6426339999999999</v>
      </c>
      <c r="AF21">
        <v>0.45099099543516691</v>
      </c>
      <c r="AG21">
        <v>0.37132148128167219</v>
      </c>
      <c r="AH21">
        <v>1</v>
      </c>
    </row>
    <row r="22" spans="1:34" x14ac:dyDescent="0.3">
      <c r="A22">
        <v>21</v>
      </c>
      <c r="B22" t="s">
        <v>95</v>
      </c>
      <c r="C22">
        <v>9946.9028688999824</v>
      </c>
      <c r="D22">
        <v>165.7817144816664</v>
      </c>
      <c r="E22" t="s">
        <v>96</v>
      </c>
      <c r="F22" t="s">
        <v>35</v>
      </c>
      <c r="G22" t="s">
        <v>97</v>
      </c>
      <c r="H22" t="s">
        <v>37</v>
      </c>
      <c r="I22">
        <v>2.335202050082839E-2</v>
      </c>
      <c r="J22">
        <v>0</v>
      </c>
      <c r="K22" t="s">
        <v>14</v>
      </c>
      <c r="L22">
        <v>460</v>
      </c>
      <c r="M22">
        <v>5.7876139669823443E-5</v>
      </c>
      <c r="N22">
        <v>1E-4</v>
      </c>
      <c r="O22">
        <v>3000</v>
      </c>
      <c r="T22">
        <v>0.1007806174028873</v>
      </c>
      <c r="U22">
        <v>3.1013839769131928</v>
      </c>
      <c r="V22">
        <v>0.3880276905116356</v>
      </c>
      <c r="W22">
        <v>9.6469999999999993E-3</v>
      </c>
      <c r="X22">
        <v>8.5518540000000005</v>
      </c>
      <c r="Y22">
        <v>7.1656500000000003</v>
      </c>
      <c r="Z22">
        <v>44.150669999999998</v>
      </c>
      <c r="AA22">
        <v>42.528283999999999</v>
      </c>
      <c r="AB22">
        <v>1E-4</v>
      </c>
      <c r="AC22">
        <v>6.3127115601138337</v>
      </c>
      <c r="AD22">
        <v>0.99986765253831733</v>
      </c>
      <c r="AE22">
        <v>1.6426339999999999</v>
      </c>
      <c r="AF22">
        <v>0.59871415946888007</v>
      </c>
      <c r="AG22">
        <v>0.1376576989796609</v>
      </c>
      <c r="AH22">
        <v>1</v>
      </c>
    </row>
    <row r="23" spans="1:34" x14ac:dyDescent="0.3">
      <c r="A23">
        <v>22</v>
      </c>
      <c r="B23" t="s">
        <v>98</v>
      </c>
      <c r="C23">
        <v>17131.037991099991</v>
      </c>
      <c r="D23">
        <v>285.51729985166651</v>
      </c>
      <c r="E23" t="s">
        <v>99</v>
      </c>
      <c r="F23" t="s">
        <v>35</v>
      </c>
      <c r="G23" t="s">
        <v>100</v>
      </c>
      <c r="H23" t="s">
        <v>37</v>
      </c>
      <c r="I23">
        <v>2.1599331365598311E-2</v>
      </c>
      <c r="J23">
        <v>0</v>
      </c>
      <c r="K23" t="s">
        <v>14</v>
      </c>
      <c r="L23">
        <v>779</v>
      </c>
      <c r="M23">
        <v>9.5838012336323396E-5</v>
      </c>
      <c r="N23">
        <v>1E-4</v>
      </c>
      <c r="O23">
        <v>3000</v>
      </c>
      <c r="T23">
        <v>5.210099899692875E-2</v>
      </c>
      <c r="U23">
        <v>3.015522408377767</v>
      </c>
      <c r="V23">
        <v>7.9151639875341484</v>
      </c>
      <c r="W23">
        <v>9.6469999999999993E-3</v>
      </c>
      <c r="X23">
        <v>8.5518540000000005</v>
      </c>
      <c r="Y23">
        <v>7.1656500000000003</v>
      </c>
      <c r="Z23">
        <v>44.150669999999998</v>
      </c>
      <c r="AA23">
        <v>42.528283999999999</v>
      </c>
      <c r="AB23">
        <v>1E-4</v>
      </c>
      <c r="AC23">
        <v>1.1906484209683921</v>
      </c>
      <c r="AD23">
        <v>0.81419279270488276</v>
      </c>
      <c r="AE23">
        <v>1.6426339999999999</v>
      </c>
      <c r="AF23">
        <v>0.40469248406287478</v>
      </c>
      <c r="AG23">
        <v>0.40732257988081888</v>
      </c>
      <c r="AH23">
        <v>1</v>
      </c>
    </row>
    <row r="24" spans="1:34" x14ac:dyDescent="0.3">
      <c r="A24">
        <v>23</v>
      </c>
      <c r="B24" t="s">
        <v>101</v>
      </c>
      <c r="C24">
        <v>28166.06068460003</v>
      </c>
      <c r="D24">
        <v>469.43434474333378</v>
      </c>
      <c r="E24" t="s">
        <v>102</v>
      </c>
      <c r="F24" t="s">
        <v>35</v>
      </c>
      <c r="G24" t="s">
        <v>103</v>
      </c>
      <c r="H24" t="s">
        <v>37</v>
      </c>
      <c r="I24">
        <v>1.7315566881666831E-2</v>
      </c>
      <c r="J24">
        <v>0</v>
      </c>
      <c r="K24" t="s">
        <v>14</v>
      </c>
      <c r="L24">
        <v>3001</v>
      </c>
      <c r="M24">
        <v>2.0913073636632542E-3</v>
      </c>
      <c r="N24">
        <v>1E-4</v>
      </c>
      <c r="O24">
        <v>3000</v>
      </c>
      <c r="T24">
        <v>4.6474636586851983E-2</v>
      </c>
      <c r="U24">
        <v>3.7605962647048039</v>
      </c>
      <c r="V24">
        <v>2.2957334841377941</v>
      </c>
      <c r="W24">
        <v>9.6469999999999993E-3</v>
      </c>
      <c r="X24">
        <v>8.5518540000000005</v>
      </c>
      <c r="Y24">
        <v>7.1656500000000003</v>
      </c>
      <c r="Z24">
        <v>44.150669999999998</v>
      </c>
      <c r="AA24">
        <v>42.528283999999999</v>
      </c>
      <c r="AB24">
        <v>1E-4</v>
      </c>
      <c r="AC24">
        <v>2.9958857853356449</v>
      </c>
      <c r="AD24">
        <v>0.61806702516702294</v>
      </c>
      <c r="AE24">
        <v>1.6426339999999999</v>
      </c>
      <c r="AF24">
        <v>0.29257548014512241</v>
      </c>
      <c r="AG24">
        <v>0.66209753633458845</v>
      </c>
      <c r="AH24">
        <v>1</v>
      </c>
    </row>
    <row r="25" spans="1:34" x14ac:dyDescent="0.3">
      <c r="A25">
        <v>24</v>
      </c>
      <c r="B25" t="s">
        <v>104</v>
      </c>
      <c r="C25">
        <v>14789.701960600039</v>
      </c>
      <c r="D25">
        <v>246.49503267666731</v>
      </c>
      <c r="E25" t="s">
        <v>105</v>
      </c>
      <c r="F25" t="s">
        <v>35</v>
      </c>
      <c r="G25" t="s">
        <v>106</v>
      </c>
      <c r="H25" t="s">
        <v>37</v>
      </c>
      <c r="I25">
        <v>2.408440037657289E-2</v>
      </c>
      <c r="J25">
        <v>0</v>
      </c>
      <c r="K25" t="s">
        <v>14</v>
      </c>
      <c r="L25">
        <v>804</v>
      </c>
      <c r="M25">
        <v>1.383623615168159E-5</v>
      </c>
      <c r="N25">
        <v>1E-4</v>
      </c>
      <c r="O25">
        <v>3000</v>
      </c>
      <c r="T25">
        <v>0.21845217753180651</v>
      </c>
      <c r="U25">
        <v>2.0911938493088078</v>
      </c>
      <c r="V25">
        <v>4.3728829139642666</v>
      </c>
      <c r="W25">
        <v>9.6469999999999993E-3</v>
      </c>
      <c r="X25">
        <v>8.5518540000000005</v>
      </c>
      <c r="Y25">
        <v>7.1656500000000003</v>
      </c>
      <c r="Z25">
        <v>44.150669999999998</v>
      </c>
      <c r="AA25">
        <v>42.528283999999999</v>
      </c>
      <c r="AB25">
        <v>1E-4</v>
      </c>
      <c r="AC25">
        <v>2.138969401279883</v>
      </c>
      <c r="AD25">
        <v>0.99996580887285103</v>
      </c>
      <c r="AE25">
        <v>1.6426339999999999</v>
      </c>
      <c r="AF25">
        <v>0.59852158661471366</v>
      </c>
      <c r="AG25">
        <v>0.33301313040425051</v>
      </c>
      <c r="AH25">
        <v>1</v>
      </c>
    </row>
    <row r="26" spans="1:34" x14ac:dyDescent="0.3">
      <c r="A26">
        <v>25</v>
      </c>
      <c r="B26" t="s">
        <v>107</v>
      </c>
      <c r="C26">
        <v>14214.389217899999</v>
      </c>
      <c r="D26">
        <v>236.90648696499991</v>
      </c>
      <c r="E26" t="s">
        <v>108</v>
      </c>
      <c r="F26" t="s">
        <v>35</v>
      </c>
      <c r="G26" t="s">
        <v>109</v>
      </c>
      <c r="H26" t="s">
        <v>37</v>
      </c>
      <c r="I26">
        <v>3.9863356155437117E-2</v>
      </c>
      <c r="J26">
        <v>0</v>
      </c>
      <c r="K26" t="s">
        <v>14</v>
      </c>
      <c r="L26">
        <v>293</v>
      </c>
      <c r="M26">
        <v>9.3045775907907302E-5</v>
      </c>
      <c r="N26">
        <v>1E-4</v>
      </c>
      <c r="O26">
        <v>3000</v>
      </c>
      <c r="T26">
        <v>0.14069450013491799</v>
      </c>
      <c r="U26">
        <v>3.174672574828024</v>
      </c>
      <c r="V26">
        <v>0.32192459528220269</v>
      </c>
      <c r="W26">
        <v>9.6469999999999993E-3</v>
      </c>
      <c r="X26">
        <v>8.5518540000000005</v>
      </c>
      <c r="Y26">
        <v>7.1656500000000003</v>
      </c>
      <c r="Z26">
        <v>44.150669999999998</v>
      </c>
      <c r="AA26">
        <v>42.528283999999999</v>
      </c>
      <c r="AB26">
        <v>1E-4</v>
      </c>
      <c r="AC26">
        <v>5.3114347620153426</v>
      </c>
      <c r="AD26">
        <v>0.99997221925628821</v>
      </c>
      <c r="AE26">
        <v>1.6426339999999999</v>
      </c>
      <c r="AF26">
        <v>0.62628626979708013</v>
      </c>
      <c r="AG26">
        <v>0.17305469620323699</v>
      </c>
      <c r="AH26">
        <v>1</v>
      </c>
    </row>
    <row r="27" spans="1:34" x14ac:dyDescent="0.3">
      <c r="A27">
        <v>26</v>
      </c>
      <c r="B27" t="s">
        <v>110</v>
      </c>
      <c r="C27">
        <v>13282.04843599995</v>
      </c>
      <c r="D27">
        <v>221.36747393333249</v>
      </c>
      <c r="E27" t="s">
        <v>111</v>
      </c>
      <c r="F27" t="s">
        <v>35</v>
      </c>
      <c r="G27" t="s">
        <v>112</v>
      </c>
      <c r="H27" t="s">
        <v>37</v>
      </c>
      <c r="I27">
        <v>2.841602851562924E-2</v>
      </c>
      <c r="J27">
        <v>0</v>
      </c>
      <c r="K27" t="s">
        <v>14</v>
      </c>
      <c r="L27">
        <v>132</v>
      </c>
      <c r="M27">
        <v>9.8926370172199813E-5</v>
      </c>
      <c r="N27">
        <v>1E-4</v>
      </c>
      <c r="O27">
        <v>3000</v>
      </c>
      <c r="T27">
        <v>8.5631191895631953E-2</v>
      </c>
      <c r="U27">
        <v>5.89094623593002</v>
      </c>
      <c r="V27">
        <v>0.29589318304247308</v>
      </c>
      <c r="W27">
        <v>9.6469999999999993E-3</v>
      </c>
      <c r="X27">
        <v>8.5518540000000005</v>
      </c>
      <c r="Y27">
        <v>7.1656500000000003</v>
      </c>
      <c r="Z27">
        <v>44.150669999999998</v>
      </c>
      <c r="AA27">
        <v>42.528283999999999</v>
      </c>
      <c r="AB27">
        <v>1E-4</v>
      </c>
      <c r="AC27">
        <v>2.6592132432596638</v>
      </c>
      <c r="AD27">
        <v>0.99954289809891528</v>
      </c>
      <c r="AE27">
        <v>1.6426339999999999</v>
      </c>
      <c r="AF27">
        <v>0.6431989634258003</v>
      </c>
      <c r="AG27">
        <v>0.10000123165212681</v>
      </c>
      <c r="AH27">
        <v>1</v>
      </c>
    </row>
    <row r="28" spans="1:34" x14ac:dyDescent="0.3">
      <c r="A28">
        <v>27</v>
      </c>
      <c r="B28" t="s">
        <v>113</v>
      </c>
      <c r="C28">
        <v>11686.551706300001</v>
      </c>
      <c r="D28">
        <v>194.77586177166671</v>
      </c>
      <c r="E28" t="s">
        <v>114</v>
      </c>
      <c r="F28" t="s">
        <v>35</v>
      </c>
      <c r="G28" t="s">
        <v>115</v>
      </c>
      <c r="H28" t="s">
        <v>37</v>
      </c>
      <c r="I28">
        <v>4.4134797555378219E-2</v>
      </c>
      <c r="J28">
        <v>0</v>
      </c>
      <c r="K28" t="s">
        <v>14</v>
      </c>
      <c r="L28">
        <v>189</v>
      </c>
      <c r="M28">
        <v>9.8388218657852655E-5</v>
      </c>
      <c r="N28">
        <v>1E-4</v>
      </c>
      <c r="O28">
        <v>3000</v>
      </c>
      <c r="T28">
        <v>0.13621594287194261</v>
      </c>
      <c r="U28">
        <v>0.62336019347073179</v>
      </c>
      <c r="V28">
        <v>4.4254863447449537</v>
      </c>
      <c r="W28">
        <v>9.6469999999999993E-3</v>
      </c>
      <c r="X28">
        <v>8.5518540000000005</v>
      </c>
      <c r="Y28">
        <v>7.1656500000000003</v>
      </c>
      <c r="Z28">
        <v>44.150669999999998</v>
      </c>
      <c r="AA28">
        <v>42.528283999999999</v>
      </c>
      <c r="AB28">
        <v>1E-4</v>
      </c>
      <c r="AC28">
        <v>5.2674317721245973</v>
      </c>
      <c r="AD28">
        <v>0.99944616171819511</v>
      </c>
      <c r="AE28">
        <v>1.6426339999999999</v>
      </c>
      <c r="AF28">
        <v>0.46167342682691231</v>
      </c>
      <c r="AG28">
        <v>0.46000879976541909</v>
      </c>
      <c r="AH28">
        <v>1</v>
      </c>
    </row>
    <row r="29" spans="1:34" x14ac:dyDescent="0.3">
      <c r="A29">
        <v>28</v>
      </c>
      <c r="B29" t="s">
        <v>116</v>
      </c>
      <c r="C29">
        <v>23853.468509299972</v>
      </c>
      <c r="D29">
        <v>397.55780848833291</v>
      </c>
      <c r="E29" t="s">
        <v>117</v>
      </c>
      <c r="F29" t="s">
        <v>35</v>
      </c>
      <c r="G29" t="s">
        <v>118</v>
      </c>
      <c r="H29" t="s">
        <v>37</v>
      </c>
      <c r="I29">
        <v>1.117870673096903E-2</v>
      </c>
      <c r="J29">
        <v>0</v>
      </c>
      <c r="K29" t="s">
        <v>14</v>
      </c>
      <c r="L29">
        <v>2733</v>
      </c>
      <c r="M29">
        <v>5.6235267880706847E-5</v>
      </c>
      <c r="N29">
        <v>1E-4</v>
      </c>
      <c r="O29">
        <v>3000</v>
      </c>
      <c r="T29">
        <v>0.1038050282684658</v>
      </c>
      <c r="U29">
        <v>2.1510199708419919</v>
      </c>
      <c r="V29">
        <v>4.6485538465200511</v>
      </c>
      <c r="W29">
        <v>9.6469999999999993E-3</v>
      </c>
      <c r="X29">
        <v>8.5518540000000005</v>
      </c>
      <c r="Y29">
        <v>7.1656500000000003</v>
      </c>
      <c r="Z29">
        <v>44.150669999999998</v>
      </c>
      <c r="AA29">
        <v>42.528283999999999</v>
      </c>
      <c r="AB29">
        <v>1E-4</v>
      </c>
      <c r="AC29">
        <v>1.687027607910689</v>
      </c>
      <c r="AD29">
        <v>0.98225824301224984</v>
      </c>
      <c r="AE29">
        <v>1.6426339999999999</v>
      </c>
      <c r="AF29">
        <v>0.34377987776962088</v>
      </c>
      <c r="AG29">
        <v>0.51948428964501769</v>
      </c>
      <c r="AH29">
        <v>1</v>
      </c>
    </row>
    <row r="30" spans="1:34" x14ac:dyDescent="0.3">
      <c r="A30">
        <v>29</v>
      </c>
      <c r="B30" t="s">
        <v>119</v>
      </c>
      <c r="C30">
        <v>15049.41904260003</v>
      </c>
      <c r="D30">
        <v>250.82365071000049</v>
      </c>
      <c r="E30" t="s">
        <v>120</v>
      </c>
      <c r="F30" t="s">
        <v>35</v>
      </c>
      <c r="G30" t="s">
        <v>121</v>
      </c>
      <c r="H30" t="s">
        <v>37</v>
      </c>
      <c r="I30">
        <v>3.8063826526005783E-2</v>
      </c>
      <c r="J30">
        <v>0</v>
      </c>
      <c r="K30" t="s">
        <v>14</v>
      </c>
      <c r="L30">
        <v>347</v>
      </c>
      <c r="M30">
        <v>9.2878479626219235E-5</v>
      </c>
      <c r="N30">
        <v>1E-4</v>
      </c>
      <c r="O30">
        <v>3000</v>
      </c>
      <c r="T30">
        <v>0.12482275810710131</v>
      </c>
      <c r="U30">
        <v>4.375140557470278</v>
      </c>
      <c r="V30">
        <v>0.21599926544369061</v>
      </c>
      <c r="W30">
        <v>9.6469999999999993E-3</v>
      </c>
      <c r="X30">
        <v>8.5518540000000005</v>
      </c>
      <c r="Y30">
        <v>7.1656500000000003</v>
      </c>
      <c r="Z30">
        <v>44.150669999999998</v>
      </c>
      <c r="AA30">
        <v>42.528283999999999</v>
      </c>
      <c r="AB30">
        <v>1E-4</v>
      </c>
      <c r="AC30">
        <v>4.3635049261817116</v>
      </c>
      <c r="AD30">
        <v>0.99977804316314223</v>
      </c>
      <c r="AE30">
        <v>1.6426339999999999</v>
      </c>
      <c r="AF30">
        <v>0.66410832315251844</v>
      </c>
      <c r="AG30">
        <v>0.1000009317318306</v>
      </c>
      <c r="AH30">
        <v>1</v>
      </c>
    </row>
    <row r="31" spans="1:34" x14ac:dyDescent="0.3">
      <c r="A31">
        <v>30</v>
      </c>
      <c r="B31" t="s">
        <v>122</v>
      </c>
      <c r="C31">
        <v>16268.08912309998</v>
      </c>
      <c r="D31">
        <v>271.13481871833312</v>
      </c>
      <c r="E31" t="s">
        <v>123</v>
      </c>
      <c r="F31" t="s">
        <v>35</v>
      </c>
      <c r="G31" t="s">
        <v>124</v>
      </c>
      <c r="H31" t="s">
        <v>37</v>
      </c>
      <c r="I31">
        <v>1.213877768628047E-2</v>
      </c>
      <c r="J31">
        <v>0</v>
      </c>
      <c r="K31" t="s">
        <v>14</v>
      </c>
      <c r="L31">
        <v>282</v>
      </c>
      <c r="M31">
        <v>9.6368006952754354E-5</v>
      </c>
      <c r="N31">
        <v>1E-4</v>
      </c>
      <c r="O31">
        <v>3000</v>
      </c>
      <c r="T31">
        <v>0.40789312153804952</v>
      </c>
      <c r="U31">
        <v>1.286000710709591</v>
      </c>
      <c r="V31">
        <v>4.0267090952175906</v>
      </c>
      <c r="W31">
        <v>9.6469999999999993E-3</v>
      </c>
      <c r="X31">
        <v>8.5518540000000005</v>
      </c>
      <c r="Y31">
        <v>7.1656500000000003</v>
      </c>
      <c r="Z31">
        <v>44.150669999999998</v>
      </c>
      <c r="AA31">
        <v>42.528283999999999</v>
      </c>
      <c r="AB31">
        <v>1E-4</v>
      </c>
      <c r="AC31">
        <v>2.0931151216855439</v>
      </c>
      <c r="AD31">
        <v>0.35553288806227201</v>
      </c>
      <c r="AE31">
        <v>1.6426339999999999</v>
      </c>
      <c r="AF31">
        <v>0.55917117410030059</v>
      </c>
      <c r="AG31">
        <v>0.38187394947779479</v>
      </c>
      <c r="AH31">
        <v>1</v>
      </c>
    </row>
    <row r="32" spans="1:34" x14ac:dyDescent="0.3">
      <c r="A32">
        <v>31</v>
      </c>
      <c r="B32" t="s">
        <v>125</v>
      </c>
      <c r="C32">
        <v>16004.396076400009</v>
      </c>
      <c r="D32">
        <v>266.73993460666679</v>
      </c>
      <c r="E32" t="s">
        <v>126</v>
      </c>
      <c r="F32" t="s">
        <v>35</v>
      </c>
      <c r="G32" t="s">
        <v>127</v>
      </c>
      <c r="H32" t="s">
        <v>37</v>
      </c>
      <c r="I32">
        <v>2.3408870731412589E-2</v>
      </c>
      <c r="J32">
        <v>0</v>
      </c>
      <c r="K32" t="s">
        <v>14</v>
      </c>
      <c r="L32">
        <v>750</v>
      </c>
      <c r="M32">
        <v>7.8372569649464861E-5</v>
      </c>
      <c r="N32">
        <v>1E-4</v>
      </c>
      <c r="O32">
        <v>3000</v>
      </c>
      <c r="T32">
        <v>0.14191534691450619</v>
      </c>
      <c r="U32">
        <v>2.7399551136459368</v>
      </c>
      <c r="V32">
        <v>7.9671731469137352</v>
      </c>
      <c r="W32">
        <v>9.6469999999999993E-3</v>
      </c>
      <c r="X32">
        <v>8.5518540000000005</v>
      </c>
      <c r="Y32">
        <v>7.1656500000000003</v>
      </c>
      <c r="Z32">
        <v>44.150669999999998</v>
      </c>
      <c r="AA32">
        <v>42.528283999999999</v>
      </c>
      <c r="AB32">
        <v>1E-4</v>
      </c>
      <c r="AC32">
        <v>1.4421003378878381</v>
      </c>
      <c r="AD32">
        <v>0.97176326153770465</v>
      </c>
      <c r="AE32">
        <v>1.6426339999999999</v>
      </c>
      <c r="AF32">
        <v>0.52973155657927862</v>
      </c>
      <c r="AG32">
        <v>0.38153331065287138</v>
      </c>
      <c r="AH32">
        <v>1</v>
      </c>
    </row>
    <row r="33" spans="1:34" x14ac:dyDescent="0.3">
      <c r="A33">
        <v>32</v>
      </c>
      <c r="B33" t="s">
        <v>128</v>
      </c>
      <c r="C33">
        <v>7143.0076842000126</v>
      </c>
      <c r="D33">
        <v>119.0501280700002</v>
      </c>
      <c r="E33" t="s">
        <v>129</v>
      </c>
      <c r="F33" t="s">
        <v>35</v>
      </c>
      <c r="G33" t="s">
        <v>130</v>
      </c>
      <c r="H33" t="s">
        <v>37</v>
      </c>
      <c r="I33">
        <v>3.7092552097302348E-2</v>
      </c>
      <c r="J33">
        <v>0</v>
      </c>
      <c r="K33" t="s">
        <v>14</v>
      </c>
      <c r="L33">
        <v>241</v>
      </c>
      <c r="M33">
        <v>9.0346687101605747E-5</v>
      </c>
      <c r="N33">
        <v>1E-4</v>
      </c>
      <c r="O33">
        <v>3000</v>
      </c>
      <c r="T33" s="2">
        <v>8.9467123665495668E-2</v>
      </c>
      <c r="U33" s="2">
        <v>3.7912187764253291</v>
      </c>
      <c r="V33" s="2">
        <v>0.25088220657233617</v>
      </c>
      <c r="W33" s="2">
        <v>9.6469999999999993E-3</v>
      </c>
      <c r="X33" s="2">
        <v>8.5518540000000005</v>
      </c>
      <c r="Y33" s="2">
        <v>7.1656500000000003</v>
      </c>
      <c r="Z33" s="2">
        <v>44.150669999999998</v>
      </c>
      <c r="AA33" s="2">
        <v>42.528283999999999</v>
      </c>
      <c r="AB33" s="2">
        <v>1E-4</v>
      </c>
      <c r="AC33" s="2">
        <v>5.0569275860207377</v>
      </c>
      <c r="AD33" s="2">
        <v>0.8176213061425609</v>
      </c>
      <c r="AE33" s="2">
        <v>1.6426339999999999</v>
      </c>
      <c r="AF33" s="2">
        <v>0.61239908106267815</v>
      </c>
      <c r="AG33" s="2">
        <v>0.10001411208734259</v>
      </c>
    </row>
    <row r="34" spans="1:34" x14ac:dyDescent="0.3">
      <c r="A34">
        <v>33</v>
      </c>
      <c r="B34" t="s">
        <v>131</v>
      </c>
      <c r="C34">
        <v>19947.705137000012</v>
      </c>
      <c r="D34">
        <v>332.46175228333351</v>
      </c>
      <c r="E34" t="s">
        <v>132</v>
      </c>
      <c r="F34" t="s">
        <v>35</v>
      </c>
      <c r="G34" t="s">
        <v>133</v>
      </c>
      <c r="H34" t="s">
        <v>37</v>
      </c>
      <c r="I34">
        <v>2.229270003870994E-2</v>
      </c>
      <c r="J34">
        <v>0</v>
      </c>
      <c r="K34" t="s">
        <v>14</v>
      </c>
      <c r="L34">
        <v>666</v>
      </c>
      <c r="M34">
        <v>9.4340261531952515E-5</v>
      </c>
      <c r="N34">
        <v>1E-4</v>
      </c>
      <c r="O34">
        <v>3000</v>
      </c>
      <c r="T34">
        <v>0.1009190082394365</v>
      </c>
      <c r="U34">
        <v>5.7162753589990256</v>
      </c>
      <c r="V34">
        <v>4.1061464659955309</v>
      </c>
      <c r="W34">
        <v>9.6469999999999993E-3</v>
      </c>
      <c r="X34">
        <v>8.5518540000000005</v>
      </c>
      <c r="Y34">
        <v>7.1656500000000003</v>
      </c>
      <c r="Z34">
        <v>44.150669999999998</v>
      </c>
      <c r="AA34">
        <v>42.528283999999999</v>
      </c>
      <c r="AB34">
        <v>1E-4</v>
      </c>
      <c r="AC34">
        <v>1.166041405336286</v>
      </c>
      <c r="AD34">
        <v>0.90954387778796719</v>
      </c>
      <c r="AE34">
        <v>1.6426339999999999</v>
      </c>
      <c r="AF34">
        <v>0.4126071456982176</v>
      </c>
      <c r="AG34">
        <v>0.46872665387361861</v>
      </c>
      <c r="AH34">
        <v>2</v>
      </c>
    </row>
    <row r="35" spans="1:34" x14ac:dyDescent="0.3">
      <c r="A35">
        <v>34</v>
      </c>
      <c r="B35" t="s">
        <v>134</v>
      </c>
      <c r="C35">
        <v>14579.828070799989</v>
      </c>
      <c r="D35">
        <v>242.99713451333321</v>
      </c>
      <c r="E35" t="s">
        <v>135</v>
      </c>
      <c r="F35" t="s">
        <v>35</v>
      </c>
      <c r="G35" t="s">
        <v>136</v>
      </c>
      <c r="H35" t="s">
        <v>37</v>
      </c>
      <c r="I35">
        <v>4.8681683866055411E-2</v>
      </c>
      <c r="J35">
        <v>0</v>
      </c>
      <c r="K35" t="s">
        <v>14</v>
      </c>
      <c r="L35">
        <v>456</v>
      </c>
      <c r="M35">
        <v>9.2617254727688959E-5</v>
      </c>
      <c r="N35">
        <v>1E-4</v>
      </c>
      <c r="O35">
        <v>3000</v>
      </c>
      <c r="T35">
        <v>0.29378323721928012</v>
      </c>
      <c r="U35">
        <v>0.91680787530937258</v>
      </c>
      <c r="V35">
        <v>4.0059583967442114</v>
      </c>
      <c r="W35">
        <v>9.6469999999999993E-3</v>
      </c>
      <c r="X35">
        <v>8.5518540000000005</v>
      </c>
      <c r="Y35">
        <v>7.1656500000000003</v>
      </c>
      <c r="Z35">
        <v>44.150669999999998</v>
      </c>
      <c r="AA35">
        <v>42.528283999999999</v>
      </c>
      <c r="AB35">
        <v>1E-4</v>
      </c>
      <c r="AC35">
        <v>4.252325426065541</v>
      </c>
      <c r="AD35">
        <v>0.95427111021416655</v>
      </c>
      <c r="AE35">
        <v>1.6426339999999999</v>
      </c>
      <c r="AF35">
        <v>0.61320962287952185</v>
      </c>
      <c r="AG35">
        <v>0.4156812945679253</v>
      </c>
      <c r="AH35">
        <v>1</v>
      </c>
    </row>
    <row r="36" spans="1:34" x14ac:dyDescent="0.3">
      <c r="A36">
        <v>35</v>
      </c>
      <c r="B36" t="s">
        <v>137</v>
      </c>
      <c r="C36">
        <v>13605.1550876</v>
      </c>
      <c r="D36">
        <v>226.75258479333331</v>
      </c>
      <c r="E36" t="s">
        <v>138</v>
      </c>
      <c r="F36" t="s">
        <v>35</v>
      </c>
      <c r="G36" t="s">
        <v>139</v>
      </c>
      <c r="H36" t="s">
        <v>37</v>
      </c>
      <c r="I36">
        <v>2.0743334447347179E-2</v>
      </c>
      <c r="J36">
        <v>0</v>
      </c>
      <c r="K36" t="s">
        <v>14</v>
      </c>
      <c r="L36">
        <v>533</v>
      </c>
      <c r="M36">
        <v>9.5771392753918555E-5</v>
      </c>
      <c r="N36">
        <v>1E-4</v>
      </c>
      <c r="O36">
        <v>3000</v>
      </c>
      <c r="T36" s="2">
        <v>6.9670662460170188E-2</v>
      </c>
      <c r="U36" s="2">
        <v>3.1060014804906468</v>
      </c>
      <c r="V36" s="2">
        <v>4.7532143132203437</v>
      </c>
      <c r="W36" s="2">
        <v>9.6469999999999993E-3</v>
      </c>
      <c r="X36" s="2">
        <v>8.5518540000000005</v>
      </c>
      <c r="Y36" s="2">
        <v>7.1656500000000003</v>
      </c>
      <c r="Z36" s="2">
        <v>44.150669999999998</v>
      </c>
      <c r="AA36" s="2">
        <v>42.528283999999999</v>
      </c>
      <c r="AB36" s="2">
        <v>1E-4</v>
      </c>
      <c r="AC36" s="2">
        <v>1.281974422227417</v>
      </c>
      <c r="AD36" s="2">
        <v>0.82495782009139251</v>
      </c>
      <c r="AE36" s="2">
        <v>1.6426339999999999</v>
      </c>
      <c r="AF36" s="2">
        <v>0.37588761330540049</v>
      </c>
      <c r="AG36" s="2">
        <v>0.42550928027932139</v>
      </c>
    </row>
    <row r="37" spans="1:34" x14ac:dyDescent="0.3">
      <c r="A37">
        <v>36</v>
      </c>
      <c r="B37" t="s">
        <v>140</v>
      </c>
      <c r="C37">
        <v>17238.200984300001</v>
      </c>
      <c r="D37">
        <v>287.30334973833328</v>
      </c>
      <c r="E37" t="s">
        <v>141</v>
      </c>
      <c r="F37" t="s">
        <v>35</v>
      </c>
      <c r="G37" t="s">
        <v>142</v>
      </c>
      <c r="H37" t="s">
        <v>37</v>
      </c>
      <c r="I37">
        <v>1.021763141273108E-2</v>
      </c>
      <c r="J37">
        <v>0</v>
      </c>
      <c r="K37" t="s">
        <v>14</v>
      </c>
      <c r="L37">
        <v>405</v>
      </c>
      <c r="M37">
        <v>9.8470037554762669E-5</v>
      </c>
      <c r="N37">
        <v>1E-4</v>
      </c>
      <c r="O37">
        <v>3000</v>
      </c>
      <c r="T37" s="2">
        <v>0.29181717581740368</v>
      </c>
      <c r="U37" s="2">
        <v>1.279621368416282</v>
      </c>
      <c r="V37" s="2">
        <v>4.2088484938113222</v>
      </c>
      <c r="W37" s="2">
        <v>9.6469999999999993E-3</v>
      </c>
      <c r="X37" s="2">
        <v>8.5518540000000005</v>
      </c>
      <c r="Y37" s="2">
        <v>7.1656500000000003</v>
      </c>
      <c r="Z37" s="2">
        <v>44.150669999999998</v>
      </c>
      <c r="AA37" s="2">
        <v>42.528283999999999</v>
      </c>
      <c r="AB37" s="2">
        <v>1E-4</v>
      </c>
      <c r="AC37" s="2">
        <v>2.1006337460212632</v>
      </c>
      <c r="AD37" s="2">
        <v>0.99588913113327215</v>
      </c>
      <c r="AE37" s="2">
        <v>1.6426339999999999</v>
      </c>
      <c r="AF37" s="2">
        <v>0.46611857605913842</v>
      </c>
      <c r="AG37" s="2">
        <v>0.38530408581084519</v>
      </c>
    </row>
    <row r="38" spans="1:34" x14ac:dyDescent="0.3">
      <c r="A38">
        <v>37</v>
      </c>
      <c r="B38" t="s">
        <v>143</v>
      </c>
      <c r="C38">
        <v>10821.325008000011</v>
      </c>
      <c r="D38">
        <v>180.3554168000002</v>
      </c>
      <c r="E38" t="s">
        <v>144</v>
      </c>
      <c r="F38" t="s">
        <v>35</v>
      </c>
      <c r="G38" t="s">
        <v>145</v>
      </c>
      <c r="H38" t="s">
        <v>37</v>
      </c>
      <c r="I38">
        <v>2.3742916167235499E-2</v>
      </c>
      <c r="J38">
        <v>0</v>
      </c>
      <c r="K38" t="s">
        <v>14</v>
      </c>
      <c r="L38">
        <v>285</v>
      </c>
      <c r="M38">
        <v>9.4449768455108306E-5</v>
      </c>
      <c r="N38">
        <v>1E-4</v>
      </c>
      <c r="O38">
        <v>3000</v>
      </c>
      <c r="T38">
        <v>0.1094464579719584</v>
      </c>
      <c r="U38">
        <v>3.0789013453249461</v>
      </c>
      <c r="V38">
        <v>0.41024012838144058</v>
      </c>
      <c r="W38">
        <v>9.6469999999999993E-3</v>
      </c>
      <c r="X38">
        <v>8.5518540000000005</v>
      </c>
      <c r="Y38">
        <v>7.1656500000000003</v>
      </c>
      <c r="Z38">
        <v>44.150669999999998</v>
      </c>
      <c r="AA38">
        <v>42.528283999999999</v>
      </c>
      <c r="AB38">
        <v>1E-4</v>
      </c>
      <c r="AC38">
        <v>5.619499902173156</v>
      </c>
      <c r="AD38">
        <v>0.99855160122087683</v>
      </c>
      <c r="AE38">
        <v>1.6426339999999999</v>
      </c>
      <c r="AF38">
        <v>0.62944585684363086</v>
      </c>
      <c r="AG38">
        <v>0.13942272763891819</v>
      </c>
      <c r="AH38">
        <v>1</v>
      </c>
    </row>
    <row r="39" spans="1:34" x14ac:dyDescent="0.3">
      <c r="A39">
        <v>38</v>
      </c>
      <c r="B39" t="s">
        <v>146</v>
      </c>
      <c r="C39">
        <v>6861.0893611999927</v>
      </c>
      <c r="D39">
        <v>114.35148935333321</v>
      </c>
      <c r="E39" t="s">
        <v>147</v>
      </c>
      <c r="F39" t="s">
        <v>35</v>
      </c>
      <c r="G39" t="s">
        <v>148</v>
      </c>
      <c r="H39" t="s">
        <v>37</v>
      </c>
      <c r="I39">
        <v>4.1078049329061478E-2</v>
      </c>
      <c r="J39">
        <v>0</v>
      </c>
      <c r="K39" t="s">
        <v>14</v>
      </c>
      <c r="L39">
        <v>307</v>
      </c>
      <c r="M39">
        <v>8.44483923271514E-5</v>
      </c>
      <c r="N39">
        <v>1E-4</v>
      </c>
      <c r="O39">
        <v>3000</v>
      </c>
      <c r="T39">
        <v>0.1227094513141276</v>
      </c>
      <c r="U39">
        <v>2.8073541301759581</v>
      </c>
      <c r="V39">
        <v>0.35996106555883861</v>
      </c>
      <c r="W39">
        <v>9.6469999999999993E-3</v>
      </c>
      <c r="X39">
        <v>8.5518540000000005</v>
      </c>
      <c r="Y39">
        <v>7.1656500000000003</v>
      </c>
      <c r="Z39">
        <v>44.150669999999998</v>
      </c>
      <c r="AA39">
        <v>42.528283999999999</v>
      </c>
      <c r="AB39">
        <v>1E-4</v>
      </c>
      <c r="AC39">
        <v>5.5402010605605714</v>
      </c>
      <c r="AD39">
        <v>0.99994831101529702</v>
      </c>
      <c r="AE39">
        <v>1.6426339999999999</v>
      </c>
      <c r="AF39">
        <v>0.61622094997605092</v>
      </c>
      <c r="AG39">
        <v>0.10802070616135891</v>
      </c>
      <c r="AH39">
        <v>2</v>
      </c>
    </row>
    <row r="40" spans="1:34" x14ac:dyDescent="0.3">
      <c r="A40">
        <v>39</v>
      </c>
      <c r="B40" t="s">
        <v>149</v>
      </c>
      <c r="C40">
        <v>28859.046271200001</v>
      </c>
      <c r="D40">
        <v>480.98410452000002</v>
      </c>
      <c r="E40" t="s">
        <v>150</v>
      </c>
      <c r="F40" t="s">
        <v>35</v>
      </c>
      <c r="G40" t="s">
        <v>151</v>
      </c>
      <c r="H40" t="s">
        <v>37</v>
      </c>
      <c r="I40">
        <v>2.2975391594716999E-2</v>
      </c>
      <c r="J40">
        <v>0</v>
      </c>
      <c r="K40" t="s">
        <v>14</v>
      </c>
      <c r="L40">
        <v>2436</v>
      </c>
      <c r="M40">
        <v>2.3041478700691549E-5</v>
      </c>
      <c r="N40">
        <v>1E-4</v>
      </c>
      <c r="O40">
        <v>3000</v>
      </c>
      <c r="T40" s="2">
        <v>0.1359756669553438</v>
      </c>
      <c r="U40" s="2">
        <v>1.2077244210816229</v>
      </c>
      <c r="V40" s="2">
        <v>2.7492654559773451</v>
      </c>
      <c r="W40" s="2">
        <v>9.6469999999999993E-3</v>
      </c>
      <c r="X40" s="2">
        <v>8.5518540000000005</v>
      </c>
      <c r="Y40" s="2">
        <v>7.1656500000000003</v>
      </c>
      <c r="Z40" s="2">
        <v>44.150669999999998</v>
      </c>
      <c r="AA40" s="2">
        <v>42.528283999999999</v>
      </c>
      <c r="AB40" s="2">
        <v>1E-4</v>
      </c>
      <c r="AC40" s="2">
        <v>2.9393355212587058</v>
      </c>
      <c r="AD40" s="2">
        <v>0.54244360620199983</v>
      </c>
      <c r="AE40" s="2">
        <v>1.6426339999999999</v>
      </c>
      <c r="AF40" s="2">
        <v>0.40411122050813453</v>
      </c>
      <c r="AG40" s="2">
        <v>0.44339809679893338</v>
      </c>
    </row>
    <row r="41" spans="1:34" x14ac:dyDescent="0.3">
      <c r="A41">
        <v>40</v>
      </c>
      <c r="B41" t="s">
        <v>152</v>
      </c>
      <c r="C41">
        <v>13846.7761362</v>
      </c>
      <c r="D41">
        <v>230.77960227</v>
      </c>
      <c r="E41" t="s">
        <v>153</v>
      </c>
      <c r="F41" t="s">
        <v>35</v>
      </c>
      <c r="G41" t="s">
        <v>154</v>
      </c>
      <c r="H41" t="s">
        <v>37</v>
      </c>
      <c r="I41">
        <v>2.536539985805418E-2</v>
      </c>
      <c r="J41">
        <v>0</v>
      </c>
      <c r="K41" t="s">
        <v>14</v>
      </c>
      <c r="L41">
        <v>545</v>
      </c>
      <c r="M41">
        <v>8.5307801128211352E-5</v>
      </c>
      <c r="N41">
        <v>1E-4</v>
      </c>
      <c r="O41">
        <v>3000</v>
      </c>
      <c r="T41">
        <v>0.13037461209861351</v>
      </c>
      <c r="U41">
        <v>2.9990983245261522</v>
      </c>
      <c r="V41">
        <v>0.19024970648280681</v>
      </c>
      <c r="W41">
        <v>9.6469999999999993E-3</v>
      </c>
      <c r="X41">
        <v>8.5518540000000005</v>
      </c>
      <c r="Y41">
        <v>7.1656500000000003</v>
      </c>
      <c r="Z41">
        <v>44.150669999999998</v>
      </c>
      <c r="AA41">
        <v>42.528283999999999</v>
      </c>
      <c r="AB41">
        <v>1E-4</v>
      </c>
      <c r="AC41">
        <v>5.5519419204908083</v>
      </c>
      <c r="AD41">
        <v>0.99988864820782386</v>
      </c>
      <c r="AE41">
        <v>1.6426339999999999</v>
      </c>
      <c r="AF41">
        <v>0.63989909300625203</v>
      </c>
      <c r="AG41">
        <v>0.100003480751062</v>
      </c>
      <c r="AH41">
        <v>2</v>
      </c>
    </row>
    <row r="42" spans="1:34" x14ac:dyDescent="0.3">
      <c r="A42">
        <v>41</v>
      </c>
      <c r="B42" t="s">
        <v>155</v>
      </c>
      <c r="C42">
        <v>18719.35781500005</v>
      </c>
      <c r="D42">
        <v>311.98929691666763</v>
      </c>
      <c r="E42" t="s">
        <v>156</v>
      </c>
      <c r="F42" t="s">
        <v>35</v>
      </c>
      <c r="G42" t="s">
        <v>157</v>
      </c>
      <c r="H42" t="s">
        <v>37</v>
      </c>
      <c r="I42">
        <v>3.6246139784788738E-2</v>
      </c>
      <c r="J42">
        <v>0</v>
      </c>
      <c r="K42" t="s">
        <v>14</v>
      </c>
      <c r="L42">
        <v>368</v>
      </c>
      <c r="M42">
        <v>9.8345836645852161E-5</v>
      </c>
      <c r="N42">
        <v>1E-4</v>
      </c>
      <c r="O42">
        <v>3000</v>
      </c>
      <c r="T42">
        <v>0.57752332244897775</v>
      </c>
      <c r="U42">
        <v>1.66130228696973</v>
      </c>
      <c r="V42">
        <v>2.8064492199273641</v>
      </c>
      <c r="W42">
        <v>9.6469999999999993E-3</v>
      </c>
      <c r="X42">
        <v>8.5518540000000005</v>
      </c>
      <c r="Y42">
        <v>7.1656500000000003</v>
      </c>
      <c r="Z42">
        <v>44.150669999999998</v>
      </c>
      <c r="AA42">
        <v>42.528283999999999</v>
      </c>
      <c r="AB42">
        <v>1E-4</v>
      </c>
      <c r="AC42">
        <v>2.5523096462554031</v>
      </c>
      <c r="AD42">
        <v>0.6524331565562036</v>
      </c>
      <c r="AE42">
        <v>1.6426339999999999</v>
      </c>
      <c r="AF42">
        <v>0.62554233314690944</v>
      </c>
      <c r="AG42">
        <v>0.32930354055451472</v>
      </c>
      <c r="AH42">
        <v>1</v>
      </c>
    </row>
    <row r="43" spans="1:34" x14ac:dyDescent="0.3">
      <c r="A43">
        <v>42</v>
      </c>
      <c r="B43" t="s">
        <v>158</v>
      </c>
      <c r="C43">
        <v>12090.978558199949</v>
      </c>
      <c r="D43">
        <v>201.51630930333241</v>
      </c>
      <c r="E43" t="s">
        <v>159</v>
      </c>
      <c r="F43" t="s">
        <v>35</v>
      </c>
      <c r="G43" t="s">
        <v>160</v>
      </c>
      <c r="H43" t="s">
        <v>37</v>
      </c>
      <c r="I43">
        <v>8.8008252518393913E-3</v>
      </c>
      <c r="J43">
        <v>0</v>
      </c>
      <c r="K43" t="s">
        <v>14</v>
      </c>
      <c r="L43">
        <v>242</v>
      </c>
      <c r="M43">
        <v>9.956494080706589E-5</v>
      </c>
      <c r="N43">
        <v>1E-4</v>
      </c>
      <c r="O43">
        <v>3000</v>
      </c>
      <c r="T43">
        <v>4.9713069633522372E-2</v>
      </c>
      <c r="U43">
        <v>6.5977463672493366</v>
      </c>
      <c r="V43">
        <v>0.31311858046653779</v>
      </c>
      <c r="W43">
        <v>9.6469999999999993E-3</v>
      </c>
      <c r="X43">
        <v>8.5518540000000005</v>
      </c>
      <c r="Y43">
        <v>7.1656500000000003</v>
      </c>
      <c r="Z43">
        <v>44.150669999999998</v>
      </c>
      <c r="AA43">
        <v>42.528283999999999</v>
      </c>
      <c r="AB43">
        <v>1E-4</v>
      </c>
      <c r="AC43">
        <v>5.4377300307475114</v>
      </c>
      <c r="AD43">
        <v>0.37203381820939702</v>
      </c>
      <c r="AE43">
        <v>1.6426339999999999</v>
      </c>
      <c r="AF43">
        <v>0.55232036777290161</v>
      </c>
      <c r="AG43">
        <v>0.16099309977936019</v>
      </c>
      <c r="AH43">
        <v>2</v>
      </c>
    </row>
    <row r="44" spans="1:34" x14ac:dyDescent="0.3">
      <c r="A44">
        <v>43</v>
      </c>
      <c r="B44" t="s">
        <v>161</v>
      </c>
      <c r="C44">
        <v>18989.932084700031</v>
      </c>
      <c r="D44">
        <v>316.49886807833389</v>
      </c>
      <c r="E44" t="s">
        <v>162</v>
      </c>
      <c r="F44" t="s">
        <v>35</v>
      </c>
      <c r="G44" t="s">
        <v>163</v>
      </c>
      <c r="H44" t="s">
        <v>37</v>
      </c>
      <c r="I44">
        <v>1.6314150010495201E-2</v>
      </c>
      <c r="J44">
        <v>0</v>
      </c>
      <c r="K44" t="s">
        <v>14</v>
      </c>
      <c r="L44">
        <v>3001</v>
      </c>
      <c r="M44">
        <v>3.531258613098696E-4</v>
      </c>
      <c r="N44">
        <v>1E-4</v>
      </c>
      <c r="O44">
        <v>3000</v>
      </c>
      <c r="T44">
        <v>3.7111673490320622E-2</v>
      </c>
      <c r="U44">
        <v>6.5818128854750508</v>
      </c>
      <c r="V44">
        <v>1.1073073121699619</v>
      </c>
      <c r="W44">
        <v>9.6469999999999993E-3</v>
      </c>
      <c r="X44">
        <v>8.5518540000000005</v>
      </c>
      <c r="Y44">
        <v>7.1656500000000003</v>
      </c>
      <c r="Z44">
        <v>44.150669999999998</v>
      </c>
      <c r="AA44">
        <v>42.528283999999999</v>
      </c>
      <c r="AB44">
        <v>1E-4</v>
      </c>
      <c r="AC44">
        <v>3.853162958204702</v>
      </c>
      <c r="AD44">
        <v>0.5561711208575485</v>
      </c>
      <c r="AE44">
        <v>1.6426339999999999</v>
      </c>
      <c r="AF44">
        <v>0.45734700779106402</v>
      </c>
      <c r="AG44">
        <v>0.30097147464853968</v>
      </c>
      <c r="AH44">
        <v>1</v>
      </c>
    </row>
    <row r="45" spans="1:34" x14ac:dyDescent="0.3">
      <c r="A45">
        <v>44</v>
      </c>
      <c r="B45" t="s">
        <v>164</v>
      </c>
      <c r="C45">
        <v>24786.473786599989</v>
      </c>
      <c r="D45">
        <v>413.10789644333317</v>
      </c>
      <c r="E45" t="s">
        <v>165</v>
      </c>
      <c r="F45" t="s">
        <v>35</v>
      </c>
      <c r="G45" t="s">
        <v>166</v>
      </c>
      <c r="H45" t="s">
        <v>37</v>
      </c>
      <c r="I45">
        <v>1.0003044111750939E-2</v>
      </c>
      <c r="J45">
        <v>0</v>
      </c>
      <c r="K45" t="s">
        <v>14</v>
      </c>
      <c r="L45">
        <v>2336</v>
      </c>
      <c r="M45">
        <v>9.4838676435224324E-5</v>
      </c>
      <c r="N45">
        <v>1E-4</v>
      </c>
      <c r="O45">
        <v>3000</v>
      </c>
      <c r="T45">
        <v>0.1079931138950458</v>
      </c>
      <c r="U45">
        <v>1.728289082338875</v>
      </c>
      <c r="V45">
        <v>4.2993726803987578</v>
      </c>
      <c r="W45">
        <v>9.6469999999999993E-3</v>
      </c>
      <c r="X45">
        <v>8.5518540000000005</v>
      </c>
      <c r="Y45">
        <v>7.1656500000000003</v>
      </c>
      <c r="Z45">
        <v>44.150669999999998</v>
      </c>
      <c r="AA45">
        <v>42.528283999999999</v>
      </c>
      <c r="AB45">
        <v>1E-4</v>
      </c>
      <c r="AC45">
        <v>1.9108034117474511</v>
      </c>
      <c r="AD45">
        <v>0.1731438874098615</v>
      </c>
      <c r="AE45">
        <v>1.6426339999999999</v>
      </c>
      <c r="AF45">
        <v>0.35409572834679381</v>
      </c>
      <c r="AG45">
        <v>0.51800295285361286</v>
      </c>
      <c r="AH45">
        <v>1</v>
      </c>
    </row>
    <row r="46" spans="1:34" x14ac:dyDescent="0.3">
      <c r="A46">
        <v>45</v>
      </c>
      <c r="B46" t="s">
        <v>167</v>
      </c>
      <c r="C46">
        <v>16503.990401200019</v>
      </c>
      <c r="D46">
        <v>275.06650668666703</v>
      </c>
      <c r="E46" t="s">
        <v>168</v>
      </c>
      <c r="F46" t="s">
        <v>35</v>
      </c>
      <c r="G46" t="s">
        <v>169</v>
      </c>
      <c r="H46" t="s">
        <v>37</v>
      </c>
      <c r="I46">
        <v>1.9023041442677021E-2</v>
      </c>
      <c r="J46">
        <v>0</v>
      </c>
      <c r="K46" t="s">
        <v>14</v>
      </c>
      <c r="L46">
        <v>940</v>
      </c>
      <c r="M46">
        <v>9.379461023133869E-5</v>
      </c>
      <c r="N46">
        <v>1E-4</v>
      </c>
      <c r="O46">
        <v>3000</v>
      </c>
      <c r="T46">
        <v>7.6338007895285567E-2</v>
      </c>
      <c r="U46">
        <v>2.1484320279473619</v>
      </c>
      <c r="V46">
        <v>1.475429098981929</v>
      </c>
      <c r="W46">
        <v>9.6469999999999993E-3</v>
      </c>
      <c r="X46">
        <v>8.5518540000000005</v>
      </c>
      <c r="Y46">
        <v>7.1656500000000003</v>
      </c>
      <c r="Z46">
        <v>44.150669999999998</v>
      </c>
      <c r="AA46">
        <v>42.528283999999999</v>
      </c>
      <c r="AB46">
        <v>1E-4</v>
      </c>
      <c r="AC46">
        <v>3.7618758667714789</v>
      </c>
      <c r="AD46">
        <v>0.99439372698298123</v>
      </c>
      <c r="AE46">
        <v>1.6426339999999999</v>
      </c>
      <c r="AF46">
        <v>0.37729042300840809</v>
      </c>
      <c r="AG46">
        <v>0.45713889274769082</v>
      </c>
      <c r="AH46">
        <v>1</v>
      </c>
    </row>
    <row r="47" spans="1:34" x14ac:dyDescent="0.3">
      <c r="A47">
        <v>46</v>
      </c>
      <c r="B47" t="s">
        <v>170</v>
      </c>
      <c r="C47">
        <v>8646.3214053999982</v>
      </c>
      <c r="D47">
        <v>144.10535675666659</v>
      </c>
      <c r="E47" t="s">
        <v>171</v>
      </c>
      <c r="F47" t="s">
        <v>35</v>
      </c>
      <c r="G47" t="s">
        <v>172</v>
      </c>
      <c r="H47" t="s">
        <v>37</v>
      </c>
      <c r="I47">
        <v>2.6580167883440298E-2</v>
      </c>
      <c r="J47">
        <v>0</v>
      </c>
      <c r="K47" t="s">
        <v>14</v>
      </c>
      <c r="L47">
        <v>165</v>
      </c>
      <c r="M47">
        <v>9.8347257197603234E-5</v>
      </c>
      <c r="N47">
        <v>1E-4</v>
      </c>
      <c r="O47">
        <v>3000</v>
      </c>
      <c r="T47">
        <v>9.5371729442421352E-2</v>
      </c>
      <c r="U47">
        <v>5.3417965560104061</v>
      </c>
      <c r="V47">
        <v>0.29185520463689879</v>
      </c>
      <c r="W47">
        <v>9.6469999999999993E-3</v>
      </c>
      <c r="X47">
        <v>8.5518540000000005</v>
      </c>
      <c r="Y47">
        <v>7.1656500000000003</v>
      </c>
      <c r="Z47">
        <v>44.150669999999998</v>
      </c>
      <c r="AA47">
        <v>42.528283999999999</v>
      </c>
      <c r="AB47">
        <v>1E-4</v>
      </c>
      <c r="AC47">
        <v>3.9691047816148899</v>
      </c>
      <c r="AD47">
        <v>0.99957490285693673</v>
      </c>
      <c r="AE47">
        <v>1.6426339999999999</v>
      </c>
      <c r="AF47">
        <v>0.66077463465516251</v>
      </c>
      <c r="AG47">
        <v>0.1000050148419402</v>
      </c>
      <c r="AH47">
        <v>2</v>
      </c>
    </row>
    <row r="48" spans="1:34" x14ac:dyDescent="0.3">
      <c r="A48">
        <v>47</v>
      </c>
      <c r="B48" t="s">
        <v>173</v>
      </c>
      <c r="C48">
        <v>6941.031269100029</v>
      </c>
      <c r="D48">
        <v>115.6838544850005</v>
      </c>
      <c r="E48" t="s">
        <v>174</v>
      </c>
      <c r="F48" t="s">
        <v>35</v>
      </c>
      <c r="G48" t="s">
        <v>175</v>
      </c>
      <c r="H48" t="s">
        <v>37</v>
      </c>
      <c r="I48">
        <v>1.194849876928167E-2</v>
      </c>
      <c r="J48">
        <v>0</v>
      </c>
      <c r="K48" t="s">
        <v>14</v>
      </c>
      <c r="L48">
        <v>261</v>
      </c>
      <c r="M48">
        <v>9.610442217277581E-5</v>
      </c>
      <c r="N48">
        <v>1E-4</v>
      </c>
      <c r="O48">
        <v>3000</v>
      </c>
      <c r="T48">
        <v>4.4611724074754201E-2</v>
      </c>
      <c r="U48">
        <v>8.6715172891943784</v>
      </c>
      <c r="V48">
        <v>0.78540916525045068</v>
      </c>
      <c r="W48">
        <v>9.6469999999999993E-3</v>
      </c>
      <c r="X48">
        <v>8.5518540000000005</v>
      </c>
      <c r="Y48">
        <v>7.1656500000000003</v>
      </c>
      <c r="Z48">
        <v>44.150669999999998</v>
      </c>
      <c r="AA48">
        <v>42.528283999999999</v>
      </c>
      <c r="AB48">
        <v>1E-4</v>
      </c>
      <c r="AC48">
        <v>3.0887805327998801</v>
      </c>
      <c r="AD48">
        <v>0.63577382502144675</v>
      </c>
      <c r="AE48">
        <v>1.6426339999999999</v>
      </c>
      <c r="AF48">
        <v>0.53810147502254213</v>
      </c>
      <c r="AG48">
        <v>0.21795264160310901</v>
      </c>
      <c r="AH48">
        <v>1</v>
      </c>
    </row>
    <row r="49" spans="1:34" x14ac:dyDescent="0.3">
      <c r="A49">
        <v>48</v>
      </c>
      <c r="B49" t="s">
        <v>176</v>
      </c>
      <c r="C49">
        <v>9781.6516631999984</v>
      </c>
      <c r="D49">
        <v>163.02752771999999</v>
      </c>
      <c r="E49" t="s">
        <v>177</v>
      </c>
      <c r="F49" t="s">
        <v>35</v>
      </c>
      <c r="G49" t="s">
        <v>178</v>
      </c>
      <c r="H49" t="s">
        <v>37</v>
      </c>
      <c r="I49">
        <v>2.6623449290692811E-2</v>
      </c>
      <c r="J49">
        <v>0</v>
      </c>
      <c r="K49" t="s">
        <v>14</v>
      </c>
      <c r="L49">
        <v>423</v>
      </c>
      <c r="M49">
        <v>8.1032135582779046E-5</v>
      </c>
      <c r="N49">
        <v>1E-4</v>
      </c>
      <c r="O49">
        <v>3000</v>
      </c>
      <c r="T49">
        <v>9.5281571547884178E-2</v>
      </c>
      <c r="U49">
        <v>3.331226214473054</v>
      </c>
      <c r="V49">
        <v>9.9367311695043021</v>
      </c>
      <c r="W49">
        <v>9.6469999999999993E-3</v>
      </c>
      <c r="X49">
        <v>8.5518540000000005</v>
      </c>
      <c r="Y49">
        <v>7.1656500000000003</v>
      </c>
      <c r="Z49">
        <v>44.150669999999998</v>
      </c>
      <c r="AA49">
        <v>42.528283999999999</v>
      </c>
      <c r="AB49">
        <v>1E-4</v>
      </c>
      <c r="AC49">
        <v>1.3428594002424179</v>
      </c>
      <c r="AD49">
        <v>0.99223058602201264</v>
      </c>
      <c r="AE49">
        <v>1.6426339999999999</v>
      </c>
      <c r="AF49">
        <v>0.59821293014856636</v>
      </c>
      <c r="AG49">
        <v>0.36451007621972331</v>
      </c>
      <c r="AH49">
        <v>1</v>
      </c>
    </row>
    <row r="50" spans="1:34" x14ac:dyDescent="0.3">
      <c r="A50">
        <v>49</v>
      </c>
      <c r="B50" t="s">
        <v>179</v>
      </c>
      <c r="C50">
        <v>9371.0296170999645</v>
      </c>
      <c r="D50">
        <v>156.18382695166611</v>
      </c>
      <c r="E50" t="s">
        <v>180</v>
      </c>
      <c r="F50" t="s">
        <v>35</v>
      </c>
      <c r="G50" t="s">
        <v>181</v>
      </c>
      <c r="H50" t="s">
        <v>37</v>
      </c>
      <c r="I50">
        <v>2.5088682414831209E-2</v>
      </c>
      <c r="J50">
        <v>0</v>
      </c>
      <c r="K50" t="s">
        <v>14</v>
      </c>
      <c r="L50">
        <v>321</v>
      </c>
      <c r="M50">
        <v>9.4901856563863355E-5</v>
      </c>
      <c r="N50">
        <v>1E-4</v>
      </c>
      <c r="O50">
        <v>3000</v>
      </c>
      <c r="T50" s="2">
        <v>4.9643664583569523E-2</v>
      </c>
      <c r="U50" s="2">
        <v>2.9722745354726041</v>
      </c>
      <c r="V50" s="2">
        <v>5.4297146770707574</v>
      </c>
      <c r="W50" s="2">
        <v>9.6469999999999993E-3</v>
      </c>
      <c r="X50" s="2">
        <v>8.5518540000000005</v>
      </c>
      <c r="Y50" s="2">
        <v>7.1656500000000003</v>
      </c>
      <c r="Z50" s="2">
        <v>44.150669999999998</v>
      </c>
      <c r="AA50" s="2">
        <v>42.528283999999999</v>
      </c>
      <c r="AB50" s="2">
        <v>1E-4</v>
      </c>
      <c r="AC50" s="2">
        <v>1.127648468367126</v>
      </c>
      <c r="AD50" s="2">
        <v>0.80815535727297716</v>
      </c>
      <c r="AE50" s="2">
        <v>1.6426339999999999</v>
      </c>
      <c r="AF50" s="2">
        <v>0.36345241980061638</v>
      </c>
      <c r="AG50" s="2">
        <v>0.42112222077518813</v>
      </c>
    </row>
    <row r="51" spans="1:34" x14ac:dyDescent="0.3">
      <c r="A51">
        <v>50</v>
      </c>
      <c r="B51" t="s">
        <v>182</v>
      </c>
      <c r="C51">
        <v>14771.834517899961</v>
      </c>
      <c r="D51">
        <v>246.19724196499931</v>
      </c>
      <c r="E51" t="s">
        <v>183</v>
      </c>
      <c r="F51" t="s">
        <v>35</v>
      </c>
      <c r="G51" t="s">
        <v>184</v>
      </c>
      <c r="H51" t="s">
        <v>37</v>
      </c>
      <c r="I51">
        <v>1.8079349947727929E-2</v>
      </c>
      <c r="J51">
        <v>0</v>
      </c>
      <c r="K51" t="s">
        <v>14</v>
      </c>
      <c r="L51">
        <v>1619</v>
      </c>
      <c r="M51">
        <v>9.7776949008474202E-5</v>
      </c>
      <c r="N51">
        <v>1E-4</v>
      </c>
      <c r="O51">
        <v>3000</v>
      </c>
      <c r="T51">
        <v>0.1033758665619207</v>
      </c>
      <c r="U51">
        <v>3.4894102345850828</v>
      </c>
      <c r="V51">
        <v>1.316810436714732</v>
      </c>
      <c r="W51">
        <v>9.6469999999999993E-3</v>
      </c>
      <c r="X51">
        <v>8.5518540000000005</v>
      </c>
      <c r="Y51">
        <v>7.1656500000000003</v>
      </c>
      <c r="Z51">
        <v>44.150669999999998</v>
      </c>
      <c r="AA51">
        <v>42.528283999999999</v>
      </c>
      <c r="AB51">
        <v>1E-4</v>
      </c>
      <c r="AC51">
        <v>3.2706060034619742</v>
      </c>
      <c r="AD51">
        <v>0.99997920336769752</v>
      </c>
      <c r="AE51">
        <v>1.6426339999999999</v>
      </c>
      <c r="AF51">
        <v>0.54384241433488878</v>
      </c>
      <c r="AG51">
        <v>0.33642100846641448</v>
      </c>
      <c r="AH51">
        <v>1</v>
      </c>
    </row>
    <row r="53" spans="1:34" x14ac:dyDescent="0.3">
      <c r="A53">
        <f>COUNT(A2:A51)</f>
        <v>50</v>
      </c>
      <c r="T53">
        <f>AVERAGE(T2:T51)</f>
        <v>0.15781186824164486</v>
      </c>
      <c r="U53">
        <f t="shared" ref="U53:AG53" si="0">AVERAGE(U2:U51)</f>
        <v>3.0141037580222321</v>
      </c>
      <c r="V53">
        <f t="shared" si="0"/>
        <v>3.1257501099361531</v>
      </c>
      <c r="AC53">
        <f t="shared" si="0"/>
        <v>3.1813040004853979</v>
      </c>
      <c r="AD53">
        <f t="shared" si="0"/>
        <v>0.81783348653625976</v>
      </c>
      <c r="AF53">
        <f t="shared" si="0"/>
        <v>0.53031054438877201</v>
      </c>
      <c r="AG53">
        <f t="shared" si="0"/>
        <v>0.31177341252742202</v>
      </c>
    </row>
    <row r="54" spans="1:34" x14ac:dyDescent="0.3">
      <c r="T54">
        <f>MEDIAN(T2:T51)</f>
        <v>0.11258565507806795</v>
      </c>
      <c r="U54">
        <f t="shared" ref="U54:AG54" si="1">MEDIAN(U2:U51)</f>
        <v>2.8962325011912373</v>
      </c>
      <c r="V54">
        <f t="shared" si="1"/>
        <v>2.7778573379523546</v>
      </c>
      <c r="AC54">
        <f t="shared" si="1"/>
        <v>2.7687824431613448</v>
      </c>
      <c r="AD54">
        <f t="shared" si="1"/>
        <v>0.93681272904070623</v>
      </c>
      <c r="AF54">
        <f t="shared" si="1"/>
        <v>0.55061593592110958</v>
      </c>
      <c r="AG54">
        <f t="shared" si="1"/>
        <v>0.33973952722273809</v>
      </c>
    </row>
    <row r="55" spans="1:34" x14ac:dyDescent="0.3">
      <c r="T55">
        <f>STDEVA(T2:T51)</f>
        <v>0.13020785049392836</v>
      </c>
      <c r="U55">
        <f t="shared" ref="U55:AG55" si="2">STDEVA(U2:U51)</f>
        <v>1.7474316280264959</v>
      </c>
      <c r="V55">
        <f t="shared" si="2"/>
        <v>2.6882260892997665</v>
      </c>
      <c r="AC55">
        <f t="shared" si="2"/>
        <v>1.5926964172066207</v>
      </c>
      <c r="AD55">
        <f t="shared" si="2"/>
        <v>0.24116107053598762</v>
      </c>
      <c r="AF55">
        <f t="shared" si="2"/>
        <v>0.11264138175545955</v>
      </c>
      <c r="AG55">
        <f t="shared" si="2"/>
        <v>0.14252047006104465</v>
      </c>
    </row>
    <row r="78" spans="21:21" x14ac:dyDescent="0.3">
      <c r="U78" s="1"/>
    </row>
  </sheetData>
  <autoFilter ref="A1:AG1" xr:uid="{31D0ED38-DB97-4B93-B396-311E91E46429}">
    <sortState xmlns:xlrd2="http://schemas.microsoft.com/office/spreadsheetml/2017/richdata2" ref="A2:AG51">
      <sortCondition ref="A1"/>
    </sortState>
  </autoFilter>
  <conditionalFormatting sqref="T2:T51">
    <cfRule type="top10" dxfId="65" priority="7" percent="1" rank="15"/>
  </conditionalFormatting>
  <conditionalFormatting sqref="U2:U51">
    <cfRule type="top10" dxfId="64" priority="6" percent="1" rank="15"/>
  </conditionalFormatting>
  <conditionalFormatting sqref="V2:V51">
    <cfRule type="top10" dxfId="63" priority="5" percent="1" rank="15"/>
  </conditionalFormatting>
  <conditionalFormatting sqref="AC2:AC51">
    <cfRule type="top10" dxfId="62" priority="4" percent="1" rank="15"/>
  </conditionalFormatting>
  <conditionalFormatting sqref="AD2:AD51">
    <cfRule type="top10" dxfId="61" priority="3" percent="1" rank="15"/>
  </conditionalFormatting>
  <conditionalFormatting sqref="AG2:AG51">
    <cfRule type="top10" dxfId="60" priority="2" percent="1" rank="15"/>
  </conditionalFormatting>
  <conditionalFormatting sqref="AF2:AF51">
    <cfRule type="top10" dxfId="59" priority="1" percent="1" rank="15"/>
  </conditionalFormatting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B2D2-10C9-4907-9C11-EC4412DEB293}">
  <sheetPr codeName="Hoja3"/>
  <dimension ref="A1:AH68"/>
  <sheetViews>
    <sheetView topLeftCell="H28" workbookViewId="0">
      <selection activeCell="Z66" sqref="Z66"/>
    </sheetView>
  </sheetViews>
  <sheetFormatPr baseColWidth="10" defaultColWidth="8.88671875" defaultRowHeight="14.4" x14ac:dyDescent="0.3"/>
  <cols>
    <col min="3" max="3" width="10.109375" customWidth="1"/>
    <col min="16" max="19" width="0" hidden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4" x14ac:dyDescent="0.3">
      <c r="A2">
        <v>1</v>
      </c>
      <c r="B2" t="s">
        <v>33</v>
      </c>
      <c r="C2">
        <v>21532.821246699979</v>
      </c>
      <c r="D2">
        <v>358.88035411166641</v>
      </c>
      <c r="E2" t="s">
        <v>34</v>
      </c>
      <c r="F2" t="s">
        <v>35</v>
      </c>
      <c r="G2" t="s">
        <v>36</v>
      </c>
      <c r="H2" t="s">
        <v>37</v>
      </c>
      <c r="I2">
        <v>1.383836386357711E-2</v>
      </c>
      <c r="J2">
        <v>0</v>
      </c>
      <c r="K2" t="s">
        <v>14</v>
      </c>
      <c r="L2">
        <v>696</v>
      </c>
      <c r="M2">
        <v>8.185283822881637E-5</v>
      </c>
      <c r="N2">
        <v>1E-4</v>
      </c>
      <c r="O2">
        <v>3000</v>
      </c>
      <c r="T2">
        <v>7.9591669120431585E-2</v>
      </c>
      <c r="U2">
        <v>1.2775896728366729</v>
      </c>
      <c r="V2">
        <v>7.5802309025826844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2.1607735069316112</v>
      </c>
      <c r="AD2">
        <v>0.82252605860305728</v>
      </c>
      <c r="AE2">
        <v>1.6426339999999999</v>
      </c>
      <c r="AF2">
        <v>0.35680740547586048</v>
      </c>
      <c r="AG2">
        <v>0.45267027933618659</v>
      </c>
      <c r="AH2">
        <v>1</v>
      </c>
    </row>
    <row r="3" spans="1:34" x14ac:dyDescent="0.3">
      <c r="A3">
        <v>2</v>
      </c>
      <c r="B3" t="s">
        <v>38</v>
      </c>
      <c r="C3">
        <v>13723.09800200001</v>
      </c>
      <c r="D3">
        <v>228.71830003333349</v>
      </c>
      <c r="E3" t="s">
        <v>39</v>
      </c>
      <c r="F3" t="s">
        <v>35</v>
      </c>
      <c r="G3" t="s">
        <v>40</v>
      </c>
      <c r="H3" t="s">
        <v>37</v>
      </c>
      <c r="I3">
        <v>2.215953604856552E-2</v>
      </c>
      <c r="J3">
        <v>0</v>
      </c>
      <c r="K3" t="s">
        <v>14</v>
      </c>
      <c r="L3">
        <v>887</v>
      </c>
      <c r="M3">
        <v>7.024331252581321E-5</v>
      </c>
      <c r="N3">
        <v>1E-4</v>
      </c>
      <c r="O3">
        <v>3000</v>
      </c>
      <c r="T3">
        <v>9.8766372635100658E-2</v>
      </c>
      <c r="U3">
        <v>3.6465402710403638</v>
      </c>
      <c r="V3">
        <v>8.2205194458374589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1.1816009681183359</v>
      </c>
      <c r="AD3">
        <v>0.88822287194601712</v>
      </c>
      <c r="AE3">
        <v>1.6426339999999999</v>
      </c>
      <c r="AF3">
        <v>0.53209866830297281</v>
      </c>
      <c r="AG3">
        <v>0.39887350963340551</v>
      </c>
      <c r="AH3">
        <v>1</v>
      </c>
    </row>
    <row r="4" spans="1:34" x14ac:dyDescent="0.3">
      <c r="A4">
        <v>5</v>
      </c>
      <c r="B4" t="s">
        <v>47</v>
      </c>
      <c r="C4">
        <v>15098.10594339998</v>
      </c>
      <c r="D4">
        <v>251.63509905666629</v>
      </c>
      <c r="E4" t="s">
        <v>48</v>
      </c>
      <c r="F4" t="s">
        <v>35</v>
      </c>
      <c r="G4" t="s">
        <v>49</v>
      </c>
      <c r="H4" t="s">
        <v>37</v>
      </c>
      <c r="I4">
        <v>1.3606320218398429E-2</v>
      </c>
      <c r="J4">
        <v>0</v>
      </c>
      <c r="K4" t="s">
        <v>14</v>
      </c>
      <c r="L4">
        <v>136</v>
      </c>
      <c r="M4">
        <v>9.8399779378960679E-5</v>
      </c>
      <c r="N4">
        <v>1E-4</v>
      </c>
      <c r="O4">
        <v>3000</v>
      </c>
      <c r="T4" s="2">
        <v>6.472871915222754E-2</v>
      </c>
      <c r="U4" s="2">
        <v>3.9702093993711252</v>
      </c>
      <c r="V4" s="2">
        <v>1.180538637321028</v>
      </c>
      <c r="W4" s="2">
        <v>9.6469999999999993E-3</v>
      </c>
      <c r="X4" s="2">
        <v>8.5518540000000005</v>
      </c>
      <c r="Y4" s="2">
        <v>7.1656500000000003</v>
      </c>
      <c r="Z4" s="2">
        <v>44.150669999999998</v>
      </c>
      <c r="AA4" s="2">
        <v>42.528283999999999</v>
      </c>
      <c r="AB4" s="2">
        <v>1E-4</v>
      </c>
      <c r="AC4" s="2">
        <v>1.7779311466140399</v>
      </c>
      <c r="AD4" s="2">
        <v>0.21868182914115469</v>
      </c>
      <c r="AE4" s="2">
        <v>1.6426339999999999</v>
      </c>
      <c r="AF4" s="2">
        <v>0.50789262577800998</v>
      </c>
      <c r="AG4" s="2">
        <v>0.24431553740673689</v>
      </c>
    </row>
    <row r="5" spans="1:34" x14ac:dyDescent="0.3">
      <c r="A5">
        <v>6</v>
      </c>
      <c r="B5" t="s">
        <v>50</v>
      </c>
      <c r="C5">
        <v>13495.663089799989</v>
      </c>
      <c r="D5">
        <v>224.92771816333311</v>
      </c>
      <c r="E5" t="s">
        <v>51</v>
      </c>
      <c r="F5" t="s">
        <v>35</v>
      </c>
      <c r="G5" t="s">
        <v>52</v>
      </c>
      <c r="H5" t="s">
        <v>37</v>
      </c>
      <c r="I5">
        <v>3.0229030348613531E-2</v>
      </c>
      <c r="J5">
        <v>0</v>
      </c>
      <c r="K5" t="s">
        <v>14</v>
      </c>
      <c r="L5">
        <v>355</v>
      </c>
      <c r="M5">
        <v>9.5006492752152603E-5</v>
      </c>
      <c r="N5">
        <v>1E-4</v>
      </c>
      <c r="O5">
        <v>3000</v>
      </c>
      <c r="T5" s="2">
        <v>0.1157248521841775</v>
      </c>
      <c r="U5" s="2">
        <v>3.9483938391554938</v>
      </c>
      <c r="V5" s="2">
        <v>0.38672266013306461</v>
      </c>
      <c r="W5" s="2">
        <v>9.6469999999999993E-3</v>
      </c>
      <c r="X5" s="2">
        <v>8.5518540000000005</v>
      </c>
      <c r="Y5" s="2">
        <v>7.1656500000000003</v>
      </c>
      <c r="Z5" s="2">
        <v>44.150669999999998</v>
      </c>
      <c r="AA5" s="2">
        <v>42.528283999999999</v>
      </c>
      <c r="AB5" s="2">
        <v>1E-4</v>
      </c>
      <c r="AC5" s="2">
        <v>3.255620818675057</v>
      </c>
      <c r="AD5" s="2">
        <v>0.99829186819717619</v>
      </c>
      <c r="AE5" s="2">
        <v>1.6426339999999999</v>
      </c>
      <c r="AF5" s="2">
        <v>0.6034988410088048</v>
      </c>
      <c r="AG5" s="2">
        <v>0.113896957025405</v>
      </c>
    </row>
    <row r="6" spans="1:34" x14ac:dyDescent="0.3">
      <c r="A6">
        <v>7</v>
      </c>
      <c r="B6" t="s">
        <v>53</v>
      </c>
      <c r="C6">
        <v>17343.553537199969</v>
      </c>
      <c r="D6">
        <v>289.05922561999961</v>
      </c>
      <c r="E6" t="s">
        <v>54</v>
      </c>
      <c r="F6" t="s">
        <v>35</v>
      </c>
      <c r="G6" t="s">
        <v>55</v>
      </c>
      <c r="H6" t="s">
        <v>37</v>
      </c>
      <c r="I6">
        <v>2.949173099146854E-2</v>
      </c>
      <c r="J6">
        <v>0</v>
      </c>
      <c r="K6" t="s">
        <v>14</v>
      </c>
      <c r="L6">
        <v>491</v>
      </c>
      <c r="M6">
        <v>9.5276271585833304E-5</v>
      </c>
      <c r="N6">
        <v>1E-4</v>
      </c>
      <c r="O6">
        <v>3000</v>
      </c>
      <c r="T6">
        <v>0.2472338620818213</v>
      </c>
      <c r="U6">
        <v>1.263156339572632</v>
      </c>
      <c r="V6">
        <v>5.1083127893955114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2.629510266844215</v>
      </c>
      <c r="AD6">
        <v>0.58836422403116395</v>
      </c>
      <c r="AE6">
        <v>1.6426339999999999</v>
      </c>
      <c r="AF6">
        <v>0.69227653247292043</v>
      </c>
      <c r="AG6">
        <v>0.34393317151587521</v>
      </c>
      <c r="AH6">
        <v>1</v>
      </c>
    </row>
    <row r="7" spans="1:34" x14ac:dyDescent="0.3">
      <c r="A7">
        <v>8</v>
      </c>
      <c r="B7" t="s">
        <v>56</v>
      </c>
      <c r="C7">
        <v>15002.84113319998</v>
      </c>
      <c r="D7">
        <v>250.04735221999971</v>
      </c>
      <c r="E7" t="s">
        <v>57</v>
      </c>
      <c r="F7" t="s">
        <v>35</v>
      </c>
      <c r="G7" t="s">
        <v>58</v>
      </c>
      <c r="H7" t="s">
        <v>37</v>
      </c>
      <c r="I7">
        <v>1.929738615317832E-2</v>
      </c>
      <c r="J7">
        <v>0</v>
      </c>
      <c r="K7" t="s">
        <v>14</v>
      </c>
      <c r="L7">
        <v>1051</v>
      </c>
      <c r="M7">
        <v>9.4129634067320533E-5</v>
      </c>
      <c r="N7">
        <v>1E-4</v>
      </c>
      <c r="O7">
        <v>3000</v>
      </c>
      <c r="T7" s="2">
        <v>8.7481495012858304E-2</v>
      </c>
      <c r="U7" s="2">
        <v>1.4461727354296821</v>
      </c>
      <c r="V7" s="2">
        <v>5.3414239314315353</v>
      </c>
      <c r="W7" s="2">
        <v>9.6469999999999993E-3</v>
      </c>
      <c r="X7" s="2">
        <v>8.5518540000000005</v>
      </c>
      <c r="Y7" s="2">
        <v>7.1656500000000003</v>
      </c>
      <c r="Z7" s="2">
        <v>44.150669999999998</v>
      </c>
      <c r="AA7" s="2">
        <v>42.528283999999999</v>
      </c>
      <c r="AB7" s="2">
        <v>1E-4</v>
      </c>
      <c r="AC7" s="2">
        <v>3.754208637255438</v>
      </c>
      <c r="AD7" s="2">
        <v>0.94292399766561574</v>
      </c>
      <c r="AE7" s="2">
        <v>1.6426339999999999</v>
      </c>
      <c r="AF7" s="2">
        <v>0.57997025002292379</v>
      </c>
      <c r="AG7" s="2">
        <v>0.33046316687705829</v>
      </c>
    </row>
    <row r="8" spans="1:34" x14ac:dyDescent="0.3">
      <c r="A8">
        <v>10</v>
      </c>
      <c r="B8" t="s">
        <v>62</v>
      </c>
      <c r="C8">
        <v>31379.76279070001</v>
      </c>
      <c r="D8">
        <v>522.99604651166692</v>
      </c>
      <c r="E8" t="s">
        <v>63</v>
      </c>
      <c r="F8" t="s">
        <v>35</v>
      </c>
      <c r="G8" t="s">
        <v>64</v>
      </c>
      <c r="H8" t="s">
        <v>37</v>
      </c>
      <c r="I8">
        <v>1.1196192493127539E-2</v>
      </c>
      <c r="J8">
        <v>0</v>
      </c>
      <c r="K8" t="s">
        <v>14</v>
      </c>
      <c r="L8">
        <v>2163</v>
      </c>
      <c r="M8">
        <v>9.3818426048656128E-5</v>
      </c>
      <c r="N8">
        <v>1E-4</v>
      </c>
      <c r="O8">
        <v>3000</v>
      </c>
      <c r="T8" s="2">
        <v>0.13171106680708281</v>
      </c>
      <c r="U8" s="2">
        <v>1.2803780296643441</v>
      </c>
      <c r="V8" s="2">
        <v>2.7189684162254459</v>
      </c>
      <c r="W8" s="2">
        <v>9.6469999999999993E-3</v>
      </c>
      <c r="X8" s="2">
        <v>8.5518540000000005</v>
      </c>
      <c r="Y8" s="2">
        <v>7.1656500000000003</v>
      </c>
      <c r="Z8" s="2">
        <v>44.150669999999998</v>
      </c>
      <c r="AA8" s="2">
        <v>42.528283999999999</v>
      </c>
      <c r="AB8" s="2">
        <v>1E-4</v>
      </c>
      <c r="AC8" s="2">
        <v>2.5192987561038431</v>
      </c>
      <c r="AD8" s="2">
        <v>0.34308949828818591</v>
      </c>
      <c r="AE8" s="2">
        <v>1.6426339999999999</v>
      </c>
      <c r="AF8" s="2">
        <v>0.39204389479805929</v>
      </c>
      <c r="AG8" s="2">
        <v>0.43880277409739332</v>
      </c>
    </row>
    <row r="9" spans="1:34" x14ac:dyDescent="0.3">
      <c r="A9">
        <v>11</v>
      </c>
      <c r="B9" t="s">
        <v>65</v>
      </c>
      <c r="C9">
        <v>21952.919157899971</v>
      </c>
      <c r="D9">
        <v>365.88198596499961</v>
      </c>
      <c r="E9" t="s">
        <v>66</v>
      </c>
      <c r="F9" t="s">
        <v>35</v>
      </c>
      <c r="G9" t="s">
        <v>67</v>
      </c>
      <c r="H9" t="s">
        <v>37</v>
      </c>
      <c r="I9">
        <v>2.0955927778411879E-2</v>
      </c>
      <c r="J9">
        <v>0</v>
      </c>
      <c r="K9" t="s">
        <v>14</v>
      </c>
      <c r="L9">
        <v>3001</v>
      </c>
      <c r="M9">
        <v>4.5480474266762261E-4</v>
      </c>
      <c r="N9">
        <v>1E-4</v>
      </c>
      <c r="O9">
        <v>3000</v>
      </c>
      <c r="T9">
        <v>8.8032865941792313E-2</v>
      </c>
      <c r="U9">
        <v>4.6400963663017514</v>
      </c>
      <c r="V9">
        <v>0.33911376185990011</v>
      </c>
      <c r="W9">
        <v>9.6469999999999993E-3</v>
      </c>
      <c r="X9">
        <v>8.5518540000000005</v>
      </c>
      <c r="Y9">
        <v>7.1656500000000003</v>
      </c>
      <c r="Z9">
        <v>44.150669999999998</v>
      </c>
      <c r="AA9">
        <v>42.528283999999999</v>
      </c>
      <c r="AB9">
        <v>1E-4</v>
      </c>
      <c r="AC9">
        <v>3.4184327761098738</v>
      </c>
      <c r="AD9">
        <v>0.99989075338987876</v>
      </c>
      <c r="AE9">
        <v>1.6426339999999999</v>
      </c>
      <c r="AF9">
        <v>0.62192843768557216</v>
      </c>
      <c r="AG9">
        <v>0.1000000000096664</v>
      </c>
      <c r="AH9">
        <v>1</v>
      </c>
    </row>
    <row r="10" spans="1:34" x14ac:dyDescent="0.3">
      <c r="A10">
        <v>12</v>
      </c>
      <c r="B10" t="s">
        <v>68</v>
      </c>
      <c r="C10">
        <v>6459.967974899977</v>
      </c>
      <c r="D10">
        <v>107.66613291499959</v>
      </c>
      <c r="E10" t="s">
        <v>69</v>
      </c>
      <c r="F10" t="s">
        <v>35</v>
      </c>
      <c r="G10" t="s">
        <v>70</v>
      </c>
      <c r="H10" t="s">
        <v>37</v>
      </c>
      <c r="I10">
        <v>4.2107440725379162E-2</v>
      </c>
      <c r="J10">
        <v>0</v>
      </c>
      <c r="K10" t="s">
        <v>14</v>
      </c>
      <c r="L10">
        <v>172</v>
      </c>
      <c r="M10">
        <v>7.8134429815787475E-5</v>
      </c>
      <c r="N10">
        <v>1E-4</v>
      </c>
      <c r="O10">
        <v>3000</v>
      </c>
      <c r="T10" s="2">
        <v>0.1169669628071545</v>
      </c>
      <c r="U10" s="2">
        <v>2.2710167679059632</v>
      </c>
      <c r="V10" s="2">
        <v>0.57718207759030193</v>
      </c>
      <c r="W10" s="2">
        <v>9.6469999999999993E-3</v>
      </c>
      <c r="X10" s="2">
        <v>8.5518540000000005</v>
      </c>
      <c r="Y10" s="2">
        <v>7.1656500000000003</v>
      </c>
      <c r="Z10" s="2">
        <v>44.150669999999998</v>
      </c>
      <c r="AA10" s="2">
        <v>42.528283999999999</v>
      </c>
      <c r="AB10" s="2">
        <v>1E-4</v>
      </c>
      <c r="AC10" s="2">
        <v>5.423645052202092</v>
      </c>
      <c r="AD10" s="2">
        <v>0.99973389025040671</v>
      </c>
      <c r="AE10" s="2">
        <v>1.6426339999999999</v>
      </c>
      <c r="AF10" s="2">
        <v>0.54891150406931755</v>
      </c>
      <c r="AG10" s="2">
        <v>0.2369861228432418</v>
      </c>
    </row>
    <row r="11" spans="1:34" x14ac:dyDescent="0.3">
      <c r="A11">
        <v>13</v>
      </c>
      <c r="B11" t="s">
        <v>71</v>
      </c>
      <c r="C11">
        <v>18510.96055610001</v>
      </c>
      <c r="D11">
        <v>308.51600926833339</v>
      </c>
      <c r="E11" t="s">
        <v>72</v>
      </c>
      <c r="F11" t="s">
        <v>35</v>
      </c>
      <c r="G11" t="s">
        <v>73</v>
      </c>
      <c r="H11" t="s">
        <v>37</v>
      </c>
      <c r="I11">
        <v>3.0028068761530059E-2</v>
      </c>
      <c r="J11">
        <v>0</v>
      </c>
      <c r="K11" t="s">
        <v>14</v>
      </c>
      <c r="L11">
        <v>382</v>
      </c>
      <c r="M11">
        <v>7.9462689905198121E-5</v>
      </c>
      <c r="N11">
        <v>1E-4</v>
      </c>
      <c r="O11">
        <v>3000</v>
      </c>
      <c r="T11">
        <v>0.13543101585881839</v>
      </c>
      <c r="U11">
        <v>2.1675745542474041</v>
      </c>
      <c r="V11">
        <v>0.44371357160502928</v>
      </c>
      <c r="W11">
        <v>9.6469999999999993E-3</v>
      </c>
      <c r="X11">
        <v>8.5518540000000005</v>
      </c>
      <c r="Y11">
        <v>7.1656500000000003</v>
      </c>
      <c r="Z11">
        <v>44.150669999999998</v>
      </c>
      <c r="AA11">
        <v>42.528283999999999</v>
      </c>
      <c r="AB11">
        <v>1E-4</v>
      </c>
      <c r="AC11">
        <v>6.2503316935079756</v>
      </c>
      <c r="AD11">
        <v>0.99972102398571816</v>
      </c>
      <c r="AE11">
        <v>1.6426339999999999</v>
      </c>
      <c r="AF11">
        <v>0.56821626431158878</v>
      </c>
      <c r="AG11">
        <v>0.32018714573871382</v>
      </c>
      <c r="AH11">
        <v>1</v>
      </c>
    </row>
    <row r="12" spans="1:34" x14ac:dyDescent="0.3">
      <c r="A12">
        <v>14</v>
      </c>
      <c r="B12" t="s">
        <v>74</v>
      </c>
      <c r="C12">
        <v>24515.56501680001</v>
      </c>
      <c r="D12">
        <v>408.59275028000019</v>
      </c>
      <c r="E12" t="s">
        <v>75</v>
      </c>
      <c r="F12" t="s">
        <v>35</v>
      </c>
      <c r="G12" t="s">
        <v>76</v>
      </c>
      <c r="H12" t="s">
        <v>37</v>
      </c>
      <c r="I12">
        <v>7.3830590685885116E-3</v>
      </c>
      <c r="J12">
        <v>0</v>
      </c>
      <c r="K12" t="s">
        <v>14</v>
      </c>
      <c r="L12">
        <v>1057</v>
      </c>
      <c r="M12">
        <v>8.5157052708816476E-5</v>
      </c>
      <c r="N12">
        <v>1E-4</v>
      </c>
      <c r="O12">
        <v>3000</v>
      </c>
      <c r="T12">
        <v>0.1534114159421463</v>
      </c>
      <c r="U12">
        <v>0.9590989768560666</v>
      </c>
      <c r="V12">
        <v>3.1739355788760122</v>
      </c>
      <c r="W12">
        <v>9.6469999999999993E-3</v>
      </c>
      <c r="X12">
        <v>8.5518540000000005</v>
      </c>
      <c r="Y12">
        <v>7.1656500000000003</v>
      </c>
      <c r="Z12">
        <v>44.150669999999998</v>
      </c>
      <c r="AA12">
        <v>42.528283999999999</v>
      </c>
      <c r="AB12">
        <v>1E-4</v>
      </c>
      <c r="AC12">
        <v>4.4949406730690553</v>
      </c>
      <c r="AD12">
        <v>0.83074837802974244</v>
      </c>
      <c r="AE12">
        <v>1.6426339999999999</v>
      </c>
      <c r="AF12">
        <v>0.72639349291145316</v>
      </c>
      <c r="AG12">
        <v>0.3149494549068898</v>
      </c>
      <c r="AH12">
        <v>1</v>
      </c>
    </row>
    <row r="13" spans="1:34" x14ac:dyDescent="0.3">
      <c r="A13">
        <v>15</v>
      </c>
      <c r="B13" t="s">
        <v>77</v>
      </c>
      <c r="C13">
        <v>26313.242024800042</v>
      </c>
      <c r="D13">
        <v>438.55403374666741</v>
      </c>
      <c r="E13" t="s">
        <v>78</v>
      </c>
      <c r="F13" t="s">
        <v>35</v>
      </c>
      <c r="G13" t="s">
        <v>79</v>
      </c>
      <c r="H13" t="s">
        <v>37</v>
      </c>
      <c r="I13">
        <v>4.2066127507307628E-2</v>
      </c>
      <c r="J13">
        <v>0</v>
      </c>
      <c r="K13" t="s">
        <v>14</v>
      </c>
      <c r="L13">
        <v>3001</v>
      </c>
      <c r="M13">
        <v>5.9714565602925099E-4</v>
      </c>
      <c r="N13">
        <v>1E-4</v>
      </c>
      <c r="O13">
        <v>3000</v>
      </c>
      <c r="T13">
        <v>0.10919431527604841</v>
      </c>
      <c r="U13">
        <v>5.9048720015390499</v>
      </c>
      <c r="V13">
        <v>0.42149702139665751</v>
      </c>
      <c r="W13">
        <v>9.6469999999999993E-3</v>
      </c>
      <c r="X13">
        <v>8.5518540000000005</v>
      </c>
      <c r="Y13">
        <v>7.1656500000000003</v>
      </c>
      <c r="Z13">
        <v>44.150669999999998</v>
      </c>
      <c r="AA13">
        <v>42.528283999999999</v>
      </c>
      <c r="AB13">
        <v>1E-4</v>
      </c>
      <c r="AC13">
        <v>2.8783516430630258</v>
      </c>
      <c r="AD13">
        <v>0.6689549422052169</v>
      </c>
      <c r="AE13">
        <v>1.6426339999999999</v>
      </c>
      <c r="AF13">
        <v>0.64839212787686984</v>
      </c>
      <c r="AG13">
        <v>0.1000040595335784</v>
      </c>
      <c r="AH13">
        <v>2</v>
      </c>
    </row>
    <row r="14" spans="1:34" x14ac:dyDescent="0.3">
      <c r="A14">
        <v>17</v>
      </c>
      <c r="B14" t="s">
        <v>83</v>
      </c>
      <c r="C14">
        <v>11705.461016899961</v>
      </c>
      <c r="D14">
        <v>195.09101694833271</v>
      </c>
      <c r="E14" t="s">
        <v>84</v>
      </c>
      <c r="F14" t="s">
        <v>35</v>
      </c>
      <c r="G14" t="s">
        <v>85</v>
      </c>
      <c r="H14" t="s">
        <v>37</v>
      </c>
      <c r="I14">
        <v>3.4722377077894093E-2</v>
      </c>
      <c r="J14">
        <v>0</v>
      </c>
      <c r="K14" t="s">
        <v>14</v>
      </c>
      <c r="L14">
        <v>693</v>
      </c>
      <c r="M14">
        <v>9.4658566841202219E-5</v>
      </c>
      <c r="N14">
        <v>1E-4</v>
      </c>
      <c r="O14">
        <v>3000</v>
      </c>
      <c r="T14" s="2">
        <v>0.1247409847184488</v>
      </c>
      <c r="U14" s="2">
        <v>2.0617667729750919</v>
      </c>
      <c r="V14" s="2">
        <v>6.1905422438013984</v>
      </c>
      <c r="W14" s="2">
        <v>9.6469999999999993E-3</v>
      </c>
      <c r="X14" s="2">
        <v>8.5518540000000005</v>
      </c>
      <c r="Y14" s="2">
        <v>7.1656500000000003</v>
      </c>
      <c r="Z14" s="2">
        <v>44.150669999999998</v>
      </c>
      <c r="AA14" s="2">
        <v>42.528283999999999</v>
      </c>
      <c r="AB14" s="2">
        <v>1E-4</v>
      </c>
      <c r="AC14" s="2">
        <v>2.11150873794552</v>
      </c>
      <c r="AD14" s="2">
        <v>0.99638664340240357</v>
      </c>
      <c r="AE14" s="2">
        <v>1.6426339999999999</v>
      </c>
      <c r="AF14" s="2">
        <v>0.60028149619551618</v>
      </c>
      <c r="AG14" s="2">
        <v>0.35570150974047682</v>
      </c>
    </row>
    <row r="15" spans="1:34" x14ac:dyDescent="0.3">
      <c r="A15">
        <v>18</v>
      </c>
      <c r="B15" t="s">
        <v>86</v>
      </c>
      <c r="C15">
        <v>8567.5156035000109</v>
      </c>
      <c r="D15">
        <v>142.7919267250002</v>
      </c>
      <c r="E15" t="s">
        <v>87</v>
      </c>
      <c r="F15" t="s">
        <v>35</v>
      </c>
      <c r="G15" t="s">
        <v>88</v>
      </c>
      <c r="H15" t="s">
        <v>37</v>
      </c>
      <c r="I15">
        <v>2.1423299307281232E-2</v>
      </c>
      <c r="J15">
        <v>0</v>
      </c>
      <c r="K15" t="s">
        <v>14</v>
      </c>
      <c r="L15">
        <v>501</v>
      </c>
      <c r="M15">
        <v>9.3207531817915881E-5</v>
      </c>
      <c r="N15">
        <v>1E-4</v>
      </c>
      <c r="O15">
        <v>3000</v>
      </c>
      <c r="T15">
        <v>7.4887903519829518E-2</v>
      </c>
      <c r="U15">
        <v>1.6597110508188599</v>
      </c>
      <c r="V15">
        <v>7.2393305965200589</v>
      </c>
      <c r="W15">
        <v>9.6469999999999993E-3</v>
      </c>
      <c r="X15">
        <v>8.5518540000000005</v>
      </c>
      <c r="Y15">
        <v>7.1656500000000003</v>
      </c>
      <c r="Z15">
        <v>44.150669999999998</v>
      </c>
      <c r="AA15">
        <v>42.528283999999999</v>
      </c>
      <c r="AB15">
        <v>1E-4</v>
      </c>
      <c r="AC15">
        <v>1.878639362892996</v>
      </c>
      <c r="AD15">
        <v>0.9307014604157966</v>
      </c>
      <c r="AE15">
        <v>1.6426339999999999</v>
      </c>
      <c r="AF15">
        <v>0.34788418859904041</v>
      </c>
      <c r="AG15">
        <v>0.43621617173692429</v>
      </c>
      <c r="AH15">
        <v>1</v>
      </c>
    </row>
    <row r="16" spans="1:34" x14ac:dyDescent="0.3">
      <c r="A16">
        <v>19</v>
      </c>
      <c r="B16" t="s">
        <v>89</v>
      </c>
      <c r="C16">
        <v>20694.814912500031</v>
      </c>
      <c r="D16">
        <v>344.9135818750006</v>
      </c>
      <c r="E16" t="s">
        <v>90</v>
      </c>
      <c r="F16" t="s">
        <v>35</v>
      </c>
      <c r="G16" t="s">
        <v>91</v>
      </c>
      <c r="H16" t="s">
        <v>37</v>
      </c>
      <c r="I16">
        <v>3.8522091929358723E-2</v>
      </c>
      <c r="J16">
        <v>0</v>
      </c>
      <c r="K16" t="s">
        <v>14</v>
      </c>
      <c r="L16">
        <v>100</v>
      </c>
      <c r="M16">
        <v>9.6278762795005046E-5</v>
      </c>
      <c r="N16">
        <v>1E-4</v>
      </c>
      <c r="O16">
        <v>3000</v>
      </c>
      <c r="T16">
        <v>0.14829744064733261</v>
      </c>
      <c r="U16">
        <v>2.8201904669098701</v>
      </c>
      <c r="V16">
        <v>0.27074727739642368</v>
      </c>
      <c r="W16">
        <v>9.6469999999999993E-3</v>
      </c>
      <c r="X16">
        <v>8.5518540000000005</v>
      </c>
      <c r="Y16">
        <v>7.1656500000000003</v>
      </c>
      <c r="Z16">
        <v>44.150669999999998</v>
      </c>
      <c r="AA16">
        <v>42.528283999999999</v>
      </c>
      <c r="AB16">
        <v>1E-4</v>
      </c>
      <c r="AC16">
        <v>6.1928314300162226</v>
      </c>
      <c r="AD16">
        <v>0.99550952113101554</v>
      </c>
      <c r="AE16">
        <v>1.6426339999999999</v>
      </c>
      <c r="AF16">
        <v>0.65618001653466473</v>
      </c>
      <c r="AG16">
        <v>0.16383814585034409</v>
      </c>
      <c r="AH16">
        <v>2</v>
      </c>
    </row>
    <row r="17" spans="1:34" x14ac:dyDescent="0.3">
      <c r="A17">
        <v>20</v>
      </c>
      <c r="B17" t="s">
        <v>92</v>
      </c>
      <c r="C17">
        <v>12230.44841160002</v>
      </c>
      <c r="D17">
        <v>203.84080686000041</v>
      </c>
      <c r="E17" t="s">
        <v>93</v>
      </c>
      <c r="F17" t="s">
        <v>35</v>
      </c>
      <c r="G17" t="s">
        <v>94</v>
      </c>
      <c r="H17" t="s">
        <v>37</v>
      </c>
      <c r="I17">
        <v>1.7770044334358769E-2</v>
      </c>
      <c r="J17">
        <v>0</v>
      </c>
      <c r="K17" t="s">
        <v>14</v>
      </c>
      <c r="L17">
        <v>778</v>
      </c>
      <c r="M17">
        <v>4.6077991776780228E-5</v>
      </c>
      <c r="N17">
        <v>1E-4</v>
      </c>
      <c r="O17">
        <v>3000</v>
      </c>
      <c r="T17">
        <v>0.36718112461538288</v>
      </c>
      <c r="U17">
        <v>1.581350856340892</v>
      </c>
      <c r="V17">
        <v>2.3656852582156298</v>
      </c>
      <c r="W17">
        <v>9.6469999999999993E-3</v>
      </c>
      <c r="X17">
        <v>8.5518540000000005</v>
      </c>
      <c r="Y17">
        <v>7.1656500000000003</v>
      </c>
      <c r="Z17">
        <v>44.150669999999998</v>
      </c>
      <c r="AA17">
        <v>42.528283999999999</v>
      </c>
      <c r="AB17">
        <v>1E-4</v>
      </c>
      <c r="AC17">
        <v>2.5073621613262498</v>
      </c>
      <c r="AD17">
        <v>0.86465860694325269</v>
      </c>
      <c r="AE17">
        <v>1.6426339999999999</v>
      </c>
      <c r="AF17">
        <v>0.45099099543516691</v>
      </c>
      <c r="AG17">
        <v>0.37132148128167219</v>
      </c>
      <c r="AH17">
        <v>1</v>
      </c>
    </row>
    <row r="18" spans="1:34" x14ac:dyDescent="0.3">
      <c r="A18">
        <v>21</v>
      </c>
      <c r="B18" t="s">
        <v>95</v>
      </c>
      <c r="C18">
        <v>9946.9028688999824</v>
      </c>
      <c r="D18">
        <v>165.7817144816664</v>
      </c>
      <c r="E18" t="s">
        <v>96</v>
      </c>
      <c r="F18" t="s">
        <v>35</v>
      </c>
      <c r="G18" t="s">
        <v>97</v>
      </c>
      <c r="H18" t="s">
        <v>37</v>
      </c>
      <c r="I18">
        <v>2.335202050082839E-2</v>
      </c>
      <c r="J18">
        <v>0</v>
      </c>
      <c r="K18" t="s">
        <v>14</v>
      </c>
      <c r="L18">
        <v>460</v>
      </c>
      <c r="M18">
        <v>5.7876139669823443E-5</v>
      </c>
      <c r="N18">
        <v>1E-4</v>
      </c>
      <c r="O18">
        <v>3000</v>
      </c>
      <c r="T18">
        <v>0.1007806174028873</v>
      </c>
      <c r="U18">
        <v>3.1013839769131928</v>
      </c>
      <c r="V18">
        <v>0.3880276905116356</v>
      </c>
      <c r="W18">
        <v>9.6469999999999993E-3</v>
      </c>
      <c r="X18">
        <v>8.5518540000000005</v>
      </c>
      <c r="Y18">
        <v>7.1656500000000003</v>
      </c>
      <c r="Z18">
        <v>44.150669999999998</v>
      </c>
      <c r="AA18">
        <v>42.528283999999999</v>
      </c>
      <c r="AB18">
        <v>1E-4</v>
      </c>
      <c r="AC18">
        <v>6.3127115601138337</v>
      </c>
      <c r="AD18">
        <v>0.99986765253831733</v>
      </c>
      <c r="AE18">
        <v>1.6426339999999999</v>
      </c>
      <c r="AF18">
        <v>0.59871415946888007</v>
      </c>
      <c r="AG18">
        <v>0.1376576989796609</v>
      </c>
      <c r="AH18">
        <v>1</v>
      </c>
    </row>
    <row r="19" spans="1:34" x14ac:dyDescent="0.3">
      <c r="A19">
        <v>22</v>
      </c>
      <c r="B19" t="s">
        <v>98</v>
      </c>
      <c r="C19">
        <v>17131.037991099991</v>
      </c>
      <c r="D19">
        <v>285.51729985166651</v>
      </c>
      <c r="E19" t="s">
        <v>99</v>
      </c>
      <c r="F19" t="s">
        <v>35</v>
      </c>
      <c r="G19" t="s">
        <v>100</v>
      </c>
      <c r="H19" t="s">
        <v>37</v>
      </c>
      <c r="I19">
        <v>2.1599331365598311E-2</v>
      </c>
      <c r="J19">
        <v>0</v>
      </c>
      <c r="K19" t="s">
        <v>14</v>
      </c>
      <c r="L19">
        <v>779</v>
      </c>
      <c r="M19">
        <v>9.5838012336323396E-5</v>
      </c>
      <c r="N19">
        <v>1E-4</v>
      </c>
      <c r="O19">
        <v>3000</v>
      </c>
      <c r="T19">
        <v>5.210099899692875E-2</v>
      </c>
      <c r="U19">
        <v>3.015522408377767</v>
      </c>
      <c r="V19">
        <v>7.9151639875341484</v>
      </c>
      <c r="W19">
        <v>9.6469999999999993E-3</v>
      </c>
      <c r="X19">
        <v>8.5518540000000005</v>
      </c>
      <c r="Y19">
        <v>7.1656500000000003</v>
      </c>
      <c r="Z19">
        <v>44.150669999999998</v>
      </c>
      <c r="AA19">
        <v>42.528283999999999</v>
      </c>
      <c r="AB19">
        <v>1E-4</v>
      </c>
      <c r="AC19">
        <v>1.1906484209683921</v>
      </c>
      <c r="AD19">
        <v>0.81419279270488276</v>
      </c>
      <c r="AE19">
        <v>1.6426339999999999</v>
      </c>
      <c r="AF19">
        <v>0.40469248406287478</v>
      </c>
      <c r="AG19">
        <v>0.40732257988081888</v>
      </c>
      <c r="AH19">
        <v>1</v>
      </c>
    </row>
    <row r="20" spans="1:34" x14ac:dyDescent="0.3">
      <c r="A20">
        <v>23</v>
      </c>
      <c r="B20" t="s">
        <v>101</v>
      </c>
      <c r="C20">
        <v>28166.06068460003</v>
      </c>
      <c r="D20">
        <v>469.43434474333378</v>
      </c>
      <c r="E20" t="s">
        <v>102</v>
      </c>
      <c r="F20" t="s">
        <v>35</v>
      </c>
      <c r="G20" t="s">
        <v>103</v>
      </c>
      <c r="H20" t="s">
        <v>37</v>
      </c>
      <c r="I20">
        <v>1.7315566881666831E-2</v>
      </c>
      <c r="J20">
        <v>0</v>
      </c>
      <c r="K20" t="s">
        <v>14</v>
      </c>
      <c r="L20">
        <v>3001</v>
      </c>
      <c r="M20">
        <v>2.0913073636632542E-3</v>
      </c>
      <c r="N20">
        <v>1E-4</v>
      </c>
      <c r="O20">
        <v>3000</v>
      </c>
      <c r="T20">
        <v>4.6474636586851983E-2</v>
      </c>
      <c r="U20">
        <v>3.7605962647048039</v>
      </c>
      <c r="V20">
        <v>2.2957334841377941</v>
      </c>
      <c r="W20">
        <v>9.6469999999999993E-3</v>
      </c>
      <c r="X20">
        <v>8.5518540000000005</v>
      </c>
      <c r="Y20">
        <v>7.1656500000000003</v>
      </c>
      <c r="Z20">
        <v>44.150669999999998</v>
      </c>
      <c r="AA20">
        <v>42.528283999999999</v>
      </c>
      <c r="AB20">
        <v>1E-4</v>
      </c>
      <c r="AC20">
        <v>2.9958857853356449</v>
      </c>
      <c r="AD20">
        <v>0.61806702516702294</v>
      </c>
      <c r="AE20">
        <v>1.6426339999999999</v>
      </c>
      <c r="AF20">
        <v>0.29257548014512241</v>
      </c>
      <c r="AG20">
        <v>0.66209753633458845</v>
      </c>
      <c r="AH20">
        <v>1</v>
      </c>
    </row>
    <row r="21" spans="1:34" x14ac:dyDescent="0.3">
      <c r="A21">
        <v>24</v>
      </c>
      <c r="B21" t="s">
        <v>104</v>
      </c>
      <c r="C21">
        <v>14789.701960600039</v>
      </c>
      <c r="D21">
        <v>246.49503267666731</v>
      </c>
      <c r="E21" t="s">
        <v>105</v>
      </c>
      <c r="F21" t="s">
        <v>35</v>
      </c>
      <c r="G21" t="s">
        <v>106</v>
      </c>
      <c r="H21" t="s">
        <v>37</v>
      </c>
      <c r="I21">
        <v>2.408440037657289E-2</v>
      </c>
      <c r="J21">
        <v>0</v>
      </c>
      <c r="K21" t="s">
        <v>14</v>
      </c>
      <c r="L21">
        <v>804</v>
      </c>
      <c r="M21">
        <v>1.383623615168159E-5</v>
      </c>
      <c r="N21">
        <v>1E-4</v>
      </c>
      <c r="O21">
        <v>3000</v>
      </c>
      <c r="T21">
        <v>0.21845217753180651</v>
      </c>
      <c r="U21">
        <v>2.0911938493088078</v>
      </c>
      <c r="V21">
        <v>4.3728829139642666</v>
      </c>
      <c r="W21">
        <v>9.6469999999999993E-3</v>
      </c>
      <c r="X21">
        <v>8.5518540000000005</v>
      </c>
      <c r="Y21">
        <v>7.1656500000000003</v>
      </c>
      <c r="Z21">
        <v>44.150669999999998</v>
      </c>
      <c r="AA21">
        <v>42.528283999999999</v>
      </c>
      <c r="AB21">
        <v>1E-4</v>
      </c>
      <c r="AC21">
        <v>2.138969401279883</v>
      </c>
      <c r="AD21">
        <v>0.99996580887285103</v>
      </c>
      <c r="AE21">
        <v>1.6426339999999999</v>
      </c>
      <c r="AF21">
        <v>0.59852158661471366</v>
      </c>
      <c r="AG21">
        <v>0.33301313040425051</v>
      </c>
      <c r="AH21">
        <v>1</v>
      </c>
    </row>
    <row r="22" spans="1:34" x14ac:dyDescent="0.3">
      <c r="A22">
        <v>25</v>
      </c>
      <c r="B22" t="s">
        <v>107</v>
      </c>
      <c r="C22">
        <v>14214.389217899999</v>
      </c>
      <c r="D22">
        <v>236.90648696499991</v>
      </c>
      <c r="E22" t="s">
        <v>108</v>
      </c>
      <c r="F22" t="s">
        <v>35</v>
      </c>
      <c r="G22" t="s">
        <v>109</v>
      </c>
      <c r="H22" t="s">
        <v>37</v>
      </c>
      <c r="I22">
        <v>3.9863356155437117E-2</v>
      </c>
      <c r="J22">
        <v>0</v>
      </c>
      <c r="K22" t="s">
        <v>14</v>
      </c>
      <c r="L22">
        <v>293</v>
      </c>
      <c r="M22">
        <v>9.3045775907907302E-5</v>
      </c>
      <c r="N22">
        <v>1E-4</v>
      </c>
      <c r="O22">
        <v>3000</v>
      </c>
      <c r="T22">
        <v>0.14069450013491799</v>
      </c>
      <c r="U22">
        <v>3.174672574828024</v>
      </c>
      <c r="V22">
        <v>0.32192459528220269</v>
      </c>
      <c r="W22">
        <v>9.6469999999999993E-3</v>
      </c>
      <c r="X22">
        <v>8.5518540000000005</v>
      </c>
      <c r="Y22">
        <v>7.1656500000000003</v>
      </c>
      <c r="Z22">
        <v>44.150669999999998</v>
      </c>
      <c r="AA22">
        <v>42.528283999999999</v>
      </c>
      <c r="AB22">
        <v>1E-4</v>
      </c>
      <c r="AC22">
        <v>5.3114347620153426</v>
      </c>
      <c r="AD22">
        <v>0.99997221925628821</v>
      </c>
      <c r="AE22">
        <v>1.6426339999999999</v>
      </c>
      <c r="AF22">
        <v>0.62628626979708013</v>
      </c>
      <c r="AG22">
        <v>0.17305469620323699</v>
      </c>
      <c r="AH22">
        <v>1</v>
      </c>
    </row>
    <row r="23" spans="1:34" x14ac:dyDescent="0.3">
      <c r="A23">
        <v>26</v>
      </c>
      <c r="B23" t="s">
        <v>110</v>
      </c>
      <c r="C23">
        <v>13282.04843599995</v>
      </c>
      <c r="D23">
        <v>221.36747393333249</v>
      </c>
      <c r="E23" t="s">
        <v>111</v>
      </c>
      <c r="F23" t="s">
        <v>35</v>
      </c>
      <c r="G23" t="s">
        <v>112</v>
      </c>
      <c r="H23" t="s">
        <v>37</v>
      </c>
      <c r="I23">
        <v>2.841602851562924E-2</v>
      </c>
      <c r="J23">
        <v>0</v>
      </c>
      <c r="K23" t="s">
        <v>14</v>
      </c>
      <c r="L23">
        <v>132</v>
      </c>
      <c r="M23">
        <v>9.8926370172199813E-5</v>
      </c>
      <c r="N23">
        <v>1E-4</v>
      </c>
      <c r="O23">
        <v>3000</v>
      </c>
      <c r="T23">
        <v>8.5631191895631953E-2</v>
      </c>
      <c r="U23">
        <v>5.89094623593002</v>
      </c>
      <c r="V23">
        <v>0.29589318304247308</v>
      </c>
      <c r="W23">
        <v>9.6469999999999993E-3</v>
      </c>
      <c r="X23">
        <v>8.5518540000000005</v>
      </c>
      <c r="Y23">
        <v>7.1656500000000003</v>
      </c>
      <c r="Z23">
        <v>44.150669999999998</v>
      </c>
      <c r="AA23">
        <v>42.528283999999999</v>
      </c>
      <c r="AB23">
        <v>1E-4</v>
      </c>
      <c r="AC23">
        <v>2.6592132432596638</v>
      </c>
      <c r="AD23">
        <v>0.99954289809891528</v>
      </c>
      <c r="AE23">
        <v>1.6426339999999999</v>
      </c>
      <c r="AF23">
        <v>0.6431989634258003</v>
      </c>
      <c r="AG23">
        <v>0.10000123165212681</v>
      </c>
      <c r="AH23">
        <v>1</v>
      </c>
    </row>
    <row r="24" spans="1:34" x14ac:dyDescent="0.3">
      <c r="A24">
        <v>27</v>
      </c>
      <c r="B24" t="s">
        <v>113</v>
      </c>
      <c r="C24">
        <v>11686.551706300001</v>
      </c>
      <c r="D24">
        <v>194.77586177166671</v>
      </c>
      <c r="E24" t="s">
        <v>114</v>
      </c>
      <c r="F24" t="s">
        <v>35</v>
      </c>
      <c r="G24" t="s">
        <v>115</v>
      </c>
      <c r="H24" t="s">
        <v>37</v>
      </c>
      <c r="I24">
        <v>4.4134797555378219E-2</v>
      </c>
      <c r="J24">
        <v>0</v>
      </c>
      <c r="K24" t="s">
        <v>14</v>
      </c>
      <c r="L24">
        <v>189</v>
      </c>
      <c r="M24">
        <v>9.8388218657852655E-5</v>
      </c>
      <c r="N24">
        <v>1E-4</v>
      </c>
      <c r="O24">
        <v>3000</v>
      </c>
      <c r="T24">
        <v>0.13621594287194261</v>
      </c>
      <c r="U24">
        <v>0.62336019347073179</v>
      </c>
      <c r="V24">
        <v>4.4254863447449537</v>
      </c>
      <c r="W24">
        <v>9.6469999999999993E-3</v>
      </c>
      <c r="X24">
        <v>8.5518540000000005</v>
      </c>
      <c r="Y24">
        <v>7.1656500000000003</v>
      </c>
      <c r="Z24">
        <v>44.150669999999998</v>
      </c>
      <c r="AA24">
        <v>42.528283999999999</v>
      </c>
      <c r="AB24">
        <v>1E-4</v>
      </c>
      <c r="AC24">
        <v>5.2674317721245973</v>
      </c>
      <c r="AD24">
        <v>0.99944616171819511</v>
      </c>
      <c r="AE24">
        <v>1.6426339999999999</v>
      </c>
      <c r="AF24">
        <v>0.46167342682691231</v>
      </c>
      <c r="AG24">
        <v>0.46000879976541909</v>
      </c>
      <c r="AH24">
        <v>1</v>
      </c>
    </row>
    <row r="25" spans="1:34" x14ac:dyDescent="0.3">
      <c r="A25">
        <v>28</v>
      </c>
      <c r="B25" t="s">
        <v>116</v>
      </c>
      <c r="C25">
        <v>23853.468509299972</v>
      </c>
      <c r="D25">
        <v>397.55780848833291</v>
      </c>
      <c r="E25" t="s">
        <v>117</v>
      </c>
      <c r="F25" t="s">
        <v>35</v>
      </c>
      <c r="G25" t="s">
        <v>118</v>
      </c>
      <c r="H25" t="s">
        <v>37</v>
      </c>
      <c r="I25">
        <v>1.117870673096903E-2</v>
      </c>
      <c r="J25">
        <v>0</v>
      </c>
      <c r="K25" t="s">
        <v>14</v>
      </c>
      <c r="L25">
        <v>2733</v>
      </c>
      <c r="M25">
        <v>5.6235267880706847E-5</v>
      </c>
      <c r="N25">
        <v>1E-4</v>
      </c>
      <c r="O25">
        <v>3000</v>
      </c>
      <c r="T25">
        <v>0.1038050282684658</v>
      </c>
      <c r="U25">
        <v>2.1510199708419919</v>
      </c>
      <c r="V25">
        <v>4.6485538465200511</v>
      </c>
      <c r="W25">
        <v>9.6469999999999993E-3</v>
      </c>
      <c r="X25">
        <v>8.5518540000000005</v>
      </c>
      <c r="Y25">
        <v>7.1656500000000003</v>
      </c>
      <c r="Z25">
        <v>44.150669999999998</v>
      </c>
      <c r="AA25">
        <v>42.528283999999999</v>
      </c>
      <c r="AB25">
        <v>1E-4</v>
      </c>
      <c r="AC25">
        <v>1.687027607910689</v>
      </c>
      <c r="AD25">
        <v>0.98225824301224984</v>
      </c>
      <c r="AE25">
        <v>1.6426339999999999</v>
      </c>
      <c r="AF25">
        <v>0.34377987776962088</v>
      </c>
      <c r="AG25">
        <v>0.51948428964501769</v>
      </c>
      <c r="AH25">
        <v>1</v>
      </c>
    </row>
    <row r="26" spans="1:34" x14ac:dyDescent="0.3">
      <c r="A26">
        <v>29</v>
      </c>
      <c r="B26" t="s">
        <v>119</v>
      </c>
      <c r="C26">
        <v>15049.41904260003</v>
      </c>
      <c r="D26">
        <v>250.82365071000049</v>
      </c>
      <c r="E26" t="s">
        <v>120</v>
      </c>
      <c r="F26" t="s">
        <v>35</v>
      </c>
      <c r="G26" t="s">
        <v>121</v>
      </c>
      <c r="H26" t="s">
        <v>37</v>
      </c>
      <c r="I26">
        <v>3.8063826526005783E-2</v>
      </c>
      <c r="J26">
        <v>0</v>
      </c>
      <c r="K26" t="s">
        <v>14</v>
      </c>
      <c r="L26">
        <v>347</v>
      </c>
      <c r="M26">
        <v>9.2878479626219235E-5</v>
      </c>
      <c r="N26">
        <v>1E-4</v>
      </c>
      <c r="O26">
        <v>3000</v>
      </c>
      <c r="T26">
        <v>0.12482275810710131</v>
      </c>
      <c r="U26">
        <v>4.375140557470278</v>
      </c>
      <c r="V26">
        <v>0.21599926544369061</v>
      </c>
      <c r="W26">
        <v>9.6469999999999993E-3</v>
      </c>
      <c r="X26">
        <v>8.5518540000000005</v>
      </c>
      <c r="Y26">
        <v>7.1656500000000003</v>
      </c>
      <c r="Z26">
        <v>44.150669999999998</v>
      </c>
      <c r="AA26">
        <v>42.528283999999999</v>
      </c>
      <c r="AB26">
        <v>1E-4</v>
      </c>
      <c r="AC26">
        <v>4.3635049261817116</v>
      </c>
      <c r="AD26">
        <v>0.99977804316314223</v>
      </c>
      <c r="AE26">
        <v>1.6426339999999999</v>
      </c>
      <c r="AF26">
        <v>0.66410832315251844</v>
      </c>
      <c r="AG26">
        <v>0.1000009317318306</v>
      </c>
      <c r="AH26">
        <v>1</v>
      </c>
    </row>
    <row r="27" spans="1:34" x14ac:dyDescent="0.3">
      <c r="A27">
        <v>31</v>
      </c>
      <c r="B27" t="s">
        <v>125</v>
      </c>
      <c r="C27">
        <v>16004.396076400009</v>
      </c>
      <c r="D27">
        <v>266.73993460666679</v>
      </c>
      <c r="E27" t="s">
        <v>126</v>
      </c>
      <c r="F27" t="s">
        <v>35</v>
      </c>
      <c r="G27" t="s">
        <v>127</v>
      </c>
      <c r="H27" t="s">
        <v>37</v>
      </c>
      <c r="I27">
        <v>2.3408870731412589E-2</v>
      </c>
      <c r="J27">
        <v>0</v>
      </c>
      <c r="K27" t="s">
        <v>14</v>
      </c>
      <c r="L27">
        <v>750</v>
      </c>
      <c r="M27">
        <v>7.8372569649464861E-5</v>
      </c>
      <c r="N27">
        <v>1E-4</v>
      </c>
      <c r="O27">
        <v>3000</v>
      </c>
      <c r="T27">
        <v>0.14191534691450619</v>
      </c>
      <c r="U27">
        <v>2.7399551136459368</v>
      </c>
      <c r="V27">
        <v>7.9671731469137352</v>
      </c>
      <c r="W27">
        <v>9.6469999999999993E-3</v>
      </c>
      <c r="X27">
        <v>8.5518540000000005</v>
      </c>
      <c r="Y27">
        <v>7.1656500000000003</v>
      </c>
      <c r="Z27">
        <v>44.150669999999998</v>
      </c>
      <c r="AA27">
        <v>42.528283999999999</v>
      </c>
      <c r="AB27">
        <v>1E-4</v>
      </c>
      <c r="AC27">
        <v>1.4421003378878381</v>
      </c>
      <c r="AD27">
        <v>0.97176326153770465</v>
      </c>
      <c r="AE27">
        <v>1.6426339999999999</v>
      </c>
      <c r="AF27">
        <v>0.52973155657927862</v>
      </c>
      <c r="AG27">
        <v>0.38153331065287138</v>
      </c>
      <c r="AH27">
        <v>1</v>
      </c>
    </row>
    <row r="28" spans="1:34" x14ac:dyDescent="0.3">
      <c r="A28">
        <v>32</v>
      </c>
      <c r="B28" t="s">
        <v>128</v>
      </c>
      <c r="C28">
        <v>7143.0076842000126</v>
      </c>
      <c r="D28">
        <v>119.0501280700002</v>
      </c>
      <c r="E28" t="s">
        <v>129</v>
      </c>
      <c r="F28" t="s">
        <v>35</v>
      </c>
      <c r="G28" t="s">
        <v>130</v>
      </c>
      <c r="H28" t="s">
        <v>37</v>
      </c>
      <c r="I28">
        <v>3.7092552097302348E-2</v>
      </c>
      <c r="J28">
        <v>0</v>
      </c>
      <c r="K28" t="s">
        <v>14</v>
      </c>
      <c r="L28">
        <v>241</v>
      </c>
      <c r="M28">
        <v>9.0346687101605747E-5</v>
      </c>
      <c r="N28">
        <v>1E-4</v>
      </c>
      <c r="O28">
        <v>3000</v>
      </c>
      <c r="T28" s="2">
        <v>8.9467123665495668E-2</v>
      </c>
      <c r="U28" s="2">
        <v>3.7912187764253291</v>
      </c>
      <c r="V28" s="2">
        <v>0.25088220657233617</v>
      </c>
      <c r="W28" s="2">
        <v>9.6469999999999993E-3</v>
      </c>
      <c r="X28" s="2">
        <v>8.5518540000000005</v>
      </c>
      <c r="Y28" s="2">
        <v>7.1656500000000003</v>
      </c>
      <c r="Z28" s="2">
        <v>44.150669999999998</v>
      </c>
      <c r="AA28" s="2">
        <v>42.528283999999999</v>
      </c>
      <c r="AB28" s="2">
        <v>1E-4</v>
      </c>
      <c r="AC28" s="2">
        <v>5.0569275860207377</v>
      </c>
      <c r="AD28" s="2">
        <v>0.8176213061425609</v>
      </c>
      <c r="AE28" s="2">
        <v>1.6426339999999999</v>
      </c>
      <c r="AF28" s="2">
        <v>0.61239908106267815</v>
      </c>
      <c r="AG28" s="2">
        <v>0.10001411208734259</v>
      </c>
    </row>
    <row r="29" spans="1:34" x14ac:dyDescent="0.3">
      <c r="A29">
        <v>33</v>
      </c>
      <c r="B29" t="s">
        <v>131</v>
      </c>
      <c r="C29">
        <v>19947.705137000012</v>
      </c>
      <c r="D29">
        <v>332.46175228333351</v>
      </c>
      <c r="E29" t="s">
        <v>132</v>
      </c>
      <c r="F29" t="s">
        <v>35</v>
      </c>
      <c r="G29" t="s">
        <v>133</v>
      </c>
      <c r="H29" t="s">
        <v>37</v>
      </c>
      <c r="I29">
        <v>2.229270003870994E-2</v>
      </c>
      <c r="J29">
        <v>0</v>
      </c>
      <c r="K29" t="s">
        <v>14</v>
      </c>
      <c r="L29">
        <v>666</v>
      </c>
      <c r="M29">
        <v>9.4340261531952515E-5</v>
      </c>
      <c r="N29">
        <v>1E-4</v>
      </c>
      <c r="O29">
        <v>3000</v>
      </c>
      <c r="T29">
        <v>0.1009190082394365</v>
      </c>
      <c r="U29">
        <v>5.7162753589990256</v>
      </c>
      <c r="V29">
        <v>4.1061464659955309</v>
      </c>
      <c r="W29">
        <v>9.6469999999999993E-3</v>
      </c>
      <c r="X29">
        <v>8.5518540000000005</v>
      </c>
      <c r="Y29">
        <v>7.1656500000000003</v>
      </c>
      <c r="Z29">
        <v>44.150669999999998</v>
      </c>
      <c r="AA29">
        <v>42.528283999999999</v>
      </c>
      <c r="AB29">
        <v>1E-4</v>
      </c>
      <c r="AC29">
        <v>1.166041405336286</v>
      </c>
      <c r="AD29">
        <v>0.90954387778796719</v>
      </c>
      <c r="AE29">
        <v>1.6426339999999999</v>
      </c>
      <c r="AF29">
        <v>0.4126071456982176</v>
      </c>
      <c r="AG29">
        <v>0.46872665387361861</v>
      </c>
      <c r="AH29">
        <v>2</v>
      </c>
    </row>
    <row r="30" spans="1:34" x14ac:dyDescent="0.3">
      <c r="A30">
        <v>34</v>
      </c>
      <c r="B30" t="s">
        <v>134</v>
      </c>
      <c r="C30">
        <v>14579.828070799989</v>
      </c>
      <c r="D30">
        <v>242.99713451333321</v>
      </c>
      <c r="E30" t="s">
        <v>135</v>
      </c>
      <c r="F30" t="s">
        <v>35</v>
      </c>
      <c r="G30" t="s">
        <v>136</v>
      </c>
      <c r="H30" t="s">
        <v>37</v>
      </c>
      <c r="I30">
        <v>4.8681683866055411E-2</v>
      </c>
      <c r="J30">
        <v>0</v>
      </c>
      <c r="K30" t="s">
        <v>14</v>
      </c>
      <c r="L30">
        <v>456</v>
      </c>
      <c r="M30">
        <v>9.2617254727688959E-5</v>
      </c>
      <c r="N30">
        <v>1E-4</v>
      </c>
      <c r="O30">
        <v>3000</v>
      </c>
      <c r="T30">
        <v>0.29378323721928012</v>
      </c>
      <c r="U30">
        <v>0.91680787530937258</v>
      </c>
      <c r="V30">
        <v>4.0059583967442114</v>
      </c>
      <c r="W30">
        <v>9.6469999999999993E-3</v>
      </c>
      <c r="X30">
        <v>8.5518540000000005</v>
      </c>
      <c r="Y30">
        <v>7.1656500000000003</v>
      </c>
      <c r="Z30">
        <v>44.150669999999998</v>
      </c>
      <c r="AA30">
        <v>42.528283999999999</v>
      </c>
      <c r="AB30">
        <v>1E-4</v>
      </c>
      <c r="AC30">
        <v>4.252325426065541</v>
      </c>
      <c r="AD30">
        <v>0.95427111021416655</v>
      </c>
      <c r="AE30">
        <v>1.6426339999999999</v>
      </c>
      <c r="AF30">
        <v>0.61320962287952185</v>
      </c>
      <c r="AG30">
        <v>0.4156812945679253</v>
      </c>
      <c r="AH30">
        <v>1</v>
      </c>
    </row>
    <row r="31" spans="1:34" x14ac:dyDescent="0.3">
      <c r="A31">
        <v>35</v>
      </c>
      <c r="B31" t="s">
        <v>137</v>
      </c>
      <c r="C31">
        <v>13605.1550876</v>
      </c>
      <c r="D31">
        <v>226.75258479333331</v>
      </c>
      <c r="E31" t="s">
        <v>138</v>
      </c>
      <c r="F31" t="s">
        <v>35</v>
      </c>
      <c r="G31" t="s">
        <v>139</v>
      </c>
      <c r="H31" t="s">
        <v>37</v>
      </c>
      <c r="I31">
        <v>2.0743334447347179E-2</v>
      </c>
      <c r="J31">
        <v>0</v>
      </c>
      <c r="K31" t="s">
        <v>14</v>
      </c>
      <c r="L31">
        <v>533</v>
      </c>
      <c r="M31">
        <v>9.5771392753918555E-5</v>
      </c>
      <c r="N31">
        <v>1E-4</v>
      </c>
      <c r="O31">
        <v>3000</v>
      </c>
      <c r="T31" s="2">
        <v>6.9670662460170188E-2</v>
      </c>
      <c r="U31" s="2">
        <v>3.1060014804906468</v>
      </c>
      <c r="V31" s="2">
        <v>4.7532143132203437</v>
      </c>
      <c r="W31" s="2">
        <v>9.6469999999999993E-3</v>
      </c>
      <c r="X31" s="2">
        <v>8.5518540000000005</v>
      </c>
      <c r="Y31" s="2">
        <v>7.1656500000000003</v>
      </c>
      <c r="Z31" s="2">
        <v>44.150669999999998</v>
      </c>
      <c r="AA31" s="2">
        <v>42.528283999999999</v>
      </c>
      <c r="AB31" s="2">
        <v>1E-4</v>
      </c>
      <c r="AC31" s="2">
        <v>1.281974422227417</v>
      </c>
      <c r="AD31" s="2">
        <v>0.82495782009139251</v>
      </c>
      <c r="AE31" s="2">
        <v>1.6426339999999999</v>
      </c>
      <c r="AF31" s="2">
        <v>0.37588761330540049</v>
      </c>
      <c r="AG31" s="2">
        <v>0.42550928027932139</v>
      </c>
    </row>
    <row r="32" spans="1:34" x14ac:dyDescent="0.3">
      <c r="A32">
        <v>36</v>
      </c>
      <c r="B32" t="s">
        <v>140</v>
      </c>
      <c r="C32">
        <v>17238.200984300001</v>
      </c>
      <c r="D32">
        <v>287.30334973833328</v>
      </c>
      <c r="E32" t="s">
        <v>141</v>
      </c>
      <c r="F32" t="s">
        <v>35</v>
      </c>
      <c r="G32" t="s">
        <v>142</v>
      </c>
      <c r="H32" t="s">
        <v>37</v>
      </c>
      <c r="I32">
        <v>1.021763141273108E-2</v>
      </c>
      <c r="J32">
        <v>0</v>
      </c>
      <c r="K32" t="s">
        <v>14</v>
      </c>
      <c r="L32">
        <v>405</v>
      </c>
      <c r="M32">
        <v>9.8470037554762669E-5</v>
      </c>
      <c r="N32">
        <v>1E-4</v>
      </c>
      <c r="O32">
        <v>3000</v>
      </c>
      <c r="T32" s="2">
        <v>0.29181717581740368</v>
      </c>
      <c r="U32" s="2">
        <v>1.279621368416282</v>
      </c>
      <c r="V32" s="2">
        <v>4.2088484938113222</v>
      </c>
      <c r="W32" s="2">
        <v>9.6469999999999993E-3</v>
      </c>
      <c r="X32" s="2">
        <v>8.5518540000000005</v>
      </c>
      <c r="Y32" s="2">
        <v>7.1656500000000003</v>
      </c>
      <c r="Z32" s="2">
        <v>44.150669999999998</v>
      </c>
      <c r="AA32" s="2">
        <v>42.528283999999999</v>
      </c>
      <c r="AB32" s="2">
        <v>1E-4</v>
      </c>
      <c r="AC32" s="2">
        <v>2.1006337460212632</v>
      </c>
      <c r="AD32" s="2">
        <v>0.99588913113327215</v>
      </c>
      <c r="AE32" s="2">
        <v>1.6426339999999999</v>
      </c>
      <c r="AF32" s="2">
        <v>0.46611857605913842</v>
      </c>
      <c r="AG32" s="2">
        <v>0.38530408581084519</v>
      </c>
    </row>
    <row r="33" spans="1:34" x14ac:dyDescent="0.3">
      <c r="A33">
        <v>37</v>
      </c>
      <c r="B33" t="s">
        <v>143</v>
      </c>
      <c r="C33">
        <v>10821.325008000011</v>
      </c>
      <c r="D33">
        <v>180.3554168000002</v>
      </c>
      <c r="E33" t="s">
        <v>144</v>
      </c>
      <c r="F33" t="s">
        <v>35</v>
      </c>
      <c r="G33" t="s">
        <v>145</v>
      </c>
      <c r="H33" t="s">
        <v>37</v>
      </c>
      <c r="I33">
        <v>2.3742916167235499E-2</v>
      </c>
      <c r="J33">
        <v>0</v>
      </c>
      <c r="K33" t="s">
        <v>14</v>
      </c>
      <c r="L33">
        <v>285</v>
      </c>
      <c r="M33">
        <v>9.4449768455108306E-5</v>
      </c>
      <c r="N33">
        <v>1E-4</v>
      </c>
      <c r="O33">
        <v>3000</v>
      </c>
      <c r="T33">
        <v>0.1094464579719584</v>
      </c>
      <c r="U33">
        <v>3.0789013453249461</v>
      </c>
      <c r="V33">
        <v>0.41024012838144058</v>
      </c>
      <c r="W33">
        <v>9.6469999999999993E-3</v>
      </c>
      <c r="X33">
        <v>8.5518540000000005</v>
      </c>
      <c r="Y33">
        <v>7.1656500000000003</v>
      </c>
      <c r="Z33">
        <v>44.150669999999998</v>
      </c>
      <c r="AA33">
        <v>42.528283999999999</v>
      </c>
      <c r="AB33">
        <v>1E-4</v>
      </c>
      <c r="AC33">
        <v>5.619499902173156</v>
      </c>
      <c r="AD33">
        <v>0.99855160122087683</v>
      </c>
      <c r="AE33">
        <v>1.6426339999999999</v>
      </c>
      <c r="AF33">
        <v>0.62944585684363086</v>
      </c>
      <c r="AG33">
        <v>0.13942272763891819</v>
      </c>
      <c r="AH33">
        <v>1</v>
      </c>
    </row>
    <row r="34" spans="1:34" x14ac:dyDescent="0.3">
      <c r="A34">
        <v>39</v>
      </c>
      <c r="B34" t="s">
        <v>149</v>
      </c>
      <c r="C34">
        <v>28859.046271200001</v>
      </c>
      <c r="D34">
        <v>480.98410452000002</v>
      </c>
      <c r="E34" t="s">
        <v>150</v>
      </c>
      <c r="F34" t="s">
        <v>35</v>
      </c>
      <c r="G34" t="s">
        <v>151</v>
      </c>
      <c r="H34" t="s">
        <v>37</v>
      </c>
      <c r="I34">
        <v>2.2975391594716999E-2</v>
      </c>
      <c r="J34">
        <v>0</v>
      </c>
      <c r="K34" t="s">
        <v>14</v>
      </c>
      <c r="L34">
        <v>2436</v>
      </c>
      <c r="M34">
        <v>2.3041478700691549E-5</v>
      </c>
      <c r="N34">
        <v>1E-4</v>
      </c>
      <c r="O34">
        <v>3000</v>
      </c>
      <c r="T34" s="2">
        <v>0.1359756669553438</v>
      </c>
      <c r="U34" s="2">
        <v>1.2077244210816229</v>
      </c>
      <c r="V34" s="2">
        <v>2.7492654559773451</v>
      </c>
      <c r="W34" s="2">
        <v>9.6469999999999993E-3</v>
      </c>
      <c r="X34" s="2">
        <v>8.5518540000000005</v>
      </c>
      <c r="Y34" s="2">
        <v>7.1656500000000003</v>
      </c>
      <c r="Z34" s="2">
        <v>44.150669999999998</v>
      </c>
      <c r="AA34" s="2">
        <v>42.528283999999999</v>
      </c>
      <c r="AB34" s="2">
        <v>1E-4</v>
      </c>
      <c r="AC34" s="2">
        <v>2.9393355212587058</v>
      </c>
      <c r="AD34" s="2">
        <v>0.54244360620199983</v>
      </c>
      <c r="AE34" s="2">
        <v>1.6426339999999999</v>
      </c>
      <c r="AF34" s="2">
        <v>0.40411122050813453</v>
      </c>
      <c r="AG34" s="2">
        <v>0.44339809679893338</v>
      </c>
    </row>
    <row r="35" spans="1:34" x14ac:dyDescent="0.3">
      <c r="A35">
        <v>42</v>
      </c>
      <c r="B35" t="s">
        <v>158</v>
      </c>
      <c r="C35">
        <v>12090.978558199949</v>
      </c>
      <c r="D35">
        <v>201.51630930333241</v>
      </c>
      <c r="E35" t="s">
        <v>159</v>
      </c>
      <c r="F35" t="s">
        <v>35</v>
      </c>
      <c r="G35" t="s">
        <v>160</v>
      </c>
      <c r="H35" t="s">
        <v>37</v>
      </c>
      <c r="I35">
        <v>8.8008252518393913E-3</v>
      </c>
      <c r="J35">
        <v>0</v>
      </c>
      <c r="K35" t="s">
        <v>14</v>
      </c>
      <c r="L35">
        <v>242</v>
      </c>
      <c r="M35">
        <v>9.956494080706589E-5</v>
      </c>
      <c r="N35">
        <v>1E-4</v>
      </c>
      <c r="O35">
        <v>3000</v>
      </c>
      <c r="T35">
        <v>4.9713069633522372E-2</v>
      </c>
      <c r="U35">
        <v>6.5977463672493366</v>
      </c>
      <c r="V35">
        <v>0.31311858046653779</v>
      </c>
      <c r="W35">
        <v>9.6469999999999993E-3</v>
      </c>
      <c r="X35">
        <v>8.5518540000000005</v>
      </c>
      <c r="Y35">
        <v>7.1656500000000003</v>
      </c>
      <c r="Z35">
        <v>44.150669999999998</v>
      </c>
      <c r="AA35">
        <v>42.528283999999999</v>
      </c>
      <c r="AB35">
        <v>1E-4</v>
      </c>
      <c r="AC35">
        <v>5.4377300307475114</v>
      </c>
      <c r="AD35">
        <v>0.37203381820939702</v>
      </c>
      <c r="AE35">
        <v>1.6426339999999999</v>
      </c>
      <c r="AF35">
        <v>0.55232036777290161</v>
      </c>
      <c r="AG35">
        <v>0.16099309977936019</v>
      </c>
      <c r="AH35">
        <v>2</v>
      </c>
    </row>
    <row r="36" spans="1:34" x14ac:dyDescent="0.3">
      <c r="A36">
        <v>43</v>
      </c>
      <c r="B36" t="s">
        <v>161</v>
      </c>
      <c r="C36">
        <v>18989.932084700031</v>
      </c>
      <c r="D36">
        <v>316.49886807833389</v>
      </c>
      <c r="E36" t="s">
        <v>162</v>
      </c>
      <c r="F36" t="s">
        <v>35</v>
      </c>
      <c r="G36" t="s">
        <v>163</v>
      </c>
      <c r="H36" t="s">
        <v>37</v>
      </c>
      <c r="I36">
        <v>1.6314150010495201E-2</v>
      </c>
      <c r="J36">
        <v>0</v>
      </c>
      <c r="K36" t="s">
        <v>14</v>
      </c>
      <c r="L36">
        <v>3001</v>
      </c>
      <c r="M36">
        <v>3.531258613098696E-4</v>
      </c>
      <c r="N36">
        <v>1E-4</v>
      </c>
      <c r="O36">
        <v>3000</v>
      </c>
      <c r="T36">
        <v>3.7111673490320622E-2</v>
      </c>
      <c r="U36">
        <v>6.5818128854750508</v>
      </c>
      <c r="V36">
        <v>1.1073073121699619</v>
      </c>
      <c r="W36">
        <v>9.6469999999999993E-3</v>
      </c>
      <c r="X36">
        <v>8.5518540000000005</v>
      </c>
      <c r="Y36">
        <v>7.1656500000000003</v>
      </c>
      <c r="Z36">
        <v>44.150669999999998</v>
      </c>
      <c r="AA36">
        <v>42.528283999999999</v>
      </c>
      <c r="AB36">
        <v>1E-4</v>
      </c>
      <c r="AC36">
        <v>3.853162958204702</v>
      </c>
      <c r="AD36">
        <v>0.5561711208575485</v>
      </c>
      <c r="AE36">
        <v>1.6426339999999999</v>
      </c>
      <c r="AF36">
        <v>0.45734700779106402</v>
      </c>
      <c r="AG36">
        <v>0.30097147464853968</v>
      </c>
      <c r="AH36">
        <v>1</v>
      </c>
    </row>
    <row r="37" spans="1:34" x14ac:dyDescent="0.3">
      <c r="A37">
        <v>44</v>
      </c>
      <c r="B37" t="s">
        <v>164</v>
      </c>
      <c r="C37">
        <v>24786.473786599989</v>
      </c>
      <c r="D37">
        <v>413.10789644333317</v>
      </c>
      <c r="E37" t="s">
        <v>165</v>
      </c>
      <c r="F37" t="s">
        <v>35</v>
      </c>
      <c r="G37" t="s">
        <v>166</v>
      </c>
      <c r="H37" t="s">
        <v>37</v>
      </c>
      <c r="I37">
        <v>1.0003044111750939E-2</v>
      </c>
      <c r="J37">
        <v>0</v>
      </c>
      <c r="K37" t="s">
        <v>14</v>
      </c>
      <c r="L37">
        <v>2336</v>
      </c>
      <c r="M37">
        <v>9.4838676435224324E-5</v>
      </c>
      <c r="N37">
        <v>1E-4</v>
      </c>
      <c r="O37">
        <v>3000</v>
      </c>
      <c r="T37">
        <v>0.1079931138950458</v>
      </c>
      <c r="U37">
        <v>1.728289082338875</v>
      </c>
      <c r="V37">
        <v>4.2993726803987578</v>
      </c>
      <c r="W37">
        <v>9.6469999999999993E-3</v>
      </c>
      <c r="X37">
        <v>8.5518540000000005</v>
      </c>
      <c r="Y37">
        <v>7.1656500000000003</v>
      </c>
      <c r="Z37">
        <v>44.150669999999998</v>
      </c>
      <c r="AA37">
        <v>42.528283999999999</v>
      </c>
      <c r="AB37">
        <v>1E-4</v>
      </c>
      <c r="AC37">
        <v>1.9108034117474511</v>
      </c>
      <c r="AD37">
        <v>0.1731438874098615</v>
      </c>
      <c r="AE37">
        <v>1.6426339999999999</v>
      </c>
      <c r="AF37">
        <v>0.35409572834679381</v>
      </c>
      <c r="AG37">
        <v>0.51800295285361286</v>
      </c>
      <c r="AH37">
        <v>1</v>
      </c>
    </row>
    <row r="38" spans="1:34" x14ac:dyDescent="0.3">
      <c r="A38">
        <v>45</v>
      </c>
      <c r="B38" t="s">
        <v>167</v>
      </c>
      <c r="C38">
        <v>16503.990401200019</v>
      </c>
      <c r="D38">
        <v>275.06650668666703</v>
      </c>
      <c r="E38" t="s">
        <v>168</v>
      </c>
      <c r="F38" t="s">
        <v>35</v>
      </c>
      <c r="G38" t="s">
        <v>169</v>
      </c>
      <c r="H38" t="s">
        <v>37</v>
      </c>
      <c r="I38">
        <v>1.9023041442677021E-2</v>
      </c>
      <c r="J38">
        <v>0</v>
      </c>
      <c r="K38" t="s">
        <v>14</v>
      </c>
      <c r="L38">
        <v>940</v>
      </c>
      <c r="M38">
        <v>9.379461023133869E-5</v>
      </c>
      <c r="N38">
        <v>1E-4</v>
      </c>
      <c r="O38">
        <v>3000</v>
      </c>
      <c r="T38">
        <v>7.6338007895285567E-2</v>
      </c>
      <c r="U38">
        <v>2.1484320279473619</v>
      </c>
      <c r="V38">
        <v>1.475429098981929</v>
      </c>
      <c r="W38">
        <v>9.6469999999999993E-3</v>
      </c>
      <c r="X38">
        <v>8.5518540000000005</v>
      </c>
      <c r="Y38">
        <v>7.1656500000000003</v>
      </c>
      <c r="Z38">
        <v>44.150669999999998</v>
      </c>
      <c r="AA38">
        <v>42.528283999999999</v>
      </c>
      <c r="AB38">
        <v>1E-4</v>
      </c>
      <c r="AC38">
        <v>3.7618758667714789</v>
      </c>
      <c r="AD38">
        <v>0.99439372698298123</v>
      </c>
      <c r="AE38">
        <v>1.6426339999999999</v>
      </c>
      <c r="AF38">
        <v>0.37729042300840809</v>
      </c>
      <c r="AG38">
        <v>0.45713889274769082</v>
      </c>
      <c r="AH38">
        <v>1</v>
      </c>
    </row>
    <row r="39" spans="1:34" x14ac:dyDescent="0.3">
      <c r="A39">
        <v>46</v>
      </c>
      <c r="B39" t="s">
        <v>170</v>
      </c>
      <c r="C39">
        <v>8646.3214053999982</v>
      </c>
      <c r="D39">
        <v>144.10535675666659</v>
      </c>
      <c r="E39" t="s">
        <v>171</v>
      </c>
      <c r="F39" t="s">
        <v>35</v>
      </c>
      <c r="G39" t="s">
        <v>172</v>
      </c>
      <c r="H39" t="s">
        <v>37</v>
      </c>
      <c r="I39">
        <v>2.6580167883440298E-2</v>
      </c>
      <c r="J39">
        <v>0</v>
      </c>
      <c r="K39" t="s">
        <v>14</v>
      </c>
      <c r="L39">
        <v>165</v>
      </c>
      <c r="M39">
        <v>9.8347257197603234E-5</v>
      </c>
      <c r="N39">
        <v>1E-4</v>
      </c>
      <c r="O39">
        <v>3000</v>
      </c>
      <c r="T39">
        <v>9.5371729442421352E-2</v>
      </c>
      <c r="U39">
        <v>5.3417965560104061</v>
      </c>
      <c r="V39">
        <v>0.29185520463689879</v>
      </c>
      <c r="W39">
        <v>9.6469999999999993E-3</v>
      </c>
      <c r="X39">
        <v>8.5518540000000005</v>
      </c>
      <c r="Y39">
        <v>7.1656500000000003</v>
      </c>
      <c r="Z39">
        <v>44.150669999999998</v>
      </c>
      <c r="AA39">
        <v>42.528283999999999</v>
      </c>
      <c r="AB39">
        <v>1E-4</v>
      </c>
      <c r="AC39">
        <v>3.9691047816148899</v>
      </c>
      <c r="AD39">
        <v>0.99957490285693673</v>
      </c>
      <c r="AE39">
        <v>1.6426339999999999</v>
      </c>
      <c r="AF39">
        <v>0.66077463465516251</v>
      </c>
      <c r="AG39">
        <v>0.1000050148419402</v>
      </c>
      <c r="AH39">
        <v>2</v>
      </c>
    </row>
    <row r="40" spans="1:34" x14ac:dyDescent="0.3">
      <c r="A40">
        <v>49</v>
      </c>
      <c r="B40" t="s">
        <v>179</v>
      </c>
      <c r="C40">
        <v>9371.0296170999645</v>
      </c>
      <c r="D40">
        <v>156.18382695166611</v>
      </c>
      <c r="E40" t="s">
        <v>180</v>
      </c>
      <c r="F40" t="s">
        <v>35</v>
      </c>
      <c r="G40" t="s">
        <v>181</v>
      </c>
      <c r="H40" t="s">
        <v>37</v>
      </c>
      <c r="I40">
        <v>2.5088682414831209E-2</v>
      </c>
      <c r="J40">
        <v>0</v>
      </c>
      <c r="K40" t="s">
        <v>14</v>
      </c>
      <c r="L40">
        <v>321</v>
      </c>
      <c r="M40">
        <v>9.4901856563863355E-5</v>
      </c>
      <c r="N40">
        <v>1E-4</v>
      </c>
      <c r="O40">
        <v>3000</v>
      </c>
      <c r="T40" s="2">
        <v>4.9643664583569523E-2</v>
      </c>
      <c r="U40" s="2">
        <v>2.9722745354726041</v>
      </c>
      <c r="V40" s="2">
        <v>5.4297146770707574</v>
      </c>
      <c r="W40" s="2">
        <v>9.6469999999999993E-3</v>
      </c>
      <c r="X40" s="2">
        <v>8.5518540000000005</v>
      </c>
      <c r="Y40" s="2">
        <v>7.1656500000000003</v>
      </c>
      <c r="Z40" s="2">
        <v>44.150669999999998</v>
      </c>
      <c r="AA40" s="2">
        <v>42.528283999999999</v>
      </c>
      <c r="AB40" s="2">
        <v>1E-4</v>
      </c>
      <c r="AC40" s="2">
        <v>1.127648468367126</v>
      </c>
      <c r="AD40" s="2">
        <v>0.80815535727297716</v>
      </c>
      <c r="AE40" s="2">
        <v>1.6426339999999999</v>
      </c>
      <c r="AF40" s="2">
        <v>0.36345241980061638</v>
      </c>
      <c r="AG40" s="2">
        <v>0.42112222077518813</v>
      </c>
    </row>
    <row r="41" spans="1:34" x14ac:dyDescent="0.3">
      <c r="A41">
        <v>50</v>
      </c>
      <c r="B41" t="s">
        <v>182</v>
      </c>
      <c r="C41">
        <v>14771.834517899961</v>
      </c>
      <c r="D41">
        <v>246.19724196499931</v>
      </c>
      <c r="E41" t="s">
        <v>183</v>
      </c>
      <c r="F41" t="s">
        <v>35</v>
      </c>
      <c r="G41" t="s">
        <v>184</v>
      </c>
      <c r="H41" t="s">
        <v>37</v>
      </c>
      <c r="I41">
        <v>1.8079349947727929E-2</v>
      </c>
      <c r="J41">
        <v>0</v>
      </c>
      <c r="K41" t="s">
        <v>14</v>
      </c>
      <c r="L41">
        <v>1619</v>
      </c>
      <c r="M41">
        <v>9.7776949008474202E-5</v>
      </c>
      <c r="N41">
        <v>1E-4</v>
      </c>
      <c r="O41">
        <v>3000</v>
      </c>
      <c r="T41">
        <v>0.1033758665619207</v>
      </c>
      <c r="U41">
        <v>3.4894102345850828</v>
      </c>
      <c r="V41">
        <v>1.316810436714732</v>
      </c>
      <c r="W41">
        <v>9.6469999999999993E-3</v>
      </c>
      <c r="X41">
        <v>8.5518540000000005</v>
      </c>
      <c r="Y41">
        <v>7.1656500000000003</v>
      </c>
      <c r="Z41">
        <v>44.150669999999998</v>
      </c>
      <c r="AA41">
        <v>42.528283999999999</v>
      </c>
      <c r="AB41">
        <v>1E-4</v>
      </c>
      <c r="AC41">
        <v>3.2706060034619742</v>
      </c>
      <c r="AD41">
        <v>0.99997920336769752</v>
      </c>
      <c r="AE41">
        <v>1.6426339999999999</v>
      </c>
      <c r="AF41">
        <v>0.54384241433488878</v>
      </c>
      <c r="AG41">
        <v>0.33642100846641448</v>
      </c>
      <c r="AH41">
        <v>1</v>
      </c>
    </row>
    <row r="43" spans="1:34" x14ac:dyDescent="0.3">
      <c r="A43">
        <f>COUNT(A2:A41)</f>
        <v>40</v>
      </c>
      <c r="C43" t="s">
        <v>185</v>
      </c>
      <c r="D43" t="s">
        <v>187</v>
      </c>
      <c r="T43">
        <f>AVERAGE(T2:T41)</f>
        <v>0.12262254307157168</v>
      </c>
      <c r="U43">
        <f>AVERAGE(U2:U41)</f>
        <v>2.9944555390395688</v>
      </c>
      <c r="V43">
        <f>AVERAGE(V2:V41)</f>
        <v>2.9780866519856302</v>
      </c>
      <c r="AC43">
        <f>AVERAGE(AC2:AC41)</f>
        <v>3.2887896244442842</v>
      </c>
      <c r="AD43">
        <f>AVERAGE(AD2:AD41)</f>
        <v>0.83549975358612516</v>
      </c>
      <c r="AF43">
        <f>AVERAGE(AF2:AF41)</f>
        <v>0.5204987745347025</v>
      </c>
      <c r="AG43">
        <f>AVERAGE(AG2:AG41)</f>
        <v>0.31672611519882599</v>
      </c>
    </row>
    <row r="44" spans="1:34" x14ac:dyDescent="0.3">
      <c r="D44" t="s">
        <v>186</v>
      </c>
      <c r="T44">
        <f>MEDIAN(T2:T41)</f>
        <v>0.10589907108175581</v>
      </c>
      <c r="U44">
        <f>MEDIAN(U2:U41)</f>
        <v>2.8962325011912373</v>
      </c>
      <c r="V44">
        <f>MEDIAN(V2:V41)</f>
        <v>2.5423268372205379</v>
      </c>
      <c r="AC44">
        <f>MEDIAN(AC2:AC41)</f>
        <v>2.9676106532971751</v>
      </c>
      <c r="AD44">
        <f>MEDIAN(AD2:AD41)</f>
        <v>0.9485975539398912</v>
      </c>
      <c r="AF44">
        <f>MEDIAN(AF2:AF41)</f>
        <v>0.54637695920210316</v>
      </c>
      <c r="AG44">
        <f>MEDIAN(AG2:AG41)</f>
        <v>0.34017708999114482</v>
      </c>
    </row>
    <row r="45" spans="1:34" x14ac:dyDescent="0.3">
      <c r="D45" t="s">
        <v>188</v>
      </c>
      <c r="T45">
        <f>STDEVA(T2:T41)</f>
        <v>7.0720217937426999E-2</v>
      </c>
      <c r="U45">
        <f t="shared" ref="U45:AG45" si="0">STDEVA(U2:U41)</f>
        <v>1.6436025174983759</v>
      </c>
      <c r="V45">
        <f t="shared" si="0"/>
        <v>2.6191016681883141</v>
      </c>
      <c r="AC45">
        <f t="shared" si="0"/>
        <v>1.5921390109639215</v>
      </c>
      <c r="AD45">
        <f t="shared" si="0"/>
        <v>0.23285168134979314</v>
      </c>
      <c r="AF45">
        <f t="shared" si="0"/>
        <v>0.11878749486623602</v>
      </c>
      <c r="AG45">
        <f t="shared" si="0"/>
        <v>0.14823861514802875</v>
      </c>
    </row>
    <row r="68" spans="21:21" x14ac:dyDescent="0.3">
      <c r="U68" s="1"/>
    </row>
  </sheetData>
  <autoFilter ref="A1:AG1" xr:uid="{31D0ED38-DB97-4B93-B396-311E91E46429}">
    <sortState xmlns:xlrd2="http://schemas.microsoft.com/office/spreadsheetml/2017/richdata2" ref="A2:AG51">
      <sortCondition ref="A1"/>
    </sortState>
  </autoFilter>
  <conditionalFormatting sqref="T2:T41">
    <cfRule type="top10" dxfId="58" priority="125" percent="1" rank="15"/>
  </conditionalFormatting>
  <conditionalFormatting sqref="U2:U41">
    <cfRule type="top10" dxfId="57" priority="127" percent="1" rank="15"/>
  </conditionalFormatting>
  <conditionalFormatting sqref="V2:V41">
    <cfRule type="top10" dxfId="56" priority="129" percent="1" rank="15"/>
  </conditionalFormatting>
  <conditionalFormatting sqref="AC2:AC41">
    <cfRule type="top10" dxfId="55" priority="131" percent="1" rank="15"/>
  </conditionalFormatting>
  <conditionalFormatting sqref="AD2:AD41">
    <cfRule type="top10" dxfId="54" priority="133" percent="1" rank="15"/>
  </conditionalFormatting>
  <conditionalFormatting sqref="AG2:AG41">
    <cfRule type="top10" dxfId="53" priority="135" percent="1" rank="15"/>
  </conditionalFormatting>
  <conditionalFormatting sqref="AF2:AF41">
    <cfRule type="top10" dxfId="52" priority="137" percent="1" rank="15"/>
  </conditionalFormatting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03C8-E952-42EA-9AC5-C8A920C977A2}">
  <sheetPr codeName="Hoja4"/>
  <dimension ref="A1:AG63"/>
  <sheetViews>
    <sheetView topLeftCell="G37" zoomScaleNormal="100" workbookViewId="0">
      <selection activeCell="AX45" sqref="AX45"/>
    </sheetView>
  </sheetViews>
  <sheetFormatPr baseColWidth="10" defaultColWidth="8.88671875" defaultRowHeight="14.4" x14ac:dyDescent="0.3"/>
  <cols>
    <col min="3" max="3" width="10.109375" customWidth="1"/>
    <col min="16" max="19" width="0" hidden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>
        <v>21532.821246699979</v>
      </c>
      <c r="D2">
        <v>358.88035411166641</v>
      </c>
      <c r="E2" t="s">
        <v>34</v>
      </c>
      <c r="F2" t="s">
        <v>35</v>
      </c>
      <c r="G2" t="s">
        <v>36</v>
      </c>
      <c r="H2" t="s">
        <v>37</v>
      </c>
      <c r="I2">
        <v>1.383836386357711E-2</v>
      </c>
      <c r="J2">
        <v>0</v>
      </c>
      <c r="K2" t="s">
        <v>14</v>
      </c>
      <c r="L2">
        <v>696</v>
      </c>
      <c r="M2">
        <v>8.185283822881637E-5</v>
      </c>
      <c r="N2">
        <v>1E-4</v>
      </c>
      <c r="O2">
        <v>3000</v>
      </c>
      <c r="T2">
        <v>7.9591669120431585E-2</v>
      </c>
      <c r="U2">
        <v>1.2775896728366729</v>
      </c>
      <c r="V2">
        <v>7.5802309025826844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2.1607735069316112</v>
      </c>
      <c r="AD2">
        <v>0.82252605860305728</v>
      </c>
      <c r="AE2">
        <v>1.6426339999999999</v>
      </c>
      <c r="AF2">
        <v>0.35680740547586048</v>
      </c>
      <c r="AG2">
        <v>0.45267027933618659</v>
      </c>
    </row>
    <row r="3" spans="1:33" x14ac:dyDescent="0.3">
      <c r="A3">
        <v>2</v>
      </c>
      <c r="B3" t="s">
        <v>38</v>
      </c>
      <c r="C3">
        <v>13723.09800200001</v>
      </c>
      <c r="D3">
        <v>228.71830003333349</v>
      </c>
      <c r="E3" t="s">
        <v>39</v>
      </c>
      <c r="F3" t="s">
        <v>35</v>
      </c>
      <c r="G3" t="s">
        <v>40</v>
      </c>
      <c r="H3" t="s">
        <v>37</v>
      </c>
      <c r="I3">
        <v>2.215953604856552E-2</v>
      </c>
      <c r="J3">
        <v>0</v>
      </c>
      <c r="K3" t="s">
        <v>14</v>
      </c>
      <c r="L3">
        <v>887</v>
      </c>
      <c r="M3">
        <v>7.024331252581321E-5</v>
      </c>
      <c r="N3">
        <v>1E-4</v>
      </c>
      <c r="O3">
        <v>3000</v>
      </c>
      <c r="T3">
        <v>9.8766372635100658E-2</v>
      </c>
      <c r="U3">
        <v>3.6465402710403638</v>
      </c>
      <c r="V3">
        <v>8.2205194458374589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1.1816009681183359</v>
      </c>
      <c r="AD3">
        <v>0.88822287194601712</v>
      </c>
      <c r="AE3">
        <v>1.6426339999999999</v>
      </c>
      <c r="AF3">
        <v>0.53209866830297281</v>
      </c>
      <c r="AG3">
        <v>0.39887350963340551</v>
      </c>
    </row>
    <row r="4" spans="1:33" x14ac:dyDescent="0.3">
      <c r="A4">
        <v>5</v>
      </c>
      <c r="B4" t="s">
        <v>47</v>
      </c>
      <c r="C4">
        <v>15098.10594339998</v>
      </c>
      <c r="D4">
        <v>251.63509905666629</v>
      </c>
      <c r="E4" t="s">
        <v>48</v>
      </c>
      <c r="F4" t="s">
        <v>35</v>
      </c>
      <c r="G4" t="s">
        <v>49</v>
      </c>
      <c r="H4" t="s">
        <v>37</v>
      </c>
      <c r="I4">
        <v>1.3606320218398429E-2</v>
      </c>
      <c r="J4">
        <v>0</v>
      </c>
      <c r="K4" t="s">
        <v>14</v>
      </c>
      <c r="L4">
        <v>136</v>
      </c>
      <c r="M4">
        <v>9.8399779378960679E-5</v>
      </c>
      <c r="N4">
        <v>1E-4</v>
      </c>
      <c r="O4">
        <v>3000</v>
      </c>
      <c r="T4" s="2">
        <v>6.472871915222754E-2</v>
      </c>
      <c r="U4" s="2">
        <v>3.9702093993711252</v>
      </c>
      <c r="V4" s="2">
        <v>1.180538637321028</v>
      </c>
      <c r="W4" s="2">
        <v>9.6469999999999993E-3</v>
      </c>
      <c r="X4" s="2">
        <v>8.5518540000000005</v>
      </c>
      <c r="Y4" s="2">
        <v>7.1656500000000003</v>
      </c>
      <c r="Z4" s="2">
        <v>44.150669999999998</v>
      </c>
      <c r="AA4" s="2">
        <v>42.528283999999999</v>
      </c>
      <c r="AB4" s="2">
        <v>1E-4</v>
      </c>
      <c r="AC4" s="2">
        <v>1.7779311466140399</v>
      </c>
      <c r="AD4" s="2">
        <v>0.21868182914115469</v>
      </c>
      <c r="AE4" s="2">
        <v>1.6426339999999999</v>
      </c>
      <c r="AF4" s="2">
        <v>0.50789262577800998</v>
      </c>
      <c r="AG4" s="2">
        <v>0.24431553740673689</v>
      </c>
    </row>
    <row r="5" spans="1:33" x14ac:dyDescent="0.3">
      <c r="A5">
        <v>6</v>
      </c>
      <c r="B5" t="s">
        <v>50</v>
      </c>
      <c r="C5">
        <v>13495.663089799989</v>
      </c>
      <c r="D5">
        <v>224.92771816333311</v>
      </c>
      <c r="E5" t="s">
        <v>51</v>
      </c>
      <c r="F5" t="s">
        <v>35</v>
      </c>
      <c r="G5" t="s">
        <v>52</v>
      </c>
      <c r="H5" t="s">
        <v>37</v>
      </c>
      <c r="I5">
        <v>3.0229030348613531E-2</v>
      </c>
      <c r="J5">
        <v>0</v>
      </c>
      <c r="K5" t="s">
        <v>14</v>
      </c>
      <c r="L5">
        <v>355</v>
      </c>
      <c r="M5">
        <v>9.5006492752152603E-5</v>
      </c>
      <c r="N5">
        <v>1E-4</v>
      </c>
      <c r="O5">
        <v>3000</v>
      </c>
      <c r="T5" s="2">
        <v>0.1157248521841775</v>
      </c>
      <c r="U5" s="2">
        <v>3.9483938391554938</v>
      </c>
      <c r="V5" s="2">
        <v>0.38672266013306461</v>
      </c>
      <c r="W5" s="2">
        <v>9.6469999999999993E-3</v>
      </c>
      <c r="X5" s="2">
        <v>8.5518540000000005</v>
      </c>
      <c r="Y5" s="2">
        <v>7.1656500000000003</v>
      </c>
      <c r="Z5" s="2">
        <v>44.150669999999998</v>
      </c>
      <c r="AA5" s="2">
        <v>42.528283999999999</v>
      </c>
      <c r="AB5" s="2">
        <v>1E-4</v>
      </c>
      <c r="AC5" s="2">
        <v>3.255620818675057</v>
      </c>
      <c r="AD5" s="2">
        <v>0.99829186819717619</v>
      </c>
      <c r="AE5" s="2">
        <v>1.6426339999999999</v>
      </c>
      <c r="AF5" s="2">
        <v>0.6034988410088048</v>
      </c>
      <c r="AG5" s="2">
        <v>0.113896957025405</v>
      </c>
    </row>
    <row r="6" spans="1:33" x14ac:dyDescent="0.3">
      <c r="A6">
        <v>7</v>
      </c>
      <c r="B6" t="s">
        <v>53</v>
      </c>
      <c r="C6">
        <v>17343.553537199969</v>
      </c>
      <c r="D6">
        <v>289.05922561999961</v>
      </c>
      <c r="E6" t="s">
        <v>54</v>
      </c>
      <c r="F6" t="s">
        <v>35</v>
      </c>
      <c r="G6" t="s">
        <v>55</v>
      </c>
      <c r="H6" t="s">
        <v>37</v>
      </c>
      <c r="I6">
        <v>2.949173099146854E-2</v>
      </c>
      <c r="J6">
        <v>0</v>
      </c>
      <c r="K6" t="s">
        <v>14</v>
      </c>
      <c r="L6">
        <v>491</v>
      </c>
      <c r="M6">
        <v>9.5276271585833304E-5</v>
      </c>
      <c r="N6">
        <v>1E-4</v>
      </c>
      <c r="O6">
        <v>3000</v>
      </c>
      <c r="T6">
        <v>0.2472338620818213</v>
      </c>
      <c r="U6">
        <v>1.263156339572632</v>
      </c>
      <c r="V6">
        <v>5.1083127893955114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2.629510266844215</v>
      </c>
      <c r="AD6">
        <v>0.58836422403116395</v>
      </c>
      <c r="AE6">
        <v>1.6426339999999999</v>
      </c>
      <c r="AF6">
        <v>0.69227653247292043</v>
      </c>
      <c r="AG6">
        <v>0.34393317151587521</v>
      </c>
    </row>
    <row r="7" spans="1:33" x14ac:dyDescent="0.3">
      <c r="A7">
        <v>8</v>
      </c>
      <c r="B7" t="s">
        <v>56</v>
      </c>
      <c r="C7">
        <v>15002.84113319998</v>
      </c>
      <c r="D7">
        <v>250.04735221999971</v>
      </c>
      <c r="E7" t="s">
        <v>57</v>
      </c>
      <c r="F7" t="s">
        <v>35</v>
      </c>
      <c r="G7" t="s">
        <v>58</v>
      </c>
      <c r="H7" t="s">
        <v>37</v>
      </c>
      <c r="I7">
        <v>1.929738615317832E-2</v>
      </c>
      <c r="J7">
        <v>0</v>
      </c>
      <c r="K7" t="s">
        <v>14</v>
      </c>
      <c r="L7">
        <v>1051</v>
      </c>
      <c r="M7">
        <v>9.4129634067320533E-5</v>
      </c>
      <c r="N7">
        <v>1E-4</v>
      </c>
      <c r="O7">
        <v>3000</v>
      </c>
      <c r="T7" s="2">
        <v>8.7481495012858304E-2</v>
      </c>
      <c r="U7" s="2">
        <v>1.4461727354296821</v>
      </c>
      <c r="V7" s="2">
        <v>5.3414239314315353</v>
      </c>
      <c r="W7" s="2">
        <v>9.6469999999999993E-3</v>
      </c>
      <c r="X7" s="2">
        <v>8.5518540000000005</v>
      </c>
      <c r="Y7" s="2">
        <v>7.1656500000000003</v>
      </c>
      <c r="Z7" s="2">
        <v>44.150669999999998</v>
      </c>
      <c r="AA7" s="2">
        <v>42.528283999999999</v>
      </c>
      <c r="AB7" s="2">
        <v>1E-4</v>
      </c>
      <c r="AC7" s="2">
        <v>3.754208637255438</v>
      </c>
      <c r="AD7" s="2">
        <v>0.94292399766561574</v>
      </c>
      <c r="AE7" s="2">
        <v>1.6426339999999999</v>
      </c>
      <c r="AF7" s="2">
        <v>0.57997025002292379</v>
      </c>
      <c r="AG7" s="2">
        <v>0.33046316687705829</v>
      </c>
    </row>
    <row r="8" spans="1:33" x14ac:dyDescent="0.3">
      <c r="A8">
        <v>10</v>
      </c>
      <c r="B8" t="s">
        <v>62</v>
      </c>
      <c r="C8">
        <v>31379.76279070001</v>
      </c>
      <c r="D8">
        <v>522.99604651166692</v>
      </c>
      <c r="E8" t="s">
        <v>63</v>
      </c>
      <c r="F8" t="s">
        <v>35</v>
      </c>
      <c r="G8" t="s">
        <v>64</v>
      </c>
      <c r="H8" t="s">
        <v>37</v>
      </c>
      <c r="I8">
        <v>1.1196192493127539E-2</v>
      </c>
      <c r="J8">
        <v>0</v>
      </c>
      <c r="K8" t="s">
        <v>14</v>
      </c>
      <c r="L8">
        <v>2163</v>
      </c>
      <c r="M8">
        <v>9.3818426048656128E-5</v>
      </c>
      <c r="N8">
        <v>1E-4</v>
      </c>
      <c r="O8">
        <v>3000</v>
      </c>
      <c r="T8" s="2">
        <v>0.13171106680708281</v>
      </c>
      <c r="U8" s="2">
        <v>1.2803780296643441</v>
      </c>
      <c r="V8" s="2">
        <v>2.7189684162254459</v>
      </c>
      <c r="W8" s="2">
        <v>9.6469999999999993E-3</v>
      </c>
      <c r="X8" s="2">
        <v>8.5518540000000005</v>
      </c>
      <c r="Y8" s="2">
        <v>7.1656500000000003</v>
      </c>
      <c r="Z8" s="2">
        <v>44.150669999999998</v>
      </c>
      <c r="AA8" s="2">
        <v>42.528283999999999</v>
      </c>
      <c r="AB8" s="2">
        <v>1E-4</v>
      </c>
      <c r="AC8" s="2">
        <v>2.5192987561038431</v>
      </c>
      <c r="AD8" s="2">
        <v>0.34308949828818591</v>
      </c>
      <c r="AE8" s="2">
        <v>1.6426339999999999</v>
      </c>
      <c r="AF8" s="2">
        <v>0.39204389479805929</v>
      </c>
      <c r="AG8" s="2">
        <v>0.43880277409739332</v>
      </c>
    </row>
    <row r="9" spans="1:33" x14ac:dyDescent="0.3">
      <c r="A9">
        <v>11</v>
      </c>
      <c r="B9" t="s">
        <v>65</v>
      </c>
      <c r="C9">
        <v>21952.919157899971</v>
      </c>
      <c r="D9">
        <v>365.88198596499961</v>
      </c>
      <c r="E9" t="s">
        <v>66</v>
      </c>
      <c r="F9" t="s">
        <v>35</v>
      </c>
      <c r="G9" t="s">
        <v>67</v>
      </c>
      <c r="H9" t="s">
        <v>37</v>
      </c>
      <c r="I9">
        <v>2.0955927778411879E-2</v>
      </c>
      <c r="J9">
        <v>0</v>
      </c>
      <c r="K9" t="s">
        <v>14</v>
      </c>
      <c r="L9">
        <v>3001</v>
      </c>
      <c r="M9">
        <v>4.5480474266762261E-4</v>
      </c>
      <c r="N9">
        <v>1E-4</v>
      </c>
      <c r="O9">
        <v>3000</v>
      </c>
      <c r="T9">
        <v>8.8032865941792313E-2</v>
      </c>
      <c r="U9">
        <v>4.6400963663017514</v>
      </c>
      <c r="V9">
        <v>0.33911376185990011</v>
      </c>
      <c r="W9">
        <v>9.6469999999999993E-3</v>
      </c>
      <c r="X9">
        <v>8.5518540000000005</v>
      </c>
      <c r="Y9">
        <v>7.1656500000000003</v>
      </c>
      <c r="Z9">
        <v>44.150669999999998</v>
      </c>
      <c r="AA9">
        <v>42.528283999999999</v>
      </c>
      <c r="AB9">
        <v>1E-4</v>
      </c>
      <c r="AC9">
        <v>3.4184327761098738</v>
      </c>
      <c r="AD9">
        <v>0.99989075338987876</v>
      </c>
      <c r="AE9">
        <v>1.6426339999999999</v>
      </c>
      <c r="AF9">
        <v>0.62192843768557216</v>
      </c>
      <c r="AG9">
        <v>0.1000000000096664</v>
      </c>
    </row>
    <row r="10" spans="1:33" x14ac:dyDescent="0.3">
      <c r="A10">
        <v>12</v>
      </c>
      <c r="B10" t="s">
        <v>68</v>
      </c>
      <c r="C10">
        <v>6459.967974899977</v>
      </c>
      <c r="D10">
        <v>107.66613291499959</v>
      </c>
      <c r="E10" t="s">
        <v>69</v>
      </c>
      <c r="F10" t="s">
        <v>35</v>
      </c>
      <c r="G10" t="s">
        <v>70</v>
      </c>
      <c r="H10" t="s">
        <v>37</v>
      </c>
      <c r="I10">
        <v>4.2107440725379162E-2</v>
      </c>
      <c r="J10">
        <v>0</v>
      </c>
      <c r="K10" t="s">
        <v>14</v>
      </c>
      <c r="L10">
        <v>172</v>
      </c>
      <c r="M10">
        <v>7.8134429815787475E-5</v>
      </c>
      <c r="N10">
        <v>1E-4</v>
      </c>
      <c r="O10">
        <v>3000</v>
      </c>
      <c r="T10" s="2">
        <v>0.1169669628071545</v>
      </c>
      <c r="U10" s="2">
        <v>2.2710167679059632</v>
      </c>
      <c r="V10" s="2">
        <v>0.57718207759030193</v>
      </c>
      <c r="W10" s="2">
        <v>9.6469999999999993E-3</v>
      </c>
      <c r="X10" s="2">
        <v>8.5518540000000005</v>
      </c>
      <c r="Y10" s="2">
        <v>7.1656500000000003</v>
      </c>
      <c r="Z10" s="2">
        <v>44.150669999999998</v>
      </c>
      <c r="AA10" s="2">
        <v>42.528283999999999</v>
      </c>
      <c r="AB10" s="2">
        <v>1E-4</v>
      </c>
      <c r="AC10" s="2">
        <v>5.423645052202092</v>
      </c>
      <c r="AD10" s="2">
        <v>0.99973389025040671</v>
      </c>
      <c r="AE10" s="2">
        <v>1.6426339999999999</v>
      </c>
      <c r="AF10" s="2">
        <v>0.54891150406931755</v>
      </c>
      <c r="AG10" s="2">
        <v>0.2369861228432418</v>
      </c>
    </row>
    <row r="11" spans="1:33" x14ac:dyDescent="0.3">
      <c r="A11">
        <v>13</v>
      </c>
      <c r="B11" t="s">
        <v>71</v>
      </c>
      <c r="C11">
        <v>18510.96055610001</v>
      </c>
      <c r="D11">
        <v>308.51600926833339</v>
      </c>
      <c r="E11" t="s">
        <v>72</v>
      </c>
      <c r="F11" t="s">
        <v>35</v>
      </c>
      <c r="G11" t="s">
        <v>73</v>
      </c>
      <c r="H11" t="s">
        <v>37</v>
      </c>
      <c r="I11">
        <v>3.0028068761530059E-2</v>
      </c>
      <c r="J11">
        <v>0</v>
      </c>
      <c r="K11" t="s">
        <v>14</v>
      </c>
      <c r="L11">
        <v>382</v>
      </c>
      <c r="M11">
        <v>7.9462689905198121E-5</v>
      </c>
      <c r="N11">
        <v>1E-4</v>
      </c>
      <c r="O11">
        <v>3000</v>
      </c>
      <c r="T11">
        <v>0.13543101585881839</v>
      </c>
      <c r="U11">
        <v>2.1675745542474041</v>
      </c>
      <c r="V11">
        <v>0.44371357160502928</v>
      </c>
      <c r="W11">
        <v>9.6469999999999993E-3</v>
      </c>
      <c r="X11">
        <v>8.5518540000000005</v>
      </c>
      <c r="Y11">
        <v>7.1656500000000003</v>
      </c>
      <c r="Z11">
        <v>44.150669999999998</v>
      </c>
      <c r="AA11">
        <v>42.528283999999999</v>
      </c>
      <c r="AB11">
        <v>1E-4</v>
      </c>
      <c r="AC11">
        <v>6.2503316935079756</v>
      </c>
      <c r="AD11">
        <v>0.99972102398571816</v>
      </c>
      <c r="AE11">
        <v>1.6426339999999999</v>
      </c>
      <c r="AF11">
        <v>0.56821626431158878</v>
      </c>
      <c r="AG11">
        <v>0.32018714573871382</v>
      </c>
    </row>
    <row r="12" spans="1:33" x14ac:dyDescent="0.3">
      <c r="A12">
        <v>14</v>
      </c>
      <c r="B12" t="s">
        <v>74</v>
      </c>
      <c r="C12">
        <v>24515.56501680001</v>
      </c>
      <c r="D12">
        <v>408.59275028000019</v>
      </c>
      <c r="E12" t="s">
        <v>75</v>
      </c>
      <c r="F12" t="s">
        <v>35</v>
      </c>
      <c r="G12" t="s">
        <v>76</v>
      </c>
      <c r="H12" t="s">
        <v>37</v>
      </c>
      <c r="I12">
        <v>7.3830590685885116E-3</v>
      </c>
      <c r="J12">
        <v>0</v>
      </c>
      <c r="K12" t="s">
        <v>14</v>
      </c>
      <c r="L12">
        <v>1057</v>
      </c>
      <c r="M12">
        <v>8.5157052708816476E-5</v>
      </c>
      <c r="N12">
        <v>1E-4</v>
      </c>
      <c r="O12">
        <v>3000</v>
      </c>
      <c r="T12">
        <v>0.1534114159421463</v>
      </c>
      <c r="U12">
        <v>0.9590989768560666</v>
      </c>
      <c r="V12">
        <v>3.1739355788760122</v>
      </c>
      <c r="W12">
        <v>9.6469999999999993E-3</v>
      </c>
      <c r="X12">
        <v>8.5518540000000005</v>
      </c>
      <c r="Y12">
        <v>7.1656500000000003</v>
      </c>
      <c r="Z12">
        <v>44.150669999999998</v>
      </c>
      <c r="AA12">
        <v>42.528283999999999</v>
      </c>
      <c r="AB12">
        <v>1E-4</v>
      </c>
      <c r="AC12">
        <v>4.4949406730690553</v>
      </c>
      <c r="AD12">
        <v>0.83074837802974244</v>
      </c>
      <c r="AE12">
        <v>1.6426339999999999</v>
      </c>
      <c r="AF12">
        <v>0.72639349291145316</v>
      </c>
      <c r="AG12">
        <v>0.3149494549068898</v>
      </c>
    </row>
    <row r="13" spans="1:33" x14ac:dyDescent="0.3">
      <c r="A13">
        <v>15</v>
      </c>
      <c r="B13" t="s">
        <v>77</v>
      </c>
      <c r="C13">
        <v>26313.242024800042</v>
      </c>
      <c r="D13">
        <v>438.55403374666741</v>
      </c>
      <c r="E13" t="s">
        <v>78</v>
      </c>
      <c r="F13" t="s">
        <v>35</v>
      </c>
      <c r="G13" t="s">
        <v>79</v>
      </c>
      <c r="H13" t="s">
        <v>37</v>
      </c>
      <c r="I13">
        <v>4.2066127507307628E-2</v>
      </c>
      <c r="J13">
        <v>0</v>
      </c>
      <c r="K13" t="s">
        <v>14</v>
      </c>
      <c r="L13">
        <v>3001</v>
      </c>
      <c r="M13">
        <v>5.9714565602925099E-4</v>
      </c>
      <c r="N13">
        <v>1E-4</v>
      </c>
      <c r="O13">
        <v>3000</v>
      </c>
      <c r="T13">
        <v>0.10919431527604841</v>
      </c>
      <c r="U13">
        <v>5.9048720015390499</v>
      </c>
      <c r="V13">
        <v>0.42149702139665751</v>
      </c>
      <c r="W13">
        <v>9.6469999999999993E-3</v>
      </c>
      <c r="X13">
        <v>8.5518540000000005</v>
      </c>
      <c r="Y13">
        <v>7.1656500000000003</v>
      </c>
      <c r="Z13">
        <v>44.150669999999998</v>
      </c>
      <c r="AA13">
        <v>42.528283999999999</v>
      </c>
      <c r="AB13">
        <v>1E-4</v>
      </c>
      <c r="AC13">
        <v>2.8783516430630258</v>
      </c>
      <c r="AD13">
        <v>0.6689549422052169</v>
      </c>
      <c r="AE13">
        <v>1.6426339999999999</v>
      </c>
      <c r="AF13">
        <v>0.64839212787686984</v>
      </c>
      <c r="AG13">
        <v>0.1000040595335784</v>
      </c>
    </row>
    <row r="14" spans="1:33" x14ac:dyDescent="0.3">
      <c r="A14">
        <v>17</v>
      </c>
      <c r="B14" t="s">
        <v>83</v>
      </c>
      <c r="C14">
        <v>11705.461016899961</v>
      </c>
      <c r="D14">
        <v>195.09101694833271</v>
      </c>
      <c r="E14" t="s">
        <v>84</v>
      </c>
      <c r="F14" t="s">
        <v>35</v>
      </c>
      <c r="G14" t="s">
        <v>85</v>
      </c>
      <c r="H14" t="s">
        <v>37</v>
      </c>
      <c r="I14">
        <v>3.4722377077894093E-2</v>
      </c>
      <c r="J14">
        <v>0</v>
      </c>
      <c r="K14" t="s">
        <v>14</v>
      </c>
      <c r="L14">
        <v>693</v>
      </c>
      <c r="M14">
        <v>9.4658566841202219E-5</v>
      </c>
      <c r="N14">
        <v>1E-4</v>
      </c>
      <c r="O14">
        <v>3000</v>
      </c>
      <c r="T14" s="2">
        <v>0.1247409847184488</v>
      </c>
      <c r="U14" s="2">
        <v>2.0617667729750919</v>
      </c>
      <c r="V14" s="2">
        <v>6.1905422438013984</v>
      </c>
      <c r="W14" s="2">
        <v>9.6469999999999993E-3</v>
      </c>
      <c r="X14" s="2">
        <v>8.5518540000000005</v>
      </c>
      <c r="Y14" s="2">
        <v>7.1656500000000003</v>
      </c>
      <c r="Z14" s="2">
        <v>44.150669999999998</v>
      </c>
      <c r="AA14" s="2">
        <v>42.528283999999999</v>
      </c>
      <c r="AB14" s="2">
        <v>1E-4</v>
      </c>
      <c r="AC14" s="2">
        <v>2.11150873794552</v>
      </c>
      <c r="AD14" s="2">
        <v>0.99638664340240357</v>
      </c>
      <c r="AE14" s="2">
        <v>1.6426339999999999</v>
      </c>
      <c r="AF14" s="2">
        <v>0.60028149619551618</v>
      </c>
      <c r="AG14" s="2">
        <v>0.35570150974047682</v>
      </c>
    </row>
    <row r="15" spans="1:33" x14ac:dyDescent="0.3">
      <c r="A15">
        <v>18</v>
      </c>
      <c r="B15" t="s">
        <v>86</v>
      </c>
      <c r="C15">
        <v>8567.5156035000109</v>
      </c>
      <c r="D15">
        <v>142.7919267250002</v>
      </c>
      <c r="E15" t="s">
        <v>87</v>
      </c>
      <c r="F15" t="s">
        <v>35</v>
      </c>
      <c r="G15" t="s">
        <v>88</v>
      </c>
      <c r="H15" t="s">
        <v>37</v>
      </c>
      <c r="I15">
        <v>2.1423299307281232E-2</v>
      </c>
      <c r="J15">
        <v>0</v>
      </c>
      <c r="K15" t="s">
        <v>14</v>
      </c>
      <c r="L15">
        <v>501</v>
      </c>
      <c r="M15">
        <v>9.3207531817915881E-5</v>
      </c>
      <c r="N15">
        <v>1E-4</v>
      </c>
      <c r="O15">
        <v>3000</v>
      </c>
      <c r="T15">
        <v>7.4887903519829518E-2</v>
      </c>
      <c r="U15">
        <v>1.6597110508188599</v>
      </c>
      <c r="V15">
        <v>7.2393305965200589</v>
      </c>
      <c r="W15">
        <v>9.6469999999999993E-3</v>
      </c>
      <c r="X15">
        <v>8.5518540000000005</v>
      </c>
      <c r="Y15">
        <v>7.1656500000000003</v>
      </c>
      <c r="Z15">
        <v>44.150669999999998</v>
      </c>
      <c r="AA15">
        <v>42.528283999999999</v>
      </c>
      <c r="AB15">
        <v>1E-4</v>
      </c>
      <c r="AC15">
        <v>1.878639362892996</v>
      </c>
      <c r="AD15">
        <v>0.9307014604157966</v>
      </c>
      <c r="AE15">
        <v>1.6426339999999999</v>
      </c>
      <c r="AF15">
        <v>0.34788418859904041</v>
      </c>
      <c r="AG15">
        <v>0.43621617173692429</v>
      </c>
    </row>
    <row r="16" spans="1:33" x14ac:dyDescent="0.3">
      <c r="A16">
        <v>22</v>
      </c>
      <c r="B16" t="s">
        <v>98</v>
      </c>
      <c r="C16">
        <v>17131.037991099991</v>
      </c>
      <c r="D16">
        <v>285.51729985166651</v>
      </c>
      <c r="E16" t="s">
        <v>99</v>
      </c>
      <c r="F16" t="s">
        <v>35</v>
      </c>
      <c r="G16" t="s">
        <v>100</v>
      </c>
      <c r="H16" t="s">
        <v>37</v>
      </c>
      <c r="I16">
        <v>2.1599331365598311E-2</v>
      </c>
      <c r="J16">
        <v>0</v>
      </c>
      <c r="K16" t="s">
        <v>14</v>
      </c>
      <c r="L16">
        <v>779</v>
      </c>
      <c r="M16">
        <v>9.5838012336323396E-5</v>
      </c>
      <c r="N16">
        <v>1E-4</v>
      </c>
      <c r="O16">
        <v>3000</v>
      </c>
      <c r="T16">
        <v>5.210099899692875E-2</v>
      </c>
      <c r="U16">
        <v>3.015522408377767</v>
      </c>
      <c r="V16">
        <v>7.9151639875341484</v>
      </c>
      <c r="W16">
        <v>9.6469999999999993E-3</v>
      </c>
      <c r="X16">
        <v>8.5518540000000005</v>
      </c>
      <c r="Y16">
        <v>7.1656500000000003</v>
      </c>
      <c r="Z16">
        <v>44.150669999999998</v>
      </c>
      <c r="AA16">
        <v>42.528283999999999</v>
      </c>
      <c r="AB16">
        <v>1E-4</v>
      </c>
      <c r="AC16">
        <v>1.1906484209683921</v>
      </c>
      <c r="AD16">
        <v>0.81419279270488276</v>
      </c>
      <c r="AE16">
        <v>1.6426339999999999</v>
      </c>
      <c r="AF16">
        <v>0.40469248406287478</v>
      </c>
      <c r="AG16">
        <v>0.40732257988081888</v>
      </c>
    </row>
    <row r="17" spans="1:33" x14ac:dyDescent="0.3">
      <c r="A17">
        <v>24</v>
      </c>
      <c r="B17" t="s">
        <v>104</v>
      </c>
      <c r="C17">
        <v>14789.701960600039</v>
      </c>
      <c r="D17">
        <v>246.49503267666731</v>
      </c>
      <c r="E17" t="s">
        <v>105</v>
      </c>
      <c r="F17" t="s">
        <v>35</v>
      </c>
      <c r="G17" t="s">
        <v>106</v>
      </c>
      <c r="H17" t="s">
        <v>37</v>
      </c>
      <c r="I17">
        <v>2.408440037657289E-2</v>
      </c>
      <c r="J17">
        <v>0</v>
      </c>
      <c r="K17" t="s">
        <v>14</v>
      </c>
      <c r="L17">
        <v>804</v>
      </c>
      <c r="M17">
        <v>1.383623615168159E-5</v>
      </c>
      <c r="N17">
        <v>1E-4</v>
      </c>
      <c r="O17">
        <v>3000</v>
      </c>
      <c r="T17">
        <v>0.21845217753180651</v>
      </c>
      <c r="U17">
        <v>2.0911938493088078</v>
      </c>
      <c r="V17">
        <v>4.3728829139642666</v>
      </c>
      <c r="W17">
        <v>9.6469999999999993E-3</v>
      </c>
      <c r="X17">
        <v>8.5518540000000005</v>
      </c>
      <c r="Y17">
        <v>7.1656500000000003</v>
      </c>
      <c r="Z17">
        <v>44.150669999999998</v>
      </c>
      <c r="AA17">
        <v>42.528283999999999</v>
      </c>
      <c r="AB17">
        <v>1E-4</v>
      </c>
      <c r="AC17">
        <v>2.138969401279883</v>
      </c>
      <c r="AD17">
        <v>0.99996580887285103</v>
      </c>
      <c r="AE17">
        <v>1.6426339999999999</v>
      </c>
      <c r="AF17">
        <v>0.59852158661471366</v>
      </c>
      <c r="AG17">
        <v>0.33301313040425051</v>
      </c>
    </row>
    <row r="18" spans="1:33" x14ac:dyDescent="0.3">
      <c r="A18">
        <v>26</v>
      </c>
      <c r="B18" t="s">
        <v>110</v>
      </c>
      <c r="C18">
        <v>13282.04843599995</v>
      </c>
      <c r="D18">
        <v>221.36747393333249</v>
      </c>
      <c r="E18" t="s">
        <v>111</v>
      </c>
      <c r="F18" t="s">
        <v>35</v>
      </c>
      <c r="G18" t="s">
        <v>112</v>
      </c>
      <c r="H18" t="s">
        <v>37</v>
      </c>
      <c r="I18">
        <v>2.841602851562924E-2</v>
      </c>
      <c r="J18">
        <v>0</v>
      </c>
      <c r="K18" t="s">
        <v>14</v>
      </c>
      <c r="L18">
        <v>132</v>
      </c>
      <c r="M18">
        <v>9.8926370172199813E-5</v>
      </c>
      <c r="N18">
        <v>1E-4</v>
      </c>
      <c r="O18">
        <v>3000</v>
      </c>
      <c r="T18">
        <v>8.5631191895631953E-2</v>
      </c>
      <c r="U18">
        <v>5.89094623593002</v>
      </c>
      <c r="V18">
        <v>0.29589318304247308</v>
      </c>
      <c r="W18">
        <v>9.6469999999999993E-3</v>
      </c>
      <c r="X18">
        <v>8.5518540000000005</v>
      </c>
      <c r="Y18">
        <v>7.1656500000000003</v>
      </c>
      <c r="Z18">
        <v>44.150669999999998</v>
      </c>
      <c r="AA18">
        <v>42.528283999999999</v>
      </c>
      <c r="AB18">
        <v>1E-4</v>
      </c>
      <c r="AC18">
        <v>2.6592132432596638</v>
      </c>
      <c r="AD18">
        <v>0.99954289809891528</v>
      </c>
      <c r="AE18">
        <v>1.6426339999999999</v>
      </c>
      <c r="AF18">
        <v>0.6431989634258003</v>
      </c>
      <c r="AG18">
        <v>0.10000123165212681</v>
      </c>
    </row>
    <row r="19" spans="1:33" x14ac:dyDescent="0.3">
      <c r="A19">
        <v>27</v>
      </c>
      <c r="B19" t="s">
        <v>113</v>
      </c>
      <c r="C19">
        <v>11686.551706300001</v>
      </c>
      <c r="D19">
        <v>194.77586177166671</v>
      </c>
      <c r="E19" t="s">
        <v>114</v>
      </c>
      <c r="F19" t="s">
        <v>35</v>
      </c>
      <c r="G19" t="s">
        <v>115</v>
      </c>
      <c r="H19" t="s">
        <v>37</v>
      </c>
      <c r="I19">
        <v>4.4134797555378219E-2</v>
      </c>
      <c r="J19">
        <v>0</v>
      </c>
      <c r="K19" t="s">
        <v>14</v>
      </c>
      <c r="L19">
        <v>189</v>
      </c>
      <c r="M19">
        <v>9.8388218657852655E-5</v>
      </c>
      <c r="N19">
        <v>1E-4</v>
      </c>
      <c r="O19">
        <v>3000</v>
      </c>
      <c r="T19">
        <v>0.13621594287194261</v>
      </c>
      <c r="U19">
        <v>0.62336019347073179</v>
      </c>
      <c r="V19">
        <v>4.4254863447449537</v>
      </c>
      <c r="W19">
        <v>9.6469999999999993E-3</v>
      </c>
      <c r="X19">
        <v>8.5518540000000005</v>
      </c>
      <c r="Y19">
        <v>7.1656500000000003</v>
      </c>
      <c r="Z19">
        <v>44.150669999999998</v>
      </c>
      <c r="AA19">
        <v>42.528283999999999</v>
      </c>
      <c r="AB19">
        <v>1E-4</v>
      </c>
      <c r="AC19">
        <v>5.2674317721245973</v>
      </c>
      <c r="AD19">
        <v>0.99944616171819511</v>
      </c>
      <c r="AE19">
        <v>1.6426339999999999</v>
      </c>
      <c r="AF19">
        <v>0.46167342682691231</v>
      </c>
      <c r="AG19">
        <v>0.46000879976541909</v>
      </c>
    </row>
    <row r="20" spans="1:33" x14ac:dyDescent="0.3">
      <c r="A20">
        <v>28</v>
      </c>
      <c r="B20" t="s">
        <v>116</v>
      </c>
      <c r="C20">
        <v>23853.468509299972</v>
      </c>
      <c r="D20">
        <v>397.55780848833291</v>
      </c>
      <c r="E20" t="s">
        <v>117</v>
      </c>
      <c r="F20" t="s">
        <v>35</v>
      </c>
      <c r="G20" t="s">
        <v>118</v>
      </c>
      <c r="H20" t="s">
        <v>37</v>
      </c>
      <c r="I20">
        <v>1.117870673096903E-2</v>
      </c>
      <c r="J20">
        <v>0</v>
      </c>
      <c r="K20" t="s">
        <v>14</v>
      </c>
      <c r="L20">
        <v>2733</v>
      </c>
      <c r="M20">
        <v>5.6235267880706847E-5</v>
      </c>
      <c r="N20">
        <v>1E-4</v>
      </c>
      <c r="O20">
        <v>3000</v>
      </c>
      <c r="T20">
        <v>0.1038050282684658</v>
      </c>
      <c r="U20">
        <v>2.1510199708419919</v>
      </c>
      <c r="V20">
        <v>4.6485538465200511</v>
      </c>
      <c r="W20">
        <v>9.6469999999999993E-3</v>
      </c>
      <c r="X20">
        <v>8.5518540000000005</v>
      </c>
      <c r="Y20">
        <v>7.1656500000000003</v>
      </c>
      <c r="Z20">
        <v>44.150669999999998</v>
      </c>
      <c r="AA20">
        <v>42.528283999999999</v>
      </c>
      <c r="AB20">
        <v>1E-4</v>
      </c>
      <c r="AC20">
        <v>1.687027607910689</v>
      </c>
      <c r="AD20">
        <v>0.98225824301224984</v>
      </c>
      <c r="AE20">
        <v>1.6426339999999999</v>
      </c>
      <c r="AF20">
        <v>0.34377987776962088</v>
      </c>
      <c r="AG20">
        <v>0.51948428964501769</v>
      </c>
    </row>
    <row r="21" spans="1:33" x14ac:dyDescent="0.3">
      <c r="A21">
        <v>29</v>
      </c>
      <c r="B21" t="s">
        <v>119</v>
      </c>
      <c r="C21">
        <v>15049.41904260003</v>
      </c>
      <c r="D21">
        <v>250.82365071000049</v>
      </c>
      <c r="E21" t="s">
        <v>120</v>
      </c>
      <c r="F21" t="s">
        <v>35</v>
      </c>
      <c r="G21" t="s">
        <v>121</v>
      </c>
      <c r="H21" t="s">
        <v>37</v>
      </c>
      <c r="I21">
        <v>3.8063826526005783E-2</v>
      </c>
      <c r="J21">
        <v>0</v>
      </c>
      <c r="K21" t="s">
        <v>14</v>
      </c>
      <c r="L21">
        <v>347</v>
      </c>
      <c r="M21">
        <v>9.2878479626219235E-5</v>
      </c>
      <c r="N21">
        <v>1E-4</v>
      </c>
      <c r="O21">
        <v>3000</v>
      </c>
      <c r="T21">
        <v>0.12482275810710131</v>
      </c>
      <c r="U21">
        <v>4.375140557470278</v>
      </c>
      <c r="V21">
        <v>0.21599926544369061</v>
      </c>
      <c r="W21">
        <v>9.6469999999999993E-3</v>
      </c>
      <c r="X21">
        <v>8.5518540000000005</v>
      </c>
      <c r="Y21">
        <v>7.1656500000000003</v>
      </c>
      <c r="Z21">
        <v>44.150669999999998</v>
      </c>
      <c r="AA21">
        <v>42.528283999999999</v>
      </c>
      <c r="AB21">
        <v>1E-4</v>
      </c>
      <c r="AC21">
        <v>4.3635049261817116</v>
      </c>
      <c r="AD21">
        <v>0.99977804316314223</v>
      </c>
      <c r="AE21">
        <v>1.6426339999999999</v>
      </c>
      <c r="AF21">
        <v>0.66410832315251844</v>
      </c>
      <c r="AG21">
        <v>0.1000009317318306</v>
      </c>
    </row>
    <row r="22" spans="1:33" x14ac:dyDescent="0.3">
      <c r="A22">
        <v>31</v>
      </c>
      <c r="B22" t="s">
        <v>125</v>
      </c>
      <c r="C22">
        <v>16004.396076400009</v>
      </c>
      <c r="D22">
        <v>266.73993460666679</v>
      </c>
      <c r="E22" t="s">
        <v>126</v>
      </c>
      <c r="F22" t="s">
        <v>35</v>
      </c>
      <c r="G22" t="s">
        <v>127</v>
      </c>
      <c r="H22" t="s">
        <v>37</v>
      </c>
      <c r="I22">
        <v>2.3408870731412589E-2</v>
      </c>
      <c r="J22">
        <v>0</v>
      </c>
      <c r="K22" t="s">
        <v>14</v>
      </c>
      <c r="L22">
        <v>750</v>
      </c>
      <c r="M22">
        <v>7.8372569649464861E-5</v>
      </c>
      <c r="N22">
        <v>1E-4</v>
      </c>
      <c r="O22">
        <v>3000</v>
      </c>
      <c r="T22">
        <v>0.14191534691450619</v>
      </c>
      <c r="U22">
        <v>2.7399551136459368</v>
      </c>
      <c r="V22">
        <v>7.9671731469137352</v>
      </c>
      <c r="W22">
        <v>9.6469999999999993E-3</v>
      </c>
      <c r="X22">
        <v>8.5518540000000005</v>
      </c>
      <c r="Y22">
        <v>7.1656500000000003</v>
      </c>
      <c r="Z22">
        <v>44.150669999999998</v>
      </c>
      <c r="AA22">
        <v>42.528283999999999</v>
      </c>
      <c r="AB22">
        <v>1E-4</v>
      </c>
      <c r="AC22">
        <v>1.4421003378878381</v>
      </c>
      <c r="AD22">
        <v>0.97176326153770465</v>
      </c>
      <c r="AE22">
        <v>1.6426339999999999</v>
      </c>
      <c r="AF22">
        <v>0.52973155657927862</v>
      </c>
      <c r="AG22">
        <v>0.38153331065287138</v>
      </c>
    </row>
    <row r="23" spans="1:33" x14ac:dyDescent="0.3">
      <c r="A23">
        <v>32</v>
      </c>
      <c r="B23" t="s">
        <v>128</v>
      </c>
      <c r="C23">
        <v>7143.0076842000126</v>
      </c>
      <c r="D23">
        <v>119.0501280700002</v>
      </c>
      <c r="E23" t="s">
        <v>129</v>
      </c>
      <c r="F23" t="s">
        <v>35</v>
      </c>
      <c r="G23" t="s">
        <v>130</v>
      </c>
      <c r="H23" t="s">
        <v>37</v>
      </c>
      <c r="I23">
        <v>3.7092552097302348E-2</v>
      </c>
      <c r="J23">
        <v>0</v>
      </c>
      <c r="K23" t="s">
        <v>14</v>
      </c>
      <c r="L23">
        <v>241</v>
      </c>
      <c r="M23">
        <v>9.0346687101605747E-5</v>
      </c>
      <c r="N23">
        <v>1E-4</v>
      </c>
      <c r="O23">
        <v>3000</v>
      </c>
      <c r="T23" s="2">
        <v>8.9467123665495668E-2</v>
      </c>
      <c r="U23" s="2">
        <v>3.7912187764253291</v>
      </c>
      <c r="V23" s="2">
        <v>0.25088220657233617</v>
      </c>
      <c r="W23" s="2">
        <v>9.6469999999999993E-3</v>
      </c>
      <c r="X23" s="2">
        <v>8.5518540000000005</v>
      </c>
      <c r="Y23" s="2">
        <v>7.1656500000000003</v>
      </c>
      <c r="Z23" s="2">
        <v>44.150669999999998</v>
      </c>
      <c r="AA23" s="2">
        <v>42.528283999999999</v>
      </c>
      <c r="AB23" s="2">
        <v>1E-4</v>
      </c>
      <c r="AC23" s="2">
        <v>5.0569275860207377</v>
      </c>
      <c r="AD23" s="2">
        <v>0.8176213061425609</v>
      </c>
      <c r="AE23" s="2">
        <v>1.6426339999999999</v>
      </c>
      <c r="AF23" s="2">
        <v>0.61239908106267815</v>
      </c>
      <c r="AG23" s="2">
        <v>0.10001411208734259</v>
      </c>
    </row>
    <row r="24" spans="1:33" x14ac:dyDescent="0.3">
      <c r="A24">
        <v>33</v>
      </c>
      <c r="B24" t="s">
        <v>131</v>
      </c>
      <c r="C24">
        <v>19947.705137000012</v>
      </c>
      <c r="D24">
        <v>332.46175228333351</v>
      </c>
      <c r="E24" t="s">
        <v>132</v>
      </c>
      <c r="F24" t="s">
        <v>35</v>
      </c>
      <c r="G24" t="s">
        <v>133</v>
      </c>
      <c r="H24" t="s">
        <v>37</v>
      </c>
      <c r="I24">
        <v>2.229270003870994E-2</v>
      </c>
      <c r="J24">
        <v>0</v>
      </c>
      <c r="K24" t="s">
        <v>14</v>
      </c>
      <c r="L24">
        <v>666</v>
      </c>
      <c r="M24">
        <v>9.4340261531952515E-5</v>
      </c>
      <c r="N24">
        <v>1E-4</v>
      </c>
      <c r="O24">
        <v>3000</v>
      </c>
      <c r="T24">
        <v>0.1009190082394365</v>
      </c>
      <c r="U24">
        <v>5.7162753589990256</v>
      </c>
      <c r="V24">
        <v>4.1061464659955309</v>
      </c>
      <c r="W24">
        <v>9.6469999999999993E-3</v>
      </c>
      <c r="X24">
        <v>8.5518540000000005</v>
      </c>
      <c r="Y24">
        <v>7.1656500000000003</v>
      </c>
      <c r="Z24">
        <v>44.150669999999998</v>
      </c>
      <c r="AA24">
        <v>42.528283999999999</v>
      </c>
      <c r="AB24">
        <v>1E-4</v>
      </c>
      <c r="AC24">
        <v>1.166041405336286</v>
      </c>
      <c r="AD24">
        <v>0.90954387778796719</v>
      </c>
      <c r="AE24">
        <v>1.6426339999999999</v>
      </c>
      <c r="AF24">
        <v>0.4126071456982176</v>
      </c>
      <c r="AG24">
        <v>0.46872665387361861</v>
      </c>
    </row>
    <row r="25" spans="1:33" x14ac:dyDescent="0.3">
      <c r="A25">
        <v>34</v>
      </c>
      <c r="B25" t="s">
        <v>134</v>
      </c>
      <c r="C25">
        <v>14579.828070799989</v>
      </c>
      <c r="D25">
        <v>242.99713451333321</v>
      </c>
      <c r="E25" t="s">
        <v>135</v>
      </c>
      <c r="F25" t="s">
        <v>35</v>
      </c>
      <c r="G25" t="s">
        <v>136</v>
      </c>
      <c r="H25" t="s">
        <v>37</v>
      </c>
      <c r="I25">
        <v>4.8681683866055411E-2</v>
      </c>
      <c r="J25">
        <v>0</v>
      </c>
      <c r="K25" t="s">
        <v>14</v>
      </c>
      <c r="L25">
        <v>456</v>
      </c>
      <c r="M25">
        <v>9.2617254727688959E-5</v>
      </c>
      <c r="N25">
        <v>1E-4</v>
      </c>
      <c r="O25">
        <v>3000</v>
      </c>
      <c r="T25">
        <v>0.29378323721928012</v>
      </c>
      <c r="U25">
        <v>0.91680787530937258</v>
      </c>
      <c r="V25">
        <v>4.0059583967442114</v>
      </c>
      <c r="W25">
        <v>9.6469999999999993E-3</v>
      </c>
      <c r="X25">
        <v>8.5518540000000005</v>
      </c>
      <c r="Y25">
        <v>7.1656500000000003</v>
      </c>
      <c r="Z25">
        <v>44.150669999999998</v>
      </c>
      <c r="AA25">
        <v>42.528283999999999</v>
      </c>
      <c r="AB25">
        <v>1E-4</v>
      </c>
      <c r="AC25">
        <v>4.252325426065541</v>
      </c>
      <c r="AD25">
        <v>0.95427111021416655</v>
      </c>
      <c r="AE25">
        <v>1.6426339999999999</v>
      </c>
      <c r="AF25">
        <v>0.61320962287952185</v>
      </c>
      <c r="AG25">
        <v>0.4156812945679253</v>
      </c>
    </row>
    <row r="26" spans="1:33" x14ac:dyDescent="0.3">
      <c r="A26">
        <v>35</v>
      </c>
      <c r="B26" t="s">
        <v>137</v>
      </c>
      <c r="C26">
        <v>13605.1550876</v>
      </c>
      <c r="D26">
        <v>226.75258479333331</v>
      </c>
      <c r="E26" t="s">
        <v>138</v>
      </c>
      <c r="F26" t="s">
        <v>35</v>
      </c>
      <c r="G26" t="s">
        <v>139</v>
      </c>
      <c r="H26" t="s">
        <v>37</v>
      </c>
      <c r="I26">
        <v>2.0743334447347179E-2</v>
      </c>
      <c r="J26">
        <v>0</v>
      </c>
      <c r="K26" t="s">
        <v>14</v>
      </c>
      <c r="L26">
        <v>533</v>
      </c>
      <c r="M26">
        <v>9.5771392753918555E-5</v>
      </c>
      <c r="N26">
        <v>1E-4</v>
      </c>
      <c r="O26">
        <v>3000</v>
      </c>
      <c r="T26" s="2">
        <v>6.9670662460170188E-2</v>
      </c>
      <c r="U26" s="2">
        <v>3.1060014804906468</v>
      </c>
      <c r="V26" s="2">
        <v>4.7532143132203437</v>
      </c>
      <c r="W26" s="2">
        <v>9.6469999999999993E-3</v>
      </c>
      <c r="X26" s="2">
        <v>8.5518540000000005</v>
      </c>
      <c r="Y26" s="2">
        <v>7.1656500000000003</v>
      </c>
      <c r="Z26" s="2">
        <v>44.150669999999998</v>
      </c>
      <c r="AA26" s="2">
        <v>42.528283999999999</v>
      </c>
      <c r="AB26" s="2">
        <v>1E-4</v>
      </c>
      <c r="AC26" s="2">
        <v>1.281974422227417</v>
      </c>
      <c r="AD26" s="2">
        <v>0.82495782009139251</v>
      </c>
      <c r="AE26" s="2">
        <v>1.6426339999999999</v>
      </c>
      <c r="AF26" s="2">
        <v>0.37588761330540049</v>
      </c>
      <c r="AG26" s="2">
        <v>0.42550928027932139</v>
      </c>
    </row>
    <row r="27" spans="1:33" x14ac:dyDescent="0.3">
      <c r="A27">
        <v>36</v>
      </c>
      <c r="B27" t="s">
        <v>140</v>
      </c>
      <c r="C27">
        <v>17238.200984300001</v>
      </c>
      <c r="D27">
        <v>287.30334973833328</v>
      </c>
      <c r="E27" t="s">
        <v>141</v>
      </c>
      <c r="F27" t="s">
        <v>35</v>
      </c>
      <c r="G27" t="s">
        <v>142</v>
      </c>
      <c r="H27" t="s">
        <v>37</v>
      </c>
      <c r="I27">
        <v>1.021763141273108E-2</v>
      </c>
      <c r="J27">
        <v>0</v>
      </c>
      <c r="K27" t="s">
        <v>14</v>
      </c>
      <c r="L27">
        <v>405</v>
      </c>
      <c r="M27">
        <v>9.8470037554762669E-5</v>
      </c>
      <c r="N27">
        <v>1E-4</v>
      </c>
      <c r="O27">
        <v>3000</v>
      </c>
      <c r="T27" s="2">
        <v>0.29181717581740368</v>
      </c>
      <c r="U27" s="2">
        <v>1.279621368416282</v>
      </c>
      <c r="V27" s="2">
        <v>4.2088484938113222</v>
      </c>
      <c r="W27" s="2">
        <v>9.6469999999999993E-3</v>
      </c>
      <c r="X27" s="2">
        <v>8.5518540000000005</v>
      </c>
      <c r="Y27" s="2">
        <v>7.1656500000000003</v>
      </c>
      <c r="Z27" s="2">
        <v>44.150669999999998</v>
      </c>
      <c r="AA27" s="2">
        <v>42.528283999999999</v>
      </c>
      <c r="AB27" s="2">
        <v>1E-4</v>
      </c>
      <c r="AC27" s="2">
        <v>2.1006337460212632</v>
      </c>
      <c r="AD27" s="2">
        <v>0.99588913113327215</v>
      </c>
      <c r="AE27" s="2">
        <v>1.6426339999999999</v>
      </c>
      <c r="AF27" s="2">
        <v>0.46611857605913842</v>
      </c>
      <c r="AG27" s="2">
        <v>0.38530408581084519</v>
      </c>
    </row>
    <row r="28" spans="1:33" x14ac:dyDescent="0.3">
      <c r="A28">
        <v>37</v>
      </c>
      <c r="B28" t="s">
        <v>143</v>
      </c>
      <c r="C28">
        <v>10821.325008000011</v>
      </c>
      <c r="D28">
        <v>180.3554168000002</v>
      </c>
      <c r="E28" t="s">
        <v>144</v>
      </c>
      <c r="F28" t="s">
        <v>35</v>
      </c>
      <c r="G28" t="s">
        <v>145</v>
      </c>
      <c r="H28" t="s">
        <v>37</v>
      </c>
      <c r="I28">
        <v>2.3742916167235499E-2</v>
      </c>
      <c r="J28">
        <v>0</v>
      </c>
      <c r="K28" t="s">
        <v>14</v>
      </c>
      <c r="L28">
        <v>285</v>
      </c>
      <c r="M28">
        <v>9.4449768455108306E-5</v>
      </c>
      <c r="N28">
        <v>1E-4</v>
      </c>
      <c r="O28">
        <v>3000</v>
      </c>
      <c r="T28">
        <v>0.1094464579719584</v>
      </c>
      <c r="U28">
        <v>3.0789013453249461</v>
      </c>
      <c r="V28">
        <v>0.41024012838144058</v>
      </c>
      <c r="W28">
        <v>9.6469999999999993E-3</v>
      </c>
      <c r="X28">
        <v>8.5518540000000005</v>
      </c>
      <c r="Y28">
        <v>7.1656500000000003</v>
      </c>
      <c r="Z28">
        <v>44.150669999999998</v>
      </c>
      <c r="AA28">
        <v>42.528283999999999</v>
      </c>
      <c r="AB28">
        <v>1E-4</v>
      </c>
      <c r="AC28">
        <v>5.619499902173156</v>
      </c>
      <c r="AD28">
        <v>0.99855160122087683</v>
      </c>
      <c r="AE28">
        <v>1.6426339999999999</v>
      </c>
      <c r="AF28">
        <v>0.62944585684363086</v>
      </c>
      <c r="AG28">
        <v>0.13942272763891819</v>
      </c>
    </row>
    <row r="29" spans="1:33" x14ac:dyDescent="0.3">
      <c r="A29">
        <v>39</v>
      </c>
      <c r="B29" t="s">
        <v>149</v>
      </c>
      <c r="C29">
        <v>28859.046271200001</v>
      </c>
      <c r="D29">
        <v>480.98410452000002</v>
      </c>
      <c r="E29" t="s">
        <v>150</v>
      </c>
      <c r="F29" t="s">
        <v>35</v>
      </c>
      <c r="G29" t="s">
        <v>151</v>
      </c>
      <c r="H29" t="s">
        <v>37</v>
      </c>
      <c r="I29">
        <v>2.2975391594716999E-2</v>
      </c>
      <c r="J29">
        <v>0</v>
      </c>
      <c r="K29" t="s">
        <v>14</v>
      </c>
      <c r="L29">
        <v>2436</v>
      </c>
      <c r="M29">
        <v>2.3041478700691549E-5</v>
      </c>
      <c r="N29">
        <v>1E-4</v>
      </c>
      <c r="O29">
        <v>3000</v>
      </c>
      <c r="T29" s="2">
        <v>0.1359756669553438</v>
      </c>
      <c r="U29" s="2">
        <v>1.2077244210816229</v>
      </c>
      <c r="V29" s="2">
        <v>2.7492654559773451</v>
      </c>
      <c r="W29" s="2">
        <v>9.6469999999999993E-3</v>
      </c>
      <c r="X29" s="2">
        <v>8.5518540000000005</v>
      </c>
      <c r="Y29" s="2">
        <v>7.1656500000000003</v>
      </c>
      <c r="Z29" s="2">
        <v>44.150669999999998</v>
      </c>
      <c r="AA29" s="2">
        <v>42.528283999999999</v>
      </c>
      <c r="AB29" s="2">
        <v>1E-4</v>
      </c>
      <c r="AC29" s="2">
        <v>2.9393355212587058</v>
      </c>
      <c r="AD29" s="2">
        <v>0.54244360620199983</v>
      </c>
      <c r="AE29" s="2">
        <v>1.6426339999999999</v>
      </c>
      <c r="AF29" s="2">
        <v>0.40411122050813453</v>
      </c>
      <c r="AG29" s="2">
        <v>0.44339809679893338</v>
      </c>
    </row>
    <row r="30" spans="1:33" x14ac:dyDescent="0.3">
      <c r="A30">
        <v>42</v>
      </c>
      <c r="B30" t="s">
        <v>158</v>
      </c>
      <c r="C30">
        <v>12090.978558199949</v>
      </c>
      <c r="D30">
        <v>201.51630930333241</v>
      </c>
      <c r="E30" t="s">
        <v>159</v>
      </c>
      <c r="F30" t="s">
        <v>35</v>
      </c>
      <c r="G30" t="s">
        <v>160</v>
      </c>
      <c r="H30" t="s">
        <v>37</v>
      </c>
      <c r="I30">
        <v>8.8008252518393913E-3</v>
      </c>
      <c r="J30">
        <v>0</v>
      </c>
      <c r="K30" t="s">
        <v>14</v>
      </c>
      <c r="L30">
        <v>242</v>
      </c>
      <c r="M30">
        <v>9.956494080706589E-5</v>
      </c>
      <c r="N30">
        <v>1E-4</v>
      </c>
      <c r="O30">
        <v>3000</v>
      </c>
      <c r="T30">
        <v>4.9713069633522372E-2</v>
      </c>
      <c r="U30">
        <v>6.5977463672493366</v>
      </c>
      <c r="V30">
        <v>0.31311858046653779</v>
      </c>
      <c r="W30">
        <v>9.6469999999999993E-3</v>
      </c>
      <c r="X30">
        <v>8.5518540000000005</v>
      </c>
      <c r="Y30">
        <v>7.1656500000000003</v>
      </c>
      <c r="Z30">
        <v>44.150669999999998</v>
      </c>
      <c r="AA30">
        <v>42.528283999999999</v>
      </c>
      <c r="AB30">
        <v>1E-4</v>
      </c>
      <c r="AC30">
        <v>5.4377300307475114</v>
      </c>
      <c r="AD30">
        <v>0.37203381820939702</v>
      </c>
      <c r="AE30">
        <v>1.6426339999999999</v>
      </c>
      <c r="AF30">
        <v>0.55232036777290161</v>
      </c>
      <c r="AG30">
        <v>0.16099309977936019</v>
      </c>
    </row>
    <row r="31" spans="1:33" x14ac:dyDescent="0.3">
      <c r="A31">
        <v>43</v>
      </c>
      <c r="B31" t="s">
        <v>161</v>
      </c>
      <c r="C31">
        <v>18989.932084700031</v>
      </c>
      <c r="D31">
        <v>316.49886807833389</v>
      </c>
      <c r="E31" t="s">
        <v>162</v>
      </c>
      <c r="F31" t="s">
        <v>35</v>
      </c>
      <c r="G31" t="s">
        <v>163</v>
      </c>
      <c r="H31" t="s">
        <v>37</v>
      </c>
      <c r="I31">
        <v>1.6314150010495201E-2</v>
      </c>
      <c r="J31">
        <v>0</v>
      </c>
      <c r="K31" t="s">
        <v>14</v>
      </c>
      <c r="L31">
        <v>3001</v>
      </c>
      <c r="M31">
        <v>3.531258613098696E-4</v>
      </c>
      <c r="N31">
        <v>1E-4</v>
      </c>
      <c r="O31">
        <v>3000</v>
      </c>
      <c r="T31">
        <v>3.7111673490320622E-2</v>
      </c>
      <c r="U31">
        <v>6.5818128854750508</v>
      </c>
      <c r="V31">
        <v>1.1073073121699619</v>
      </c>
      <c r="W31">
        <v>9.6469999999999993E-3</v>
      </c>
      <c r="X31">
        <v>8.5518540000000005</v>
      </c>
      <c r="Y31">
        <v>7.1656500000000003</v>
      </c>
      <c r="Z31">
        <v>44.150669999999998</v>
      </c>
      <c r="AA31">
        <v>42.528283999999999</v>
      </c>
      <c r="AB31">
        <v>1E-4</v>
      </c>
      <c r="AC31">
        <v>3.853162958204702</v>
      </c>
      <c r="AD31">
        <v>0.5561711208575485</v>
      </c>
      <c r="AE31">
        <v>1.6426339999999999</v>
      </c>
      <c r="AF31">
        <v>0.45734700779106402</v>
      </c>
      <c r="AG31">
        <v>0.30097147464853968</v>
      </c>
    </row>
    <row r="32" spans="1:33" x14ac:dyDescent="0.3">
      <c r="A32">
        <v>44</v>
      </c>
      <c r="B32" t="s">
        <v>164</v>
      </c>
      <c r="C32">
        <v>24786.473786599989</v>
      </c>
      <c r="D32">
        <v>413.10789644333317</v>
      </c>
      <c r="E32" t="s">
        <v>165</v>
      </c>
      <c r="F32" t="s">
        <v>35</v>
      </c>
      <c r="G32" t="s">
        <v>166</v>
      </c>
      <c r="H32" t="s">
        <v>37</v>
      </c>
      <c r="I32">
        <v>1.0003044111750939E-2</v>
      </c>
      <c r="J32">
        <v>0</v>
      </c>
      <c r="K32" t="s">
        <v>14</v>
      </c>
      <c r="L32">
        <v>2336</v>
      </c>
      <c r="M32">
        <v>9.4838676435224324E-5</v>
      </c>
      <c r="N32">
        <v>1E-4</v>
      </c>
      <c r="O32">
        <v>3000</v>
      </c>
      <c r="T32">
        <v>0.1079931138950458</v>
      </c>
      <c r="U32">
        <v>1.728289082338875</v>
      </c>
      <c r="V32">
        <v>4.2993726803987578</v>
      </c>
      <c r="W32">
        <v>9.6469999999999993E-3</v>
      </c>
      <c r="X32">
        <v>8.5518540000000005</v>
      </c>
      <c r="Y32">
        <v>7.1656500000000003</v>
      </c>
      <c r="Z32">
        <v>44.150669999999998</v>
      </c>
      <c r="AA32">
        <v>42.528283999999999</v>
      </c>
      <c r="AB32">
        <v>1E-4</v>
      </c>
      <c r="AC32">
        <v>1.9108034117474511</v>
      </c>
      <c r="AD32">
        <v>0.1731438874098615</v>
      </c>
      <c r="AE32">
        <v>1.6426339999999999</v>
      </c>
      <c r="AF32">
        <v>0.35409572834679381</v>
      </c>
      <c r="AG32">
        <v>0.51800295285361286</v>
      </c>
    </row>
    <row r="33" spans="1:33" x14ac:dyDescent="0.3">
      <c r="A33">
        <v>45</v>
      </c>
      <c r="B33" t="s">
        <v>167</v>
      </c>
      <c r="C33">
        <v>16503.990401200019</v>
      </c>
      <c r="D33">
        <v>275.06650668666703</v>
      </c>
      <c r="E33" t="s">
        <v>168</v>
      </c>
      <c r="F33" t="s">
        <v>35</v>
      </c>
      <c r="G33" t="s">
        <v>169</v>
      </c>
      <c r="H33" t="s">
        <v>37</v>
      </c>
      <c r="I33">
        <v>1.9023041442677021E-2</v>
      </c>
      <c r="J33">
        <v>0</v>
      </c>
      <c r="K33" t="s">
        <v>14</v>
      </c>
      <c r="L33">
        <v>940</v>
      </c>
      <c r="M33">
        <v>9.379461023133869E-5</v>
      </c>
      <c r="N33">
        <v>1E-4</v>
      </c>
      <c r="O33">
        <v>3000</v>
      </c>
      <c r="T33">
        <v>7.6338007895285567E-2</v>
      </c>
      <c r="U33">
        <v>2.1484320279473619</v>
      </c>
      <c r="V33">
        <v>1.475429098981929</v>
      </c>
      <c r="W33">
        <v>9.6469999999999993E-3</v>
      </c>
      <c r="X33">
        <v>8.5518540000000005</v>
      </c>
      <c r="Y33">
        <v>7.1656500000000003</v>
      </c>
      <c r="Z33">
        <v>44.150669999999998</v>
      </c>
      <c r="AA33">
        <v>42.528283999999999</v>
      </c>
      <c r="AB33">
        <v>1E-4</v>
      </c>
      <c r="AC33">
        <v>3.7618758667714789</v>
      </c>
      <c r="AD33">
        <v>0.99439372698298123</v>
      </c>
      <c r="AE33">
        <v>1.6426339999999999</v>
      </c>
      <c r="AF33">
        <v>0.37729042300840809</v>
      </c>
      <c r="AG33">
        <v>0.45713889274769082</v>
      </c>
    </row>
    <row r="34" spans="1:33" x14ac:dyDescent="0.3">
      <c r="A34">
        <v>46</v>
      </c>
      <c r="B34" t="s">
        <v>170</v>
      </c>
      <c r="C34">
        <v>8646.3214053999982</v>
      </c>
      <c r="D34">
        <v>144.10535675666659</v>
      </c>
      <c r="E34" t="s">
        <v>171</v>
      </c>
      <c r="F34" t="s">
        <v>35</v>
      </c>
      <c r="G34" t="s">
        <v>172</v>
      </c>
      <c r="H34" t="s">
        <v>37</v>
      </c>
      <c r="I34">
        <v>2.6580167883440298E-2</v>
      </c>
      <c r="J34">
        <v>0</v>
      </c>
      <c r="K34" t="s">
        <v>14</v>
      </c>
      <c r="L34">
        <v>165</v>
      </c>
      <c r="M34">
        <v>9.8347257197603234E-5</v>
      </c>
      <c r="N34">
        <v>1E-4</v>
      </c>
      <c r="O34">
        <v>3000</v>
      </c>
      <c r="T34">
        <v>9.5371729442421352E-2</v>
      </c>
      <c r="U34">
        <v>5.3417965560104061</v>
      </c>
      <c r="V34">
        <v>0.29185520463689879</v>
      </c>
      <c r="W34">
        <v>9.6469999999999993E-3</v>
      </c>
      <c r="X34">
        <v>8.5518540000000005</v>
      </c>
      <c r="Y34">
        <v>7.1656500000000003</v>
      </c>
      <c r="Z34">
        <v>44.150669999999998</v>
      </c>
      <c r="AA34">
        <v>42.528283999999999</v>
      </c>
      <c r="AB34">
        <v>1E-4</v>
      </c>
      <c r="AC34">
        <v>3.9691047816148899</v>
      </c>
      <c r="AD34">
        <v>0.99957490285693673</v>
      </c>
      <c r="AE34">
        <v>1.6426339999999999</v>
      </c>
      <c r="AF34">
        <v>0.66077463465516251</v>
      </c>
      <c r="AG34">
        <v>0.1000050148419402</v>
      </c>
    </row>
    <row r="35" spans="1:33" x14ac:dyDescent="0.3">
      <c r="A35">
        <v>49</v>
      </c>
      <c r="B35" t="s">
        <v>179</v>
      </c>
      <c r="C35">
        <v>9371.0296170999645</v>
      </c>
      <c r="D35">
        <v>156.18382695166611</v>
      </c>
      <c r="E35" t="s">
        <v>180</v>
      </c>
      <c r="F35" t="s">
        <v>35</v>
      </c>
      <c r="G35" t="s">
        <v>181</v>
      </c>
      <c r="H35" t="s">
        <v>37</v>
      </c>
      <c r="I35">
        <v>2.5088682414831209E-2</v>
      </c>
      <c r="J35">
        <v>0</v>
      </c>
      <c r="K35" t="s">
        <v>14</v>
      </c>
      <c r="L35">
        <v>321</v>
      </c>
      <c r="M35">
        <v>9.4901856563863355E-5</v>
      </c>
      <c r="N35">
        <v>1E-4</v>
      </c>
      <c r="O35">
        <v>3000</v>
      </c>
      <c r="T35" s="2">
        <v>4.9643664583569523E-2</v>
      </c>
      <c r="U35" s="2">
        <v>2.9722745354726041</v>
      </c>
      <c r="V35" s="2">
        <v>5.4297146770707574</v>
      </c>
      <c r="W35" s="2">
        <v>9.6469999999999993E-3</v>
      </c>
      <c r="X35" s="2">
        <v>8.5518540000000005</v>
      </c>
      <c r="Y35" s="2">
        <v>7.1656500000000003</v>
      </c>
      <c r="Z35" s="2">
        <v>44.150669999999998</v>
      </c>
      <c r="AA35" s="2">
        <v>42.528283999999999</v>
      </c>
      <c r="AB35" s="2">
        <v>1E-4</v>
      </c>
      <c r="AC35" s="2">
        <v>1.127648468367126</v>
      </c>
      <c r="AD35" s="2">
        <v>0.80815535727297716</v>
      </c>
      <c r="AE35" s="2">
        <v>1.6426339999999999</v>
      </c>
      <c r="AF35" s="2">
        <v>0.36345241980061638</v>
      </c>
      <c r="AG35" s="2">
        <v>0.42112222077518813</v>
      </c>
    </row>
    <row r="36" spans="1:33" x14ac:dyDescent="0.3">
      <c r="A36">
        <v>50</v>
      </c>
      <c r="B36" t="s">
        <v>182</v>
      </c>
      <c r="C36">
        <v>14771.834517899961</v>
      </c>
      <c r="D36">
        <v>246.19724196499931</v>
      </c>
      <c r="E36" t="s">
        <v>183</v>
      </c>
      <c r="F36" t="s">
        <v>35</v>
      </c>
      <c r="G36" t="s">
        <v>184</v>
      </c>
      <c r="H36" t="s">
        <v>37</v>
      </c>
      <c r="I36">
        <v>1.8079349947727929E-2</v>
      </c>
      <c r="J36">
        <v>0</v>
      </c>
      <c r="K36" t="s">
        <v>14</v>
      </c>
      <c r="L36">
        <v>1619</v>
      </c>
      <c r="M36">
        <v>9.7776949008474202E-5</v>
      </c>
      <c r="N36">
        <v>1E-4</v>
      </c>
      <c r="O36">
        <v>3000</v>
      </c>
      <c r="T36">
        <v>0.1033758665619207</v>
      </c>
      <c r="U36">
        <v>3.4894102345850828</v>
      </c>
      <c r="V36">
        <v>1.316810436714732</v>
      </c>
      <c r="W36">
        <v>9.6469999999999993E-3</v>
      </c>
      <c r="X36">
        <v>8.5518540000000005</v>
      </c>
      <c r="Y36">
        <v>7.1656500000000003</v>
      </c>
      <c r="Z36">
        <v>44.150669999999998</v>
      </c>
      <c r="AA36">
        <v>42.528283999999999</v>
      </c>
      <c r="AB36">
        <v>1E-4</v>
      </c>
      <c r="AC36">
        <v>3.2706060034619742</v>
      </c>
      <c r="AD36">
        <v>0.99997920336769752</v>
      </c>
      <c r="AE36">
        <v>1.6426339999999999</v>
      </c>
      <c r="AF36">
        <v>0.54384241433488878</v>
      </c>
      <c r="AG36">
        <v>0.33642100846641448</v>
      </c>
    </row>
    <row r="38" spans="1:33" x14ac:dyDescent="0.3">
      <c r="A38">
        <f>COUNT(A2:A36)</f>
        <v>35</v>
      </c>
      <c r="C38" t="s">
        <v>185</v>
      </c>
      <c r="D38" t="s">
        <v>187</v>
      </c>
      <c r="O38" t="s">
        <v>190</v>
      </c>
      <c r="T38">
        <f>AVERAGE(T2:T36)</f>
        <v>0.11718495438501415</v>
      </c>
      <c r="U38">
        <f>AVERAGE(U2:U36)</f>
        <v>3.0097150691967425</v>
      </c>
      <c r="V38">
        <f>AVERAGE(V2:V36)</f>
        <v>3.2423242221109008</v>
      </c>
      <c r="AC38">
        <f>AVERAGE(AC2:AC36)</f>
        <v>3.0923245508275459</v>
      </c>
      <c r="AD38">
        <f>AVERAGE(AD2:AD36)</f>
        <v>0.82691186052597443</v>
      </c>
      <c r="AF38">
        <f>AVERAGE(AF2:AF36)</f>
        <v>0.5198629731430624</v>
      </c>
      <c r="AG38">
        <f>AVERAGE(AG2:AG36)</f>
        <v>0.31888785855152962</v>
      </c>
    </row>
    <row r="39" spans="1:33" x14ac:dyDescent="0.3">
      <c r="D39" t="s">
        <v>186</v>
      </c>
      <c r="O39" t="s">
        <v>191</v>
      </c>
      <c r="T39">
        <f>MEDIAN(T2:T36)</f>
        <v>0.1038050282684658</v>
      </c>
      <c r="U39">
        <f>MEDIAN(U2:U36)</f>
        <v>2.7399551136459368</v>
      </c>
      <c r="V39">
        <f>MEDIAN(V2:V36)</f>
        <v>3.1739355788760122</v>
      </c>
      <c r="AC39">
        <f>MEDIAN(AC2:AC36)</f>
        <v>2.8783516430630258</v>
      </c>
      <c r="AD39">
        <f>MEDIAN(AD2:AD36)</f>
        <v>0.94292399766561574</v>
      </c>
      <c r="AF39">
        <f>MEDIAN(AF2:AF36)</f>
        <v>0.54384241433488878</v>
      </c>
      <c r="AG39">
        <f>MEDIAN(AG2:AG36)</f>
        <v>0.34393317151587521</v>
      </c>
    </row>
    <row r="40" spans="1:33" x14ac:dyDescent="0.3">
      <c r="D40" t="s">
        <v>188</v>
      </c>
      <c r="O40" t="s">
        <v>192</v>
      </c>
      <c r="T40">
        <f>STDEVA(T2:T36)</f>
        <v>6.1104417049582117E-2</v>
      </c>
      <c r="U40">
        <f t="shared" ref="U40:AG40" si="0">STDEVA(U2:U36)</f>
        <v>1.7378948868189097</v>
      </c>
      <c r="V40">
        <f t="shared" si="0"/>
        <v>2.674225374457381</v>
      </c>
      <c r="AC40">
        <f t="shared" si="0"/>
        <v>1.4866596254458613</v>
      </c>
      <c r="AD40">
        <f t="shared" si="0"/>
        <v>0.24157550543201453</v>
      </c>
      <c r="AF40">
        <f t="shared" si="0"/>
        <v>0.11603697946347312</v>
      </c>
      <c r="AG40">
        <f t="shared" si="0"/>
        <v>0.13916827056479916</v>
      </c>
    </row>
    <row r="42" spans="1:33" x14ac:dyDescent="0.3">
      <c r="D42" t="s">
        <v>189</v>
      </c>
    </row>
    <row r="63" spans="21:21" x14ac:dyDescent="0.3">
      <c r="U63" s="1"/>
    </row>
  </sheetData>
  <autoFilter ref="A1:AG1" xr:uid="{31D0ED38-DB97-4B93-B396-311E91E46429}">
    <sortState xmlns:xlrd2="http://schemas.microsoft.com/office/spreadsheetml/2017/richdata2" ref="A2:AG51">
      <sortCondition ref="A1"/>
    </sortState>
  </autoFilter>
  <conditionalFormatting sqref="AD2:AD36">
    <cfRule type="cellIs" dxfId="51" priority="1" operator="greaterThan">
      <formula>0.99</formula>
    </cfRule>
  </conditionalFormatting>
  <conditionalFormatting sqref="T2:T36">
    <cfRule type="top10" dxfId="50" priority="193" percent="1" rank="15"/>
  </conditionalFormatting>
  <conditionalFormatting sqref="U2:U36">
    <cfRule type="top10" dxfId="49" priority="195" percent="1" rank="15"/>
  </conditionalFormatting>
  <conditionalFormatting sqref="V2:V36">
    <cfRule type="top10" dxfId="48" priority="197" percent="1" rank="15"/>
  </conditionalFormatting>
  <conditionalFormatting sqref="AC2:AC36">
    <cfRule type="top10" dxfId="47" priority="199" percent="1" rank="15"/>
  </conditionalFormatting>
  <conditionalFormatting sqref="AG2:AG36">
    <cfRule type="top10" dxfId="46" priority="201" percent="1" rank="15"/>
  </conditionalFormatting>
  <conditionalFormatting sqref="AF2:AF36">
    <cfRule type="top10" dxfId="45" priority="203" percent="1" rank="15"/>
  </conditionalFormatting>
  <pageMargins left="0.75" right="0.75" top="1" bottom="1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A2A1-CE05-46FA-BBCF-4B0ED8ED8E81}">
  <sheetPr codeName="Hoja6"/>
  <dimension ref="A1:AY56"/>
  <sheetViews>
    <sheetView topLeftCell="A28" zoomScale="80" zoomScaleNormal="80" workbookViewId="0">
      <selection sqref="A1:O1"/>
    </sheetView>
  </sheetViews>
  <sheetFormatPr baseColWidth="10" defaultColWidth="8.88671875" defaultRowHeight="14.4" x14ac:dyDescent="0.3"/>
  <cols>
    <col min="1" max="1" width="10.88671875" customWidth="1"/>
    <col min="2" max="2" width="11.44140625" customWidth="1"/>
    <col min="3" max="3" width="11.6640625" customWidth="1"/>
    <col min="4" max="9" width="0" hidden="1" customWidth="1"/>
    <col min="10" max="10" width="11.88671875" customWidth="1"/>
    <col min="11" max="11" width="10.77734375" customWidth="1"/>
    <col min="12" max="12" width="0" hidden="1" customWidth="1"/>
    <col min="13" max="13" width="11.21875" customWidth="1"/>
    <col min="14" max="14" width="11.44140625" customWidth="1"/>
    <col min="16" max="19" width="8.88671875" customWidth="1"/>
  </cols>
  <sheetData>
    <row r="1" spans="1:51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51" x14ac:dyDescent="0.3">
      <c r="A2" s="3">
        <v>7.9591669120431585E-2</v>
      </c>
      <c r="B2" s="3">
        <v>1.2775896728366729</v>
      </c>
      <c r="C2" s="3"/>
      <c r="D2" s="3">
        <v>9.6469999999999993E-3</v>
      </c>
      <c r="E2" s="3">
        <v>8.5518540000000005</v>
      </c>
      <c r="F2" s="3">
        <v>7.1656500000000003</v>
      </c>
      <c r="G2" s="3">
        <v>44.150669999999998</v>
      </c>
      <c r="H2" s="3">
        <v>42.528283999999999</v>
      </c>
      <c r="I2" s="3">
        <v>1E-4</v>
      </c>
      <c r="J2" s="3">
        <v>2.1607735069316112</v>
      </c>
      <c r="K2" s="3">
        <v>0.82252605860305728</v>
      </c>
      <c r="L2" s="3">
        <v>1.6426339999999999</v>
      </c>
      <c r="M2" s="3">
        <v>0.35680740547586048</v>
      </c>
      <c r="N2" s="3">
        <v>0.45267027933618659</v>
      </c>
      <c r="O2">
        <f>COUNT(A2:N2)</f>
        <v>13</v>
      </c>
    </row>
    <row r="3" spans="1:51" x14ac:dyDescent="0.3">
      <c r="A3" s="3">
        <v>9.8766372635100658E-2</v>
      </c>
      <c r="B3" s="3">
        <v>3.6465402710403638</v>
      </c>
      <c r="C3" s="3"/>
      <c r="D3" s="3">
        <v>9.6469999999999993E-3</v>
      </c>
      <c r="E3" s="3">
        <v>8.5518540000000005</v>
      </c>
      <c r="F3" s="3">
        <v>7.1656500000000003</v>
      </c>
      <c r="G3" s="3">
        <v>44.150669999999998</v>
      </c>
      <c r="H3" s="3">
        <v>42.528283999999999</v>
      </c>
      <c r="I3" s="3">
        <v>1E-4</v>
      </c>
      <c r="J3" s="3">
        <v>1.1816009681183359</v>
      </c>
      <c r="K3" s="3">
        <v>0.88822287194601712</v>
      </c>
      <c r="L3" s="3">
        <v>1.6426339999999999</v>
      </c>
      <c r="M3" s="3">
        <v>0.53209866830297281</v>
      </c>
      <c r="N3" s="3">
        <v>0.39887350963340551</v>
      </c>
      <c r="O3">
        <f t="shared" ref="O3:O51" si="0">COUNT(A3:N3)</f>
        <v>13</v>
      </c>
    </row>
    <row r="4" spans="1:51" x14ac:dyDescent="0.3">
      <c r="A4" s="3"/>
      <c r="B4" s="3">
        <v>4.03776096</v>
      </c>
      <c r="C4" s="3">
        <v>4.893633921028858</v>
      </c>
      <c r="D4" s="3">
        <v>9.6469999999999993E-3</v>
      </c>
      <c r="E4" s="3">
        <v>8.5518540000000005</v>
      </c>
      <c r="F4" s="3">
        <v>7.1656500000000003</v>
      </c>
      <c r="G4" s="3">
        <v>44.150669999999998</v>
      </c>
      <c r="H4" s="3">
        <v>42.528283999999999</v>
      </c>
      <c r="I4" s="3">
        <v>1E-4</v>
      </c>
      <c r="J4" s="3"/>
      <c r="K4" s="3">
        <v>0.84916496649548145</v>
      </c>
      <c r="L4" s="3">
        <v>1.6426339999999999</v>
      </c>
      <c r="M4" s="3"/>
      <c r="N4" s="3">
        <v>0.2466999560033826</v>
      </c>
      <c r="O4">
        <f t="shared" si="0"/>
        <v>11</v>
      </c>
    </row>
    <row r="5" spans="1:51" x14ac:dyDescent="0.3">
      <c r="A5" s="3"/>
      <c r="B5" s="3">
        <v>1.4647098509224801</v>
      </c>
      <c r="C5" s="3">
        <v>4.5605109176630076</v>
      </c>
      <c r="D5" s="3">
        <v>9.6469999999999993E-3</v>
      </c>
      <c r="E5" s="3">
        <v>8.5518540000000005</v>
      </c>
      <c r="F5" s="3">
        <v>7.1656500000000003</v>
      </c>
      <c r="G5" s="3">
        <v>44.150669999999998</v>
      </c>
      <c r="H5" s="3">
        <v>42.528283999999999</v>
      </c>
      <c r="I5" s="3">
        <v>1E-4</v>
      </c>
      <c r="J5" s="3">
        <v>2.425115399105819</v>
      </c>
      <c r="K5" s="3">
        <v>0.72470652287394666</v>
      </c>
      <c r="L5" s="3">
        <v>1.6426339999999999</v>
      </c>
      <c r="M5" s="3">
        <v>0.52726656750367029</v>
      </c>
      <c r="N5" s="3">
        <v>0.3430580459790617</v>
      </c>
      <c r="O5">
        <f t="shared" si="0"/>
        <v>13</v>
      </c>
    </row>
    <row r="6" spans="1:51" x14ac:dyDescent="0.3">
      <c r="A6" s="3">
        <v>6.472871915222754E-2</v>
      </c>
      <c r="B6" s="3">
        <v>3.9702093993711252</v>
      </c>
      <c r="C6" s="3">
        <v>1.180538637321028</v>
      </c>
      <c r="D6" s="3">
        <v>9.6469999999999993E-3</v>
      </c>
      <c r="E6" s="3">
        <v>8.5518540000000005</v>
      </c>
      <c r="F6" s="3">
        <v>7.1656500000000003</v>
      </c>
      <c r="G6" s="3">
        <v>44.150669999999998</v>
      </c>
      <c r="H6" s="3">
        <v>42.528283999999999</v>
      </c>
      <c r="I6" s="3">
        <v>1E-4</v>
      </c>
      <c r="J6" s="3">
        <v>1.7779311466140399</v>
      </c>
      <c r="K6" s="3">
        <v>0.21868182914115469</v>
      </c>
      <c r="L6" s="3">
        <v>1.6426339999999999</v>
      </c>
      <c r="M6" s="3">
        <v>0.50789262577800998</v>
      </c>
      <c r="N6" s="3">
        <v>0.24431553740673689</v>
      </c>
      <c r="O6">
        <f t="shared" si="0"/>
        <v>14</v>
      </c>
    </row>
    <row r="7" spans="1:51" x14ac:dyDescent="0.3">
      <c r="A7" s="3"/>
      <c r="B7" s="3">
        <v>3.9483938391554938</v>
      </c>
      <c r="C7" s="3">
        <v>0.38672266013306461</v>
      </c>
      <c r="D7" s="3">
        <v>9.6469999999999993E-3</v>
      </c>
      <c r="E7" s="3">
        <v>8.5518540000000005</v>
      </c>
      <c r="F7" s="3">
        <v>7.1656500000000003</v>
      </c>
      <c r="G7" s="3">
        <v>44.150669999999998</v>
      </c>
      <c r="H7" s="3">
        <v>42.528283999999999</v>
      </c>
      <c r="I7" s="3">
        <v>1E-4</v>
      </c>
      <c r="J7" s="3">
        <v>3.255620818675057</v>
      </c>
      <c r="K7" s="3">
        <v>0.99829186819717619</v>
      </c>
      <c r="L7" s="3">
        <v>1.6426339999999999</v>
      </c>
      <c r="M7" s="3">
        <v>0.6034988410088048</v>
      </c>
      <c r="N7" s="3">
        <v>0.11389696000000001</v>
      </c>
      <c r="O7">
        <f t="shared" si="0"/>
        <v>13</v>
      </c>
    </row>
    <row r="8" spans="1:51" x14ac:dyDescent="0.3">
      <c r="A8" s="3"/>
      <c r="B8" s="3"/>
      <c r="C8" s="3">
        <v>5.1083127893955114</v>
      </c>
      <c r="D8" s="3">
        <v>9.6469999999999993E-3</v>
      </c>
      <c r="E8" s="3">
        <v>8.5518540000000005</v>
      </c>
      <c r="F8" s="3">
        <v>7.1656500000000003</v>
      </c>
      <c r="G8" s="3">
        <v>44.150669999999998</v>
      </c>
      <c r="H8" s="3">
        <v>42.528283999999999</v>
      </c>
      <c r="I8" s="3">
        <v>1E-4</v>
      </c>
      <c r="J8" s="3">
        <v>2.629510266844215</v>
      </c>
      <c r="K8" s="3">
        <v>0.58836422403116395</v>
      </c>
      <c r="L8" s="3">
        <v>1.6426339999999999</v>
      </c>
      <c r="M8" s="3"/>
      <c r="N8" s="3">
        <v>0.34393317151587521</v>
      </c>
      <c r="O8">
        <f t="shared" si="0"/>
        <v>11</v>
      </c>
    </row>
    <row r="9" spans="1:51" x14ac:dyDescent="0.3">
      <c r="A9" s="3">
        <v>8.7481495012858304E-2</v>
      </c>
      <c r="B9" s="3">
        <v>1.4461727354296821</v>
      </c>
      <c r="C9" s="3">
        <v>5.3414239314315353</v>
      </c>
      <c r="D9" s="3">
        <v>9.6469999999999993E-3</v>
      </c>
      <c r="E9" s="3">
        <v>8.5518540000000005</v>
      </c>
      <c r="F9" s="3">
        <v>7.1656500000000003</v>
      </c>
      <c r="G9" s="3">
        <v>44.150669999999998</v>
      </c>
      <c r="H9" s="3">
        <v>42.528283999999999</v>
      </c>
      <c r="I9" s="3">
        <v>1E-4</v>
      </c>
      <c r="J9" s="3">
        <v>3.754208637255438</v>
      </c>
      <c r="K9" s="3">
        <v>0.94292399766561574</v>
      </c>
      <c r="L9" s="3">
        <v>1.6426339999999999</v>
      </c>
      <c r="M9" s="3">
        <v>0.57997025002292379</v>
      </c>
      <c r="N9" s="3">
        <v>0.33046316687705829</v>
      </c>
      <c r="O9">
        <f t="shared" si="0"/>
        <v>14</v>
      </c>
    </row>
    <row r="10" spans="1:51" x14ac:dyDescent="0.3">
      <c r="A10" s="3">
        <v>0.16914051832313759</v>
      </c>
      <c r="B10" s="3">
        <v>3.5405026676757392</v>
      </c>
      <c r="C10" s="3"/>
      <c r="D10" s="3">
        <v>9.6469999999999993E-3</v>
      </c>
      <c r="E10" s="3">
        <v>8.5518540000000005</v>
      </c>
      <c r="F10" s="3">
        <v>7.1656500000000003</v>
      </c>
      <c r="G10" s="3">
        <v>44.150669999999998</v>
      </c>
      <c r="H10" s="3">
        <v>42.528283999999999</v>
      </c>
      <c r="I10" s="3">
        <v>1E-4</v>
      </c>
      <c r="J10" s="3">
        <v>1.4283796721075921</v>
      </c>
      <c r="K10" s="3"/>
      <c r="L10" s="3">
        <v>1.6426339999999999</v>
      </c>
      <c r="M10" s="3">
        <v>0.54601783945066418</v>
      </c>
      <c r="N10" s="3">
        <v>0.35095067247721079</v>
      </c>
      <c r="O10">
        <f t="shared" si="0"/>
        <v>12</v>
      </c>
    </row>
    <row r="11" spans="1:51" s="3" customFormat="1" x14ac:dyDescent="0.3">
      <c r="A11" s="3">
        <v>0.131711066807083</v>
      </c>
      <c r="B11" s="3">
        <v>1.2803780296643441</v>
      </c>
      <c r="C11" s="3">
        <v>2.7189684162254459</v>
      </c>
      <c r="D11" s="3">
        <v>9.6469999999999993E-3</v>
      </c>
      <c r="E11" s="3">
        <v>8.5518540000000005</v>
      </c>
      <c r="F11" s="3">
        <v>7.1656500000000003</v>
      </c>
      <c r="G11" s="3">
        <v>44.150669999999998</v>
      </c>
      <c r="H11" s="3">
        <v>42.528283999999999</v>
      </c>
      <c r="I11" s="3">
        <v>1E-4</v>
      </c>
      <c r="J11" s="3">
        <v>2.5192987561038431</v>
      </c>
      <c r="K11" s="3">
        <v>0.34308949828818591</v>
      </c>
      <c r="L11" s="3">
        <v>1.6426339999999999</v>
      </c>
      <c r="M11" s="3">
        <v>0.39204389479805929</v>
      </c>
      <c r="N11" s="3">
        <v>0.43880277409739332</v>
      </c>
      <c r="O11">
        <f t="shared" si="0"/>
        <v>14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x14ac:dyDescent="0.3">
      <c r="A12" s="3">
        <v>8.8032865941792313E-2</v>
      </c>
      <c r="B12" s="3"/>
      <c r="C12" s="3">
        <v>0.33911376185990011</v>
      </c>
      <c r="D12" s="3">
        <v>9.6469999999999993E-3</v>
      </c>
      <c r="E12" s="3">
        <v>8.5518540000000005</v>
      </c>
      <c r="F12" s="3">
        <v>7.1656500000000003</v>
      </c>
      <c r="G12" s="3">
        <v>44.150669999999998</v>
      </c>
      <c r="H12" s="3">
        <v>42.528283999999999</v>
      </c>
      <c r="I12" s="3">
        <v>1E-4</v>
      </c>
      <c r="J12" s="3">
        <v>3.4184327761098738</v>
      </c>
      <c r="K12" s="3"/>
      <c r="L12" s="3">
        <v>1.6426339999999999</v>
      </c>
      <c r="M12" s="3">
        <v>0.62192843768557216</v>
      </c>
      <c r="N12" s="3"/>
      <c r="O12">
        <f t="shared" si="0"/>
        <v>11</v>
      </c>
    </row>
    <row r="13" spans="1:51" x14ac:dyDescent="0.3">
      <c r="A13" s="3">
        <v>0.1169669628071545</v>
      </c>
      <c r="B13" s="3">
        <v>2.2710167679059632</v>
      </c>
      <c r="C13" s="3">
        <v>0.57718207759030193</v>
      </c>
      <c r="D13" s="3">
        <v>9.6469999999999993E-3</v>
      </c>
      <c r="E13" s="3">
        <v>8.5518540000000005</v>
      </c>
      <c r="F13" s="3">
        <v>7.1656500000000003</v>
      </c>
      <c r="G13" s="3">
        <v>44.150669999999998</v>
      </c>
      <c r="H13" s="3">
        <v>42.528283999999999</v>
      </c>
      <c r="I13" s="3">
        <v>1E-4</v>
      </c>
      <c r="J13" s="3"/>
      <c r="K13" s="3"/>
      <c r="L13" s="3">
        <v>1.6426339999999999</v>
      </c>
      <c r="M13" s="3">
        <v>0.54891150406931755</v>
      </c>
      <c r="N13" s="3">
        <v>0.2369861228432418</v>
      </c>
      <c r="O13">
        <f t="shared" si="0"/>
        <v>12</v>
      </c>
    </row>
    <row r="14" spans="1:51" x14ac:dyDescent="0.3">
      <c r="A14" s="3">
        <v>0.13543101585881839</v>
      </c>
      <c r="B14" s="3">
        <v>2.1675745542474041</v>
      </c>
      <c r="C14" s="3">
        <v>0.44371357160502928</v>
      </c>
      <c r="D14" s="3">
        <v>9.6469999999999993E-3</v>
      </c>
      <c r="E14" s="3">
        <v>8.5518540000000005</v>
      </c>
      <c r="F14" s="3">
        <v>7.1656500000000003</v>
      </c>
      <c r="G14" s="3">
        <v>44.150669999999998</v>
      </c>
      <c r="H14" s="3">
        <v>42.528283999999999</v>
      </c>
      <c r="I14" s="3">
        <v>1E-4</v>
      </c>
      <c r="J14" s="3"/>
      <c r="K14" s="3"/>
      <c r="L14" s="3">
        <v>1.6426339999999999</v>
      </c>
      <c r="M14" s="3">
        <v>0.56821626431158878</v>
      </c>
      <c r="N14" s="3">
        <v>0.32018714573871382</v>
      </c>
      <c r="O14">
        <f t="shared" si="0"/>
        <v>12</v>
      </c>
    </row>
    <row r="15" spans="1:51" x14ac:dyDescent="0.3">
      <c r="A15" s="3">
        <v>0.1534114159421463</v>
      </c>
      <c r="B15" s="3">
        <v>0.95909898000000005</v>
      </c>
      <c r="C15" s="3">
        <v>3.1739355788760122</v>
      </c>
      <c r="D15" s="3">
        <v>9.6469999999999993E-3</v>
      </c>
      <c r="E15" s="3">
        <v>8.5518540000000005</v>
      </c>
      <c r="F15" s="3">
        <v>7.1656500000000003</v>
      </c>
      <c r="G15" s="3">
        <v>44.150669999999998</v>
      </c>
      <c r="H15" s="3">
        <v>42.528283999999999</v>
      </c>
      <c r="I15" s="3">
        <v>1E-4</v>
      </c>
      <c r="J15" s="3">
        <v>4.4949406730690553</v>
      </c>
      <c r="K15" s="3">
        <v>0.83074837802974244</v>
      </c>
      <c r="L15" s="3">
        <v>1.6426339999999999</v>
      </c>
      <c r="M15" s="3"/>
      <c r="N15" s="3">
        <v>0.3149494549068898</v>
      </c>
      <c r="O15">
        <f t="shared" si="0"/>
        <v>13</v>
      </c>
    </row>
    <row r="16" spans="1:51" x14ac:dyDescent="0.3">
      <c r="A16" s="3">
        <v>0.10919431527604841</v>
      </c>
      <c r="B16" s="3"/>
      <c r="C16" s="3">
        <v>0.42149702139665751</v>
      </c>
      <c r="D16" s="3">
        <v>9.6469999999999993E-3</v>
      </c>
      <c r="E16" s="3">
        <v>8.5518540000000005</v>
      </c>
      <c r="F16" s="3">
        <v>7.1656500000000003</v>
      </c>
      <c r="G16" s="3">
        <v>44.150669999999998</v>
      </c>
      <c r="H16" s="3">
        <v>42.528283999999999</v>
      </c>
      <c r="I16" s="3">
        <v>1E-4</v>
      </c>
      <c r="J16" s="3">
        <v>2.8783516430630258</v>
      </c>
      <c r="K16" s="3">
        <v>0.6689549422052169</v>
      </c>
      <c r="L16" s="3">
        <v>1.6426339999999999</v>
      </c>
      <c r="M16" s="3"/>
      <c r="N16" s="3"/>
      <c r="O16">
        <f t="shared" si="0"/>
        <v>11</v>
      </c>
    </row>
    <row r="17" spans="1:15" x14ac:dyDescent="0.3">
      <c r="A17" s="3"/>
      <c r="B17" s="3">
        <v>1.1274938999999999</v>
      </c>
      <c r="C17" s="3">
        <v>3.092042495539713</v>
      </c>
      <c r="D17" s="3">
        <v>9.6469999999999993E-3</v>
      </c>
      <c r="E17" s="3">
        <v>8.5518540000000005</v>
      </c>
      <c r="F17" s="3">
        <v>7.1656500000000003</v>
      </c>
      <c r="G17" s="3">
        <v>44.150669999999998</v>
      </c>
      <c r="H17" s="3">
        <v>42.528283999999999</v>
      </c>
      <c r="I17" s="3">
        <v>1E-4</v>
      </c>
      <c r="J17" s="3">
        <v>2.471230373218726</v>
      </c>
      <c r="K17" s="3">
        <v>0.26201798906588591</v>
      </c>
      <c r="L17" s="3">
        <v>1.6426339999999999</v>
      </c>
      <c r="M17" s="3">
        <v>0.39369724135998557</v>
      </c>
      <c r="N17" s="3"/>
      <c r="O17">
        <f t="shared" si="0"/>
        <v>12</v>
      </c>
    </row>
    <row r="18" spans="1:15" x14ac:dyDescent="0.3">
      <c r="A18" s="3">
        <v>0.1247409847184488</v>
      </c>
      <c r="B18" s="3">
        <v>2.0617667729750901</v>
      </c>
      <c r="C18" s="3"/>
      <c r="D18" s="3">
        <v>9.6469999999999993E-3</v>
      </c>
      <c r="E18" s="3">
        <v>8.5518540000000005</v>
      </c>
      <c r="F18" s="3">
        <v>7.1656500000000003</v>
      </c>
      <c r="G18" s="3">
        <v>44.150669999999998</v>
      </c>
      <c r="H18" s="3">
        <v>42.528283999999999</v>
      </c>
      <c r="I18" s="3">
        <v>1E-4</v>
      </c>
      <c r="J18" s="3">
        <v>2.11150873794552</v>
      </c>
      <c r="K18" s="3">
        <v>0.99638664340240357</v>
      </c>
      <c r="L18" s="3">
        <v>1.6426339999999999</v>
      </c>
      <c r="M18" s="3">
        <v>0.60028149619551618</v>
      </c>
      <c r="N18" s="3">
        <v>0.35570150974047682</v>
      </c>
      <c r="O18">
        <f t="shared" si="0"/>
        <v>13</v>
      </c>
    </row>
    <row r="19" spans="1:15" x14ac:dyDescent="0.3">
      <c r="A19" s="3">
        <v>7.4887903519829518E-2</v>
      </c>
      <c r="B19" s="3">
        <v>1.6597110508188599</v>
      </c>
      <c r="C19" s="3"/>
      <c r="D19" s="3">
        <v>9.6469999999999993E-3</v>
      </c>
      <c r="E19" s="3">
        <v>8.5518540000000005</v>
      </c>
      <c r="F19" s="3">
        <v>7.1656500000000003</v>
      </c>
      <c r="G19" s="3">
        <v>44.150669999999998</v>
      </c>
      <c r="H19" s="3">
        <v>42.528283999999999</v>
      </c>
      <c r="I19" s="3">
        <v>1E-4</v>
      </c>
      <c r="J19" s="3">
        <v>1.878639362892996</v>
      </c>
      <c r="K19" s="3">
        <v>0.9307014604157966</v>
      </c>
      <c r="L19" s="3">
        <v>1.6426339999999999</v>
      </c>
      <c r="M19" s="3"/>
      <c r="N19" s="3">
        <v>0.43621617173692429</v>
      </c>
      <c r="O19">
        <f t="shared" si="0"/>
        <v>12</v>
      </c>
    </row>
    <row r="20" spans="1:15" x14ac:dyDescent="0.3">
      <c r="A20" s="3">
        <v>0.14829744064733261</v>
      </c>
      <c r="B20" s="3">
        <v>2.8201904669098701</v>
      </c>
      <c r="C20" s="3">
        <v>0.27074727999999998</v>
      </c>
      <c r="D20" s="3">
        <v>9.6469999999999993E-3</v>
      </c>
      <c r="E20" s="3">
        <v>8.5518540000000005</v>
      </c>
      <c r="F20" s="3">
        <v>7.1656500000000003</v>
      </c>
      <c r="G20" s="3">
        <v>44.150669999999998</v>
      </c>
      <c r="H20" s="3">
        <v>42.528283999999999</v>
      </c>
      <c r="I20" s="3">
        <v>1E-4</v>
      </c>
      <c r="J20" s="3"/>
      <c r="K20" s="3">
        <v>0.99550952113101554</v>
      </c>
      <c r="L20" s="3">
        <v>1.6426339999999999</v>
      </c>
      <c r="M20" s="3"/>
      <c r="N20" s="3">
        <v>0.16383814585034409</v>
      </c>
      <c r="O20">
        <f t="shared" si="0"/>
        <v>12</v>
      </c>
    </row>
    <row r="21" spans="1:15" x14ac:dyDescent="0.3">
      <c r="A21" s="3"/>
      <c r="B21" s="3">
        <v>1.581350856340892</v>
      </c>
      <c r="C21" s="3">
        <v>2.3656852582156298</v>
      </c>
      <c r="D21" s="3">
        <v>9.6469999999999993E-3</v>
      </c>
      <c r="E21" s="3">
        <v>8.5518540000000005</v>
      </c>
      <c r="F21" s="3">
        <v>7.1656500000000003</v>
      </c>
      <c r="G21" s="3">
        <v>44.150669999999998</v>
      </c>
      <c r="H21" s="3">
        <v>42.528283999999999</v>
      </c>
      <c r="I21" s="3">
        <v>1E-4</v>
      </c>
      <c r="J21" s="3">
        <v>2.5073621613262498</v>
      </c>
      <c r="K21" s="3">
        <v>0.86465860694325269</v>
      </c>
      <c r="L21" s="3">
        <v>1.6426339999999999</v>
      </c>
      <c r="M21" s="3">
        <v>0.45099099543516691</v>
      </c>
      <c r="N21" s="3">
        <v>0.37132148128167219</v>
      </c>
      <c r="O21">
        <f t="shared" si="0"/>
        <v>13</v>
      </c>
    </row>
    <row r="22" spans="1:15" x14ac:dyDescent="0.3">
      <c r="A22" s="3">
        <v>0.1007806174028873</v>
      </c>
      <c r="B22" s="3">
        <v>3.1013839769131928</v>
      </c>
      <c r="C22" s="3">
        <v>0.3880276905116356</v>
      </c>
      <c r="D22" s="3">
        <v>9.6469999999999993E-3</v>
      </c>
      <c r="E22" s="3">
        <v>8.5518540000000005</v>
      </c>
      <c r="F22" s="3">
        <v>7.1656500000000003</v>
      </c>
      <c r="G22" s="3">
        <v>44.150669999999998</v>
      </c>
      <c r="H22" s="3">
        <v>42.528283999999999</v>
      </c>
      <c r="I22" s="3">
        <v>1E-4</v>
      </c>
      <c r="J22" s="3"/>
      <c r="K22" s="3"/>
      <c r="L22" s="3">
        <v>1.6426339999999999</v>
      </c>
      <c r="M22" s="3">
        <v>0.59871415946888007</v>
      </c>
      <c r="N22" s="3">
        <v>0.1376576989796609</v>
      </c>
      <c r="O22">
        <f t="shared" si="0"/>
        <v>12</v>
      </c>
    </row>
    <row r="23" spans="1:15" x14ac:dyDescent="0.3">
      <c r="A23" s="3">
        <v>5.210099899692875E-2</v>
      </c>
      <c r="B23" s="3">
        <v>3.015522408377767</v>
      </c>
      <c r="C23" s="3"/>
      <c r="D23" s="3">
        <v>9.6469999999999993E-3</v>
      </c>
      <c r="E23" s="3">
        <v>8.5518540000000005</v>
      </c>
      <c r="F23" s="3">
        <v>7.1656500000000003</v>
      </c>
      <c r="G23" s="3">
        <v>44.150669999999998</v>
      </c>
      <c r="H23" s="3">
        <v>42.528283999999999</v>
      </c>
      <c r="I23" s="3">
        <v>1E-4</v>
      </c>
      <c r="J23" s="3">
        <v>1.1906484209683921</v>
      </c>
      <c r="K23" s="3">
        <v>0.81419279270488276</v>
      </c>
      <c r="L23" s="3">
        <v>1.6426339999999999</v>
      </c>
      <c r="M23" s="3">
        <v>0.40469248406287478</v>
      </c>
      <c r="N23" s="3">
        <v>0.40732257988081888</v>
      </c>
      <c r="O23">
        <f t="shared" si="0"/>
        <v>13</v>
      </c>
    </row>
    <row r="24" spans="1:15" x14ac:dyDescent="0.3">
      <c r="A24" s="3">
        <v>4.6474636586851983E-2</v>
      </c>
      <c r="B24" s="3">
        <v>3.7605962647048039</v>
      </c>
      <c r="C24" s="3">
        <v>2.2957334841377941</v>
      </c>
      <c r="D24" s="3">
        <v>9.6469999999999993E-3</v>
      </c>
      <c r="E24" s="3">
        <v>8.5518540000000005</v>
      </c>
      <c r="F24" s="3">
        <v>7.1656500000000003</v>
      </c>
      <c r="G24" s="3">
        <v>44.150669999999998</v>
      </c>
      <c r="H24" s="3">
        <v>42.528283999999999</v>
      </c>
      <c r="I24" s="3">
        <v>1E-4</v>
      </c>
      <c r="J24" s="3">
        <v>2.9958857853356449</v>
      </c>
      <c r="K24" s="3">
        <v>0.61806702516702294</v>
      </c>
      <c r="L24" s="3">
        <v>1.6426339999999999</v>
      </c>
      <c r="M24" s="3"/>
      <c r="N24" s="3"/>
      <c r="O24">
        <f t="shared" si="0"/>
        <v>12</v>
      </c>
    </row>
    <row r="25" spans="1:15" x14ac:dyDescent="0.3">
      <c r="A25" s="3"/>
      <c r="B25" s="3">
        <v>2.0911938493088078</v>
      </c>
      <c r="C25" s="3">
        <v>4.3728829139642666</v>
      </c>
      <c r="D25" s="3">
        <v>9.6469999999999993E-3</v>
      </c>
      <c r="E25" s="3">
        <v>8.5518540000000005</v>
      </c>
      <c r="F25" s="3">
        <v>7.1656500000000003</v>
      </c>
      <c r="G25" s="3">
        <v>44.150669999999998</v>
      </c>
      <c r="H25" s="3">
        <v>42.528283999999999</v>
      </c>
      <c r="I25" s="3">
        <v>1E-4</v>
      </c>
      <c r="J25" s="3">
        <v>2.1389694010000002</v>
      </c>
      <c r="K25" s="3"/>
      <c r="L25" s="3">
        <v>1.6426339999999999</v>
      </c>
      <c r="M25" s="3">
        <v>0.59852158661471366</v>
      </c>
      <c r="N25" s="3">
        <v>0.33301313040425051</v>
      </c>
      <c r="O25">
        <f t="shared" si="0"/>
        <v>12</v>
      </c>
    </row>
    <row r="26" spans="1:15" x14ac:dyDescent="0.3">
      <c r="A26" s="3">
        <v>0.14069450013491799</v>
      </c>
      <c r="B26" s="3">
        <v>3.174672574828024</v>
      </c>
      <c r="C26" s="3">
        <v>0.32192459528220269</v>
      </c>
      <c r="D26" s="3">
        <v>9.6469999999999993E-3</v>
      </c>
      <c r="E26" s="3">
        <v>8.5518540000000005</v>
      </c>
      <c r="F26" s="3">
        <v>7.1656500000000003</v>
      </c>
      <c r="G26" s="3">
        <v>44.150669999999998</v>
      </c>
      <c r="H26" s="3">
        <v>42.528283999999999</v>
      </c>
      <c r="I26" s="3">
        <v>1E-4</v>
      </c>
      <c r="J26" s="3"/>
      <c r="K26" s="3"/>
      <c r="L26" s="3">
        <v>1.6426339999999999</v>
      </c>
      <c r="M26" s="3">
        <v>0.62628627000000003</v>
      </c>
      <c r="N26" s="3">
        <v>0.17305469620323699</v>
      </c>
      <c r="O26">
        <f t="shared" si="0"/>
        <v>12</v>
      </c>
    </row>
    <row r="27" spans="1:15" x14ac:dyDescent="0.3">
      <c r="A27" s="3">
        <v>8.5631191895631953E-2</v>
      </c>
      <c r="B27" s="3"/>
      <c r="C27" s="3">
        <v>0.29589317999999998</v>
      </c>
      <c r="D27" s="3">
        <v>9.6469999999999993E-3</v>
      </c>
      <c r="E27" s="3">
        <v>8.5518540000000005</v>
      </c>
      <c r="F27" s="3">
        <v>7.1656500000000003</v>
      </c>
      <c r="G27" s="3">
        <v>44.150669999999998</v>
      </c>
      <c r="H27" s="3">
        <v>42.528283999999999</v>
      </c>
      <c r="I27" s="3">
        <v>1E-4</v>
      </c>
      <c r="J27" s="3">
        <v>2.6592132432596638</v>
      </c>
      <c r="K27" s="3">
        <v>0.99954290000000001</v>
      </c>
      <c r="L27" s="3">
        <v>1.6426339999999999</v>
      </c>
      <c r="M27" s="3"/>
      <c r="N27" s="3"/>
      <c r="O27">
        <f t="shared" si="0"/>
        <v>11</v>
      </c>
    </row>
    <row r="28" spans="1:15" x14ac:dyDescent="0.3">
      <c r="A28" s="3">
        <v>0.13621594000000001</v>
      </c>
      <c r="B28" s="3"/>
      <c r="C28" s="3">
        <v>4.4254863447449537</v>
      </c>
      <c r="D28" s="3">
        <v>9.6469999999999993E-3</v>
      </c>
      <c r="E28" s="3">
        <v>8.5518540000000005</v>
      </c>
      <c r="F28" s="3">
        <v>7.1656500000000003</v>
      </c>
      <c r="G28" s="3">
        <v>44.150669999999998</v>
      </c>
      <c r="H28" s="3">
        <v>42.528283999999999</v>
      </c>
      <c r="I28" s="3">
        <v>1E-4</v>
      </c>
      <c r="J28" s="3"/>
      <c r="K28" s="3">
        <v>0.99944615999999997</v>
      </c>
      <c r="L28" s="3">
        <v>1.6426339999999999</v>
      </c>
      <c r="M28" s="3">
        <v>0.46167342682691231</v>
      </c>
      <c r="N28" s="3">
        <v>0.46000879976541909</v>
      </c>
      <c r="O28">
        <f t="shared" si="0"/>
        <v>12</v>
      </c>
    </row>
    <row r="29" spans="1:15" x14ac:dyDescent="0.3">
      <c r="A29" s="3">
        <v>0.1038050282684658</v>
      </c>
      <c r="B29" s="3">
        <v>2.1510199708419919</v>
      </c>
      <c r="C29" s="3">
        <v>4.6485538465200511</v>
      </c>
      <c r="D29" s="3">
        <v>9.6469999999999993E-3</v>
      </c>
      <c r="E29" s="3">
        <v>8.5518540000000005</v>
      </c>
      <c r="F29" s="3">
        <v>7.1656500000000003</v>
      </c>
      <c r="G29" s="3">
        <v>44.150669999999998</v>
      </c>
      <c r="H29" s="3">
        <v>42.528283999999999</v>
      </c>
      <c r="I29" s="3">
        <v>1E-4</v>
      </c>
      <c r="J29" s="3">
        <v>1.687027607910689</v>
      </c>
      <c r="K29" s="3">
        <v>0.98225824301224984</v>
      </c>
      <c r="L29" s="3">
        <v>1.6426339999999999</v>
      </c>
      <c r="M29" s="3">
        <v>0.34377987999999998</v>
      </c>
      <c r="N29" s="3"/>
      <c r="O29">
        <f t="shared" si="0"/>
        <v>13</v>
      </c>
    </row>
    <row r="30" spans="1:15" x14ac:dyDescent="0.3">
      <c r="A30" s="3">
        <v>0.12482275810710131</v>
      </c>
      <c r="B30" s="3">
        <v>4.375140557470278</v>
      </c>
      <c r="C30" s="3"/>
      <c r="D30" s="3">
        <v>9.6469999999999993E-3</v>
      </c>
      <c r="E30" s="3">
        <v>8.5518540000000005</v>
      </c>
      <c r="F30" s="3">
        <v>7.1656500000000003</v>
      </c>
      <c r="G30" s="3">
        <v>44.150669999999998</v>
      </c>
      <c r="H30" s="3">
        <v>42.528283999999999</v>
      </c>
      <c r="I30" s="3">
        <v>1E-4</v>
      </c>
      <c r="J30" s="3">
        <v>4.3635049261817116</v>
      </c>
      <c r="K30" s="3"/>
      <c r="L30" s="3">
        <v>1.6426339999999999</v>
      </c>
      <c r="M30" s="3"/>
      <c r="N30" s="3"/>
      <c r="O30">
        <f t="shared" si="0"/>
        <v>10</v>
      </c>
    </row>
    <row r="31" spans="1:15" x14ac:dyDescent="0.3">
      <c r="A31" s="3"/>
      <c r="B31" s="3">
        <v>1.286000710709591</v>
      </c>
      <c r="C31" s="3">
        <v>4.0267090952175906</v>
      </c>
      <c r="D31" s="3">
        <v>9.6469999999999993E-3</v>
      </c>
      <c r="E31" s="3">
        <v>8.5518540000000005</v>
      </c>
      <c r="F31" s="3">
        <v>7.1656500000000003</v>
      </c>
      <c r="G31" s="3">
        <v>44.150669999999998</v>
      </c>
      <c r="H31" s="3">
        <v>42.528283999999999</v>
      </c>
      <c r="I31" s="3">
        <v>1E-4</v>
      </c>
      <c r="J31" s="3">
        <v>2.0931151216855439</v>
      </c>
      <c r="K31" s="3">
        <v>0.35553288806227201</v>
      </c>
      <c r="L31" s="3">
        <v>1.6426339999999999</v>
      </c>
      <c r="M31" s="3">
        <v>0.55917117410030059</v>
      </c>
      <c r="N31" s="3">
        <v>0.38187394947779479</v>
      </c>
      <c r="O31">
        <f t="shared" si="0"/>
        <v>13</v>
      </c>
    </row>
    <row r="32" spans="1:15" x14ac:dyDescent="0.3">
      <c r="A32" s="3">
        <v>0.14191534691450619</v>
      </c>
      <c r="B32" s="3">
        <v>2.7399551136459368</v>
      </c>
      <c r="C32" s="3"/>
      <c r="D32" s="3">
        <v>9.6469999999999993E-3</v>
      </c>
      <c r="E32" s="3">
        <v>8.5518540000000005</v>
      </c>
      <c r="F32" s="3">
        <v>7.1656500000000003</v>
      </c>
      <c r="G32" s="3">
        <v>44.150669999999998</v>
      </c>
      <c r="H32" s="3">
        <v>42.528283999999999</v>
      </c>
      <c r="I32" s="3">
        <v>1E-4</v>
      </c>
      <c r="J32" s="3">
        <v>1.4421003378878381</v>
      </c>
      <c r="K32" s="3">
        <v>0.97176326153770465</v>
      </c>
      <c r="L32" s="3">
        <v>1.6426339999999999</v>
      </c>
      <c r="M32" s="3">
        <v>0.52973155657927862</v>
      </c>
      <c r="N32" s="3">
        <v>0.38153331065287138</v>
      </c>
      <c r="O32">
        <f t="shared" si="0"/>
        <v>13</v>
      </c>
    </row>
    <row r="33" spans="1:15" x14ac:dyDescent="0.3">
      <c r="A33" s="3">
        <v>8.9467123665495668E-2</v>
      </c>
      <c r="B33" s="3">
        <v>3.7912187764253291</v>
      </c>
      <c r="C33" s="3"/>
      <c r="D33" s="3">
        <v>9.6469999999999993E-3</v>
      </c>
      <c r="E33" s="3">
        <v>8.5518540000000005</v>
      </c>
      <c r="F33" s="3">
        <v>7.1656500000000003</v>
      </c>
      <c r="G33" s="3">
        <v>44.150669999999998</v>
      </c>
      <c r="H33" s="3">
        <v>42.528283999999999</v>
      </c>
      <c r="I33" s="3">
        <v>1E-4</v>
      </c>
      <c r="J33" s="3">
        <v>5.0569275859999996</v>
      </c>
      <c r="K33" s="3">
        <v>0.8176213061425609</v>
      </c>
      <c r="L33" s="3">
        <v>1.6426339999999999</v>
      </c>
      <c r="M33" s="3">
        <v>0.61239908106267815</v>
      </c>
      <c r="N33" s="3"/>
      <c r="O33">
        <f t="shared" si="0"/>
        <v>12</v>
      </c>
    </row>
    <row r="34" spans="1:15" x14ac:dyDescent="0.3">
      <c r="A34" s="3">
        <v>0.1009190082394365</v>
      </c>
      <c r="B34" s="3"/>
      <c r="C34" s="3">
        <v>4.1061464659955309</v>
      </c>
      <c r="D34" s="3">
        <v>9.6469999999999993E-3</v>
      </c>
      <c r="E34" s="3">
        <v>8.5518540000000005</v>
      </c>
      <c r="F34" s="3">
        <v>7.1656500000000003</v>
      </c>
      <c r="G34" s="3">
        <v>44.150669999999998</v>
      </c>
      <c r="H34" s="3">
        <v>42.528283999999999</v>
      </c>
      <c r="I34" s="3">
        <v>1E-4</v>
      </c>
      <c r="J34" s="3">
        <v>1.1660414050000001</v>
      </c>
      <c r="K34" s="3">
        <v>0.90954387778796719</v>
      </c>
      <c r="L34" s="3">
        <v>1.6426339999999999</v>
      </c>
      <c r="M34" s="3">
        <v>0.4126071456982176</v>
      </c>
      <c r="N34" s="3">
        <v>0.46872665387361861</v>
      </c>
      <c r="O34">
        <f t="shared" si="0"/>
        <v>13</v>
      </c>
    </row>
    <row r="35" spans="1:15" x14ac:dyDescent="0.3">
      <c r="A35" s="3"/>
      <c r="B35" s="3"/>
      <c r="C35" s="3">
        <v>4.0059583967442114</v>
      </c>
      <c r="D35" s="3">
        <v>9.6469999999999993E-3</v>
      </c>
      <c r="E35" s="3">
        <v>8.5518540000000005</v>
      </c>
      <c r="F35" s="3">
        <v>7.1656500000000003</v>
      </c>
      <c r="G35" s="3">
        <v>44.150669999999998</v>
      </c>
      <c r="H35" s="3">
        <v>42.528283999999999</v>
      </c>
      <c r="I35" s="3">
        <v>1E-4</v>
      </c>
      <c r="J35" s="3">
        <v>4.252325426065541</v>
      </c>
      <c r="K35" s="3">
        <v>0.95427111021416655</v>
      </c>
      <c r="L35" s="3">
        <v>1.6426339999999999</v>
      </c>
      <c r="M35" s="3">
        <v>0.61320962287952185</v>
      </c>
      <c r="N35" s="3">
        <v>0.4156812945679253</v>
      </c>
      <c r="O35">
        <f t="shared" si="0"/>
        <v>12</v>
      </c>
    </row>
    <row r="36" spans="1:15" x14ac:dyDescent="0.3">
      <c r="A36" s="3">
        <v>6.9670662460170188E-2</v>
      </c>
      <c r="B36" s="3">
        <v>3.1060014804906468</v>
      </c>
      <c r="C36" s="3">
        <v>4.7532143132203437</v>
      </c>
      <c r="D36" s="3">
        <v>9.6469999999999993E-3</v>
      </c>
      <c r="E36" s="3">
        <v>8.5518540000000005</v>
      </c>
      <c r="F36" s="3">
        <v>7.1656500000000003</v>
      </c>
      <c r="G36" s="3">
        <v>44.150669999999998</v>
      </c>
      <c r="H36" s="3">
        <v>42.528283999999999</v>
      </c>
      <c r="I36" s="3">
        <v>1E-4</v>
      </c>
      <c r="J36" s="3">
        <v>1.281974422227417</v>
      </c>
      <c r="K36" s="3">
        <v>0.82495782009139251</v>
      </c>
      <c r="L36" s="3">
        <v>1.6426339999999999</v>
      </c>
      <c r="M36" s="3">
        <v>0.37588761330540049</v>
      </c>
      <c r="N36" s="3">
        <v>0.42550928027932139</v>
      </c>
      <c r="O36">
        <f t="shared" si="0"/>
        <v>14</v>
      </c>
    </row>
    <row r="37" spans="1:15" x14ac:dyDescent="0.3">
      <c r="A37" s="3"/>
      <c r="B37" s="3">
        <v>1.279621368416282</v>
      </c>
      <c r="C37" s="3">
        <v>4.2088484938113222</v>
      </c>
      <c r="D37" s="3">
        <v>9.6469999999999993E-3</v>
      </c>
      <c r="E37" s="3">
        <v>8.5518540000000005</v>
      </c>
      <c r="F37" s="3">
        <v>7.1656500000000003</v>
      </c>
      <c r="G37" s="3">
        <v>44.150669999999998</v>
      </c>
      <c r="H37" s="3">
        <v>42.528283999999999</v>
      </c>
      <c r="I37" s="3">
        <v>1E-4</v>
      </c>
      <c r="J37" s="3">
        <v>2.1006337460212632</v>
      </c>
      <c r="K37" s="3">
        <v>0.99588913113327215</v>
      </c>
      <c r="L37" s="3">
        <v>1.6426339999999999</v>
      </c>
      <c r="M37" s="3">
        <v>0.46611857605913842</v>
      </c>
      <c r="N37" s="3">
        <v>0.38530408581084519</v>
      </c>
      <c r="O37">
        <f t="shared" si="0"/>
        <v>13</v>
      </c>
    </row>
    <row r="38" spans="1:15" x14ac:dyDescent="0.3">
      <c r="A38" s="3">
        <v>0.1094464579719584</v>
      </c>
      <c r="B38" s="3">
        <v>3.0789013453249461</v>
      </c>
      <c r="C38" s="3">
        <v>0.41024012838144058</v>
      </c>
      <c r="D38" s="3">
        <v>9.6469999999999993E-3</v>
      </c>
      <c r="E38" s="3">
        <v>8.5518540000000005</v>
      </c>
      <c r="F38" s="3">
        <v>7.1656500000000003</v>
      </c>
      <c r="G38" s="3">
        <v>44.150669999999998</v>
      </c>
      <c r="H38" s="3">
        <v>42.528283999999999</v>
      </c>
      <c r="I38" s="3">
        <v>1E-4</v>
      </c>
      <c r="J38" s="3"/>
      <c r="K38" s="3">
        <v>0.99855159999999998</v>
      </c>
      <c r="L38" s="3">
        <v>1.6426339999999999</v>
      </c>
      <c r="M38" s="3"/>
      <c r="N38" s="3">
        <v>0.13942272999999999</v>
      </c>
      <c r="O38">
        <f t="shared" si="0"/>
        <v>12</v>
      </c>
    </row>
    <row r="39" spans="1:15" x14ac:dyDescent="0.3">
      <c r="A39" s="3">
        <v>0.1227094513141276</v>
      </c>
      <c r="B39" s="3">
        <v>2.8073541301759581</v>
      </c>
      <c r="C39" s="3">
        <v>0.35996106555883861</v>
      </c>
      <c r="D39" s="3">
        <v>9.6469999999999993E-3</v>
      </c>
      <c r="E39" s="3">
        <v>8.5518540000000005</v>
      </c>
      <c r="F39" s="3">
        <v>7.1656500000000003</v>
      </c>
      <c r="G39" s="3">
        <v>44.150669999999998</v>
      </c>
      <c r="H39" s="3">
        <v>42.528283999999999</v>
      </c>
      <c r="I39" s="3">
        <v>1E-4</v>
      </c>
      <c r="J39" s="3"/>
      <c r="K39" s="3"/>
      <c r="L39" s="3">
        <v>1.6426339999999999</v>
      </c>
      <c r="M39" s="3">
        <v>0.61622094997605092</v>
      </c>
      <c r="N39" s="3"/>
      <c r="O39">
        <f t="shared" si="0"/>
        <v>11</v>
      </c>
    </row>
    <row r="40" spans="1:15" x14ac:dyDescent="0.3">
      <c r="A40" s="3">
        <v>0.1359756669553438</v>
      </c>
      <c r="B40" s="3">
        <v>1.2077244210816229</v>
      </c>
      <c r="C40" s="3">
        <v>2.7492654559773451</v>
      </c>
      <c r="D40" s="3">
        <v>9.6469999999999993E-3</v>
      </c>
      <c r="E40" s="3">
        <v>8.5518540000000005</v>
      </c>
      <c r="F40" s="3">
        <v>7.1656500000000003</v>
      </c>
      <c r="G40" s="3">
        <v>44.150669999999998</v>
      </c>
      <c r="H40" s="3">
        <v>42.528283999999999</v>
      </c>
      <c r="I40" s="3">
        <v>1E-4</v>
      </c>
      <c r="J40" s="3">
        <v>2.9393355212587058</v>
      </c>
      <c r="K40" s="3">
        <v>0.54244360620199983</v>
      </c>
      <c r="L40" s="3">
        <v>1.6426339999999999</v>
      </c>
      <c r="M40" s="3">
        <v>0.40411122050813453</v>
      </c>
      <c r="N40" s="3">
        <v>0.44339809679893338</v>
      </c>
      <c r="O40">
        <f t="shared" si="0"/>
        <v>14</v>
      </c>
    </row>
    <row r="41" spans="1:15" x14ac:dyDescent="0.3">
      <c r="A41" s="3">
        <v>0.13037461209861351</v>
      </c>
      <c r="B41" s="3">
        <v>2.9990983245261522</v>
      </c>
      <c r="C41" s="3"/>
      <c r="D41" s="3">
        <v>9.6469999999999993E-3</v>
      </c>
      <c r="E41" s="3">
        <v>8.5518540000000005</v>
      </c>
      <c r="F41" s="3">
        <v>7.1656500000000003</v>
      </c>
      <c r="G41" s="3">
        <v>44.150669999999998</v>
      </c>
      <c r="H41" s="3">
        <v>42.528283999999999</v>
      </c>
      <c r="I41" s="3">
        <v>1E-4</v>
      </c>
      <c r="J41" s="3"/>
      <c r="K41" s="3"/>
      <c r="L41" s="3">
        <v>1.6426339999999999</v>
      </c>
      <c r="M41" s="3"/>
      <c r="N41" s="3"/>
      <c r="O41">
        <f t="shared" si="0"/>
        <v>9</v>
      </c>
    </row>
    <row r="42" spans="1:15" x14ac:dyDescent="0.3">
      <c r="A42" s="3"/>
      <c r="B42" s="3">
        <v>1.66130228696973</v>
      </c>
      <c r="C42" s="3">
        <v>2.8064492199273641</v>
      </c>
      <c r="D42" s="3">
        <v>9.6469999999999993E-3</v>
      </c>
      <c r="E42" s="3">
        <v>8.5518540000000005</v>
      </c>
      <c r="F42" s="3">
        <v>7.1656500000000003</v>
      </c>
      <c r="G42" s="3">
        <v>44.150669999999998</v>
      </c>
      <c r="H42" s="3">
        <v>42.528283999999999</v>
      </c>
      <c r="I42" s="3">
        <v>1E-4</v>
      </c>
      <c r="J42" s="3">
        <v>2.5523096462554031</v>
      </c>
      <c r="K42" s="3">
        <v>0.6524331565562036</v>
      </c>
      <c r="L42" s="3">
        <v>1.6426339999999999</v>
      </c>
      <c r="M42" s="3">
        <v>0.62554233314690944</v>
      </c>
      <c r="N42" s="3">
        <v>0.32930354055451472</v>
      </c>
      <c r="O42">
        <f t="shared" si="0"/>
        <v>13</v>
      </c>
    </row>
    <row r="43" spans="1:15" x14ac:dyDescent="0.3">
      <c r="A43" s="3">
        <v>4.9713069999999998E-2</v>
      </c>
      <c r="B43" s="3"/>
      <c r="C43" s="3">
        <v>0.31311858046653779</v>
      </c>
      <c r="D43" s="3">
        <v>9.6469999999999993E-3</v>
      </c>
      <c r="E43" s="3">
        <v>8.5518540000000005</v>
      </c>
      <c r="F43" s="3">
        <v>7.1656500000000003</v>
      </c>
      <c r="G43" s="3">
        <v>44.150669999999998</v>
      </c>
      <c r="H43" s="3">
        <v>42.528283999999999</v>
      </c>
      <c r="I43" s="3">
        <v>1E-4</v>
      </c>
      <c r="J43" s="3"/>
      <c r="K43" s="3">
        <v>0.37203381820939702</v>
      </c>
      <c r="L43" s="3">
        <v>1.6426339999999999</v>
      </c>
      <c r="M43" s="3">
        <v>0.55232036777290161</v>
      </c>
      <c r="N43" s="3">
        <v>0.16099309977936019</v>
      </c>
      <c r="O43">
        <f t="shared" si="0"/>
        <v>12</v>
      </c>
    </row>
    <row r="44" spans="1:15" x14ac:dyDescent="0.3">
      <c r="A44" s="4"/>
      <c r="B44" s="3"/>
      <c r="C44" s="3"/>
      <c r="D44" s="3">
        <v>9.6469999999999993E-3</v>
      </c>
      <c r="E44" s="3">
        <v>8.5518540000000005</v>
      </c>
      <c r="F44" s="3">
        <v>7.1656500000000003</v>
      </c>
      <c r="G44" s="3">
        <v>44.150669999999998</v>
      </c>
      <c r="H44" s="3">
        <v>42.528283999999999</v>
      </c>
      <c r="I44" s="3">
        <v>1E-4</v>
      </c>
      <c r="J44" s="3">
        <v>3.853162958204702</v>
      </c>
      <c r="K44" s="3">
        <v>0.5561711208575485</v>
      </c>
      <c r="L44" s="3">
        <v>1.6426339999999999</v>
      </c>
      <c r="M44" s="3">
        <v>0.45734700779106402</v>
      </c>
      <c r="N44" s="3">
        <v>0.30097147464853968</v>
      </c>
      <c r="O44">
        <f t="shared" si="0"/>
        <v>11</v>
      </c>
    </row>
    <row r="45" spans="1:15" x14ac:dyDescent="0.3">
      <c r="A45" s="3">
        <v>0.1079931138950458</v>
      </c>
      <c r="B45" s="3">
        <v>1.728289082338875</v>
      </c>
      <c r="C45" s="3">
        <v>4.2993726803987578</v>
      </c>
      <c r="D45" s="3">
        <v>9.6469999999999993E-3</v>
      </c>
      <c r="E45" s="3">
        <v>8.5518540000000005</v>
      </c>
      <c r="F45" s="3">
        <v>7.1656500000000003</v>
      </c>
      <c r="G45" s="3">
        <v>44.150669999999998</v>
      </c>
      <c r="H45" s="3">
        <v>42.528283999999999</v>
      </c>
      <c r="I45" s="3">
        <v>1E-4</v>
      </c>
      <c r="J45" s="3">
        <v>1.9108034117474511</v>
      </c>
      <c r="K45" s="3">
        <v>0.1731438874098615</v>
      </c>
      <c r="L45" s="3">
        <v>1.6426339999999999</v>
      </c>
      <c r="M45" s="3">
        <v>0.35409573</v>
      </c>
      <c r="N45" s="3"/>
      <c r="O45">
        <f t="shared" si="0"/>
        <v>13</v>
      </c>
    </row>
    <row r="46" spans="1:15" x14ac:dyDescent="0.3">
      <c r="A46" s="3">
        <v>7.6338007895285567E-2</v>
      </c>
      <c r="B46" s="3">
        <v>2.1484320279473619</v>
      </c>
      <c r="C46" s="3">
        <v>1.475429098981929</v>
      </c>
      <c r="D46" s="3">
        <v>9.6469999999999993E-3</v>
      </c>
      <c r="E46" s="3">
        <v>8.5518540000000005</v>
      </c>
      <c r="F46" s="3">
        <v>7.1656500000000003</v>
      </c>
      <c r="G46" s="3">
        <v>44.150669999999998</v>
      </c>
      <c r="H46" s="3">
        <v>42.528283999999999</v>
      </c>
      <c r="I46" s="3">
        <v>1E-4</v>
      </c>
      <c r="J46" s="3">
        <v>3.7618758667714789</v>
      </c>
      <c r="K46" s="3">
        <v>0.99439372698298123</v>
      </c>
      <c r="L46" s="3">
        <v>1.6426339999999999</v>
      </c>
      <c r="M46" s="3">
        <v>0.37729042300840809</v>
      </c>
      <c r="N46" s="3">
        <v>0.45713889274769082</v>
      </c>
      <c r="O46">
        <f t="shared" si="0"/>
        <v>14</v>
      </c>
    </row>
    <row r="47" spans="1:15" x14ac:dyDescent="0.3">
      <c r="A47" s="3">
        <v>9.5371729442421352E-2</v>
      </c>
      <c r="B47" s="3"/>
      <c r="C47" s="3">
        <v>0.29185519999999998</v>
      </c>
      <c r="D47" s="3">
        <v>9.6469999999999993E-3</v>
      </c>
      <c r="E47" s="3">
        <v>8.5518540000000005</v>
      </c>
      <c r="F47" s="3">
        <v>7.1656500000000003</v>
      </c>
      <c r="G47" s="3">
        <v>44.150669999999998</v>
      </c>
      <c r="H47" s="3">
        <v>42.528283999999999</v>
      </c>
      <c r="I47" s="3">
        <v>1E-4</v>
      </c>
      <c r="J47" s="3">
        <v>3.9691047816148899</v>
      </c>
      <c r="K47" s="3"/>
      <c r="L47" s="3">
        <v>1.6426339999999999</v>
      </c>
      <c r="M47" s="3"/>
      <c r="N47" s="3"/>
      <c r="O47">
        <f t="shared" si="0"/>
        <v>10</v>
      </c>
    </row>
    <row r="48" spans="1:15" x14ac:dyDescent="0.3">
      <c r="A48" s="3">
        <v>4.4611724074754201E-2</v>
      </c>
      <c r="B48" s="3"/>
      <c r="C48" s="3">
        <v>0.78540916525045068</v>
      </c>
      <c r="D48" s="3">
        <v>9.6469999999999993E-3</v>
      </c>
      <c r="E48" s="3">
        <v>8.5518540000000005</v>
      </c>
      <c r="F48" s="3">
        <v>7.1656500000000003</v>
      </c>
      <c r="G48" s="3">
        <v>44.150669999999998</v>
      </c>
      <c r="H48" s="3">
        <v>42.528283999999999</v>
      </c>
      <c r="I48" s="3">
        <v>1E-4</v>
      </c>
      <c r="J48" s="3">
        <v>3.0887805327998801</v>
      </c>
      <c r="K48" s="3">
        <v>0.63577382502144675</v>
      </c>
      <c r="L48" s="3">
        <v>1.6426339999999999</v>
      </c>
      <c r="M48" s="3">
        <v>0.53810147502254213</v>
      </c>
      <c r="N48" s="3">
        <v>0.21795264160310901</v>
      </c>
      <c r="O48">
        <f t="shared" si="0"/>
        <v>13</v>
      </c>
    </row>
    <row r="49" spans="1:15" x14ac:dyDescent="0.3">
      <c r="A49" s="3">
        <v>9.5281571547884178E-2</v>
      </c>
      <c r="B49" s="3">
        <v>3.331226214473054</v>
      </c>
      <c r="C49" s="3"/>
      <c r="D49" s="3">
        <v>9.6469999999999993E-3</v>
      </c>
      <c r="E49" s="3">
        <v>8.5518540000000005</v>
      </c>
      <c r="F49" s="3">
        <v>7.1656500000000003</v>
      </c>
      <c r="G49" s="3">
        <v>44.150669999999998</v>
      </c>
      <c r="H49" s="3">
        <v>42.528283999999999</v>
      </c>
      <c r="I49" s="3">
        <v>1E-4</v>
      </c>
      <c r="J49" s="3">
        <v>1.3428594002424179</v>
      </c>
      <c r="K49" s="3">
        <v>0.99223058602201264</v>
      </c>
      <c r="L49" s="3">
        <v>1.6426339999999999</v>
      </c>
      <c r="M49" s="3">
        <v>0.59821293014856636</v>
      </c>
      <c r="N49" s="3">
        <v>0.36451007621972331</v>
      </c>
      <c r="O49">
        <f t="shared" si="0"/>
        <v>13</v>
      </c>
    </row>
    <row r="50" spans="1:15" x14ac:dyDescent="0.3">
      <c r="A50" s="3">
        <v>4.9643664583569523E-2</v>
      </c>
      <c r="B50" s="3">
        <v>2.9722745354726041</v>
      </c>
      <c r="C50" s="3">
        <v>5.4297146770707574</v>
      </c>
      <c r="D50" s="3">
        <v>9.6469999999999993E-3</v>
      </c>
      <c r="E50" s="3">
        <v>8.5518540000000005</v>
      </c>
      <c r="F50" s="3">
        <v>7.1656500000000003</v>
      </c>
      <c r="G50" s="3">
        <v>44.150669999999998</v>
      </c>
      <c r="H50" s="3">
        <v>42.528283999999999</v>
      </c>
      <c r="I50" s="3">
        <v>1E-4</v>
      </c>
      <c r="J50" s="3"/>
      <c r="K50" s="3">
        <v>0.80815535727297716</v>
      </c>
      <c r="L50" s="3">
        <v>1.6426339999999999</v>
      </c>
      <c r="M50" s="3">
        <v>0.36345241980061638</v>
      </c>
      <c r="N50" s="3">
        <v>0.42112222077518813</v>
      </c>
      <c r="O50">
        <f t="shared" si="0"/>
        <v>13</v>
      </c>
    </row>
    <row r="51" spans="1:15" x14ac:dyDescent="0.3">
      <c r="A51" s="3">
        <v>0.1033758665619207</v>
      </c>
      <c r="B51" s="3"/>
      <c r="C51" s="3">
        <v>1.316810436714732</v>
      </c>
      <c r="D51" s="3">
        <v>9.6469999999999993E-3</v>
      </c>
      <c r="E51" s="3">
        <v>8.5518540000000005</v>
      </c>
      <c r="F51" s="3">
        <v>7.1656500000000003</v>
      </c>
      <c r="G51" s="3">
        <v>44.150669999999998</v>
      </c>
      <c r="H51" s="3">
        <v>42.528283999999999</v>
      </c>
      <c r="I51" s="3">
        <v>1E-4</v>
      </c>
      <c r="J51" s="3">
        <v>3.2706060034619742</v>
      </c>
      <c r="K51" s="3"/>
      <c r="L51" s="3">
        <v>1.6426339999999999</v>
      </c>
      <c r="M51" s="3">
        <v>0.54384241433488878</v>
      </c>
      <c r="N51" s="3">
        <v>0.33642101000000002</v>
      </c>
      <c r="O51">
        <f t="shared" si="0"/>
        <v>12</v>
      </c>
    </row>
    <row r="53" spans="1:15" x14ac:dyDescent="0.3">
      <c r="A53">
        <f>COUNT(A2:A51)</f>
        <v>38</v>
      </c>
      <c r="B53">
        <f>COUNT(B2:B51)</f>
        <v>38</v>
      </c>
      <c r="C53">
        <f t="shared" ref="B53:N53" si="1">COUNT(C2:C51)</f>
        <v>38</v>
      </c>
      <c r="D53">
        <f t="shared" si="1"/>
        <v>50</v>
      </c>
      <c r="E53">
        <f t="shared" si="1"/>
        <v>50</v>
      </c>
      <c r="F53">
        <f t="shared" si="1"/>
        <v>50</v>
      </c>
      <c r="G53">
        <f t="shared" si="1"/>
        <v>50</v>
      </c>
      <c r="H53">
        <f t="shared" si="1"/>
        <v>50</v>
      </c>
      <c r="I53">
        <f t="shared" si="1"/>
        <v>50</v>
      </c>
      <c r="J53">
        <f t="shared" si="1"/>
        <v>38</v>
      </c>
      <c r="K53">
        <f t="shared" si="1"/>
        <v>38</v>
      </c>
      <c r="L53">
        <f t="shared" si="1"/>
        <v>50</v>
      </c>
      <c r="M53">
        <f t="shared" si="1"/>
        <v>38</v>
      </c>
      <c r="N53">
        <f t="shared" si="1"/>
        <v>38</v>
      </c>
    </row>
    <row r="54" spans="1:15" x14ac:dyDescent="0.3">
      <c r="A54">
        <f>AVERAGE(A2:A51)</f>
        <v>0.10251882880988755</v>
      </c>
      <c r="B54">
        <f t="shared" ref="B54:N54" si="2">AVERAGE(B2:B51)</f>
        <v>2.501773426203604</v>
      </c>
      <c r="C54">
        <f t="shared" si="2"/>
        <v>2.4463429696620991</v>
      </c>
      <c r="D54">
        <f t="shared" si="2"/>
        <v>9.6470000000000063E-3</v>
      </c>
      <c r="E54">
        <f t="shared" si="2"/>
        <v>8.5518539999999952</v>
      </c>
      <c r="F54">
        <f t="shared" si="2"/>
        <v>7.1656500000000083</v>
      </c>
      <c r="G54">
        <f t="shared" si="2"/>
        <v>44.150669999999998</v>
      </c>
      <c r="H54">
        <f t="shared" si="2"/>
        <v>42.528283999999992</v>
      </c>
      <c r="I54">
        <f t="shared" si="2"/>
        <v>1E-4</v>
      </c>
      <c r="J54">
        <f t="shared" si="2"/>
        <v>2.6318450118758423</v>
      </c>
      <c r="K54">
        <f t="shared" si="2"/>
        <v>0.76035175207429007</v>
      </c>
      <c r="L54">
        <f t="shared" si="2"/>
        <v>1.6426340000000008</v>
      </c>
      <c r="M54">
        <f t="shared" si="2"/>
        <v>0.5069197863043714</v>
      </c>
      <c r="N54">
        <f t="shared" si="2"/>
        <v>0.33167850969598411</v>
      </c>
    </row>
    <row r="55" spans="1:15" x14ac:dyDescent="0.3">
      <c r="A55">
        <f>MEDIAN(A2:A51)</f>
        <v>0.10214743740067861</v>
      </c>
      <c r="B55">
        <f t="shared" ref="B55:N55" si="3">MEDIAN(B2:B51)</f>
        <v>2.5054859407759498</v>
      </c>
      <c r="C55">
        <f t="shared" si="3"/>
        <v>2.5423268372205379</v>
      </c>
      <c r="D55">
        <f t="shared" si="3"/>
        <v>9.6469999999999993E-3</v>
      </c>
      <c r="E55">
        <f t="shared" si="3"/>
        <v>8.5518540000000005</v>
      </c>
      <c r="F55">
        <f t="shared" si="3"/>
        <v>7.1656500000000003</v>
      </c>
      <c r="G55">
        <f t="shared" si="3"/>
        <v>44.150669999999998</v>
      </c>
      <c r="H55">
        <f t="shared" si="3"/>
        <v>42.528283999999999</v>
      </c>
      <c r="I55">
        <f t="shared" si="3"/>
        <v>1E-4</v>
      </c>
      <c r="J55">
        <f t="shared" si="3"/>
        <v>2.5133304587150462</v>
      </c>
      <c r="K55">
        <f t="shared" si="3"/>
        <v>0.82785309906056748</v>
      </c>
      <c r="L55">
        <f t="shared" si="3"/>
        <v>1.6426339999999999</v>
      </c>
      <c r="M55">
        <f t="shared" si="3"/>
        <v>0.53510007166275741</v>
      </c>
      <c r="N55">
        <f t="shared" si="3"/>
        <v>0.347441921996543</v>
      </c>
    </row>
    <row r="56" spans="1:15" x14ac:dyDescent="0.3">
      <c r="A56">
        <f>STDEVA(A2:A51)</f>
        <v>3.2445010681528483E-2</v>
      </c>
      <c r="B56">
        <f t="shared" ref="B56:N56" si="4">STDEVA(B2:B51)</f>
        <v>0.99550487125673059</v>
      </c>
      <c r="C56">
        <f t="shared" si="4"/>
        <v>1.8801103241956645</v>
      </c>
      <c r="D56">
        <f t="shared" si="4"/>
        <v>7.0093413334097106E-18</v>
      </c>
      <c r="E56">
        <f t="shared" si="4"/>
        <v>5.3831741440586573E-15</v>
      </c>
      <c r="F56">
        <f t="shared" si="4"/>
        <v>8.0747612160879852E-15</v>
      </c>
      <c r="G56">
        <f t="shared" si="4"/>
        <v>0</v>
      </c>
      <c r="H56">
        <f t="shared" si="4"/>
        <v>7.1775655254115436E-15</v>
      </c>
      <c r="I56">
        <f t="shared" si="4"/>
        <v>0</v>
      </c>
      <c r="J56">
        <f t="shared" si="4"/>
        <v>1.0332696154565162</v>
      </c>
      <c r="K56">
        <f t="shared" si="4"/>
        <v>0.25076193065222108</v>
      </c>
      <c r="L56">
        <f t="shared" si="4"/>
        <v>8.9719569067644295E-16</v>
      </c>
      <c r="M56">
        <f t="shared" si="4"/>
        <v>9.4794508624591087E-2</v>
      </c>
      <c r="N56">
        <f t="shared" si="4"/>
        <v>0.10253705200499463</v>
      </c>
    </row>
  </sheetData>
  <conditionalFormatting sqref="A2:A51">
    <cfRule type="top10" dxfId="44" priority="8" percent="1" bottom="1" rank="15"/>
    <cfRule type="top10" dxfId="43" priority="15" percent="1" rank="15"/>
  </conditionalFormatting>
  <conditionalFormatting sqref="B2:B51">
    <cfRule type="top10" dxfId="42" priority="7" percent="1" bottom="1" rank="15"/>
    <cfRule type="top10" dxfId="41" priority="14" percent="1" rank="15"/>
  </conditionalFormatting>
  <conditionalFormatting sqref="C2:C51">
    <cfRule type="top10" dxfId="40" priority="6" percent="1" bottom="1" rank="15"/>
    <cfRule type="top10" dxfId="39" priority="13" percent="1" rank="15"/>
  </conditionalFormatting>
  <conditionalFormatting sqref="J2:J51">
    <cfRule type="top10" dxfId="38" priority="5" percent="1" bottom="1" rank="15"/>
    <cfRule type="top10" dxfId="37" priority="12" percent="1" rank="15"/>
  </conditionalFormatting>
  <conditionalFormatting sqref="K2:K51">
    <cfRule type="top10" dxfId="36" priority="4" percent="1" bottom="1" rank="15"/>
    <cfRule type="top10" dxfId="35" priority="11" percent="1" rank="15"/>
  </conditionalFormatting>
  <conditionalFormatting sqref="N2:N51">
    <cfRule type="top10" dxfId="34" priority="2" percent="1" bottom="1" rank="15"/>
    <cfRule type="top10" dxfId="33" priority="10" percent="1" rank="15"/>
  </conditionalFormatting>
  <conditionalFormatting sqref="M2:M51">
    <cfRule type="top10" dxfId="32" priority="3" percent="1" bottom="1" rank="15"/>
    <cfRule type="top10" dxfId="31" priority="9" percent="1" rank="15"/>
  </conditionalFormatting>
  <conditionalFormatting sqref="O2:O51">
    <cfRule type="cellIs" dxfId="30" priority="1" operator="equal">
      <formula>14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387D-3026-4FEB-88C9-8E102BBD332F}">
  <sheetPr codeName="Hoja7"/>
  <dimension ref="A1:AY62"/>
  <sheetViews>
    <sheetView tabSelected="1" topLeftCell="A7" zoomScale="80" zoomScaleNormal="80" workbookViewId="0">
      <selection activeCell="AZ19" sqref="AZ19"/>
    </sheetView>
  </sheetViews>
  <sheetFormatPr baseColWidth="10" defaultColWidth="8.88671875" defaultRowHeight="14.4" x14ac:dyDescent="0.3"/>
  <cols>
    <col min="1" max="1" width="10.88671875" customWidth="1"/>
    <col min="2" max="2" width="11.44140625" customWidth="1"/>
    <col min="3" max="3" width="11.6640625" customWidth="1"/>
    <col min="4" max="9" width="0" hidden="1" customWidth="1"/>
    <col min="10" max="10" width="11.88671875" customWidth="1"/>
    <col min="11" max="11" width="10.77734375" customWidth="1"/>
    <col min="12" max="12" width="0" hidden="1" customWidth="1"/>
    <col min="13" max="13" width="11.21875" customWidth="1"/>
    <col min="14" max="14" width="11.44140625" customWidth="1"/>
    <col min="16" max="19" width="8.88671875" customWidth="1"/>
  </cols>
  <sheetData>
    <row r="1" spans="1:51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193</v>
      </c>
    </row>
    <row r="2" spans="1:51" x14ac:dyDescent="0.3">
      <c r="A2" s="3">
        <v>7.9591669120431585E-2</v>
      </c>
      <c r="B2" s="3">
        <v>1.2775896728366729</v>
      </c>
      <c r="C2" s="3"/>
      <c r="D2" s="3">
        <v>9.6469999999999993E-3</v>
      </c>
      <c r="E2" s="3">
        <v>8.5518540000000005</v>
      </c>
      <c r="F2" s="3">
        <v>7.1656500000000003</v>
      </c>
      <c r="G2" s="3">
        <v>44.150669999999998</v>
      </c>
      <c r="H2" s="3">
        <v>42.528283999999999</v>
      </c>
      <c r="I2" s="3">
        <v>1E-4</v>
      </c>
      <c r="J2" s="3">
        <v>2.1607735069316112</v>
      </c>
      <c r="K2" s="3">
        <v>0.82252605860305728</v>
      </c>
      <c r="L2" s="3">
        <v>1.6426339999999999</v>
      </c>
      <c r="M2" s="3">
        <v>0.35680740547586048</v>
      </c>
      <c r="N2" s="3">
        <v>0.45267027933618659</v>
      </c>
      <c r="O2">
        <f>COUNT(A2:N2)</f>
        <v>13</v>
      </c>
    </row>
    <row r="3" spans="1:51" x14ac:dyDescent="0.3">
      <c r="A3" s="3">
        <v>9.8766372635100658E-2</v>
      </c>
      <c r="B3" s="3">
        <v>3.6465402710403638</v>
      </c>
      <c r="C3" s="3"/>
      <c r="D3" s="3">
        <v>9.6469999999999993E-3</v>
      </c>
      <c r="E3" s="3">
        <v>8.5518540000000005</v>
      </c>
      <c r="F3" s="3">
        <v>7.1656500000000003</v>
      </c>
      <c r="G3" s="3">
        <v>44.150669999999998</v>
      </c>
      <c r="H3" s="3">
        <v>42.528283999999999</v>
      </c>
      <c r="I3" s="3">
        <v>1E-4</v>
      </c>
      <c r="J3" s="3">
        <v>1.1816009681183359</v>
      </c>
      <c r="K3" s="3">
        <v>0.88822287194601712</v>
      </c>
      <c r="L3" s="3">
        <v>1.6426339999999999</v>
      </c>
      <c r="M3" s="3">
        <v>0.53209866830297281</v>
      </c>
      <c r="N3" s="3">
        <v>0.39887350963340551</v>
      </c>
      <c r="O3">
        <f t="shared" ref="O3:O51" si="0">COUNT(A3:N3)</f>
        <v>13</v>
      </c>
    </row>
    <row r="4" spans="1:51" x14ac:dyDescent="0.3">
      <c r="A4" s="3"/>
      <c r="B4" s="3">
        <v>4.03776096</v>
      </c>
      <c r="C4" s="3">
        <v>4.893633921028858</v>
      </c>
      <c r="D4" s="3">
        <v>9.6469999999999993E-3</v>
      </c>
      <c r="E4" s="3">
        <v>8.5518540000000005</v>
      </c>
      <c r="F4" s="3">
        <v>7.1656500000000003</v>
      </c>
      <c r="G4" s="3">
        <v>44.150669999999998</v>
      </c>
      <c r="H4" s="3">
        <v>42.528283999999999</v>
      </c>
      <c r="I4" s="3">
        <v>1E-4</v>
      </c>
      <c r="J4" s="3"/>
      <c r="K4" s="3">
        <v>0.84916496649548145</v>
      </c>
      <c r="L4" s="3">
        <v>1.6426339999999999</v>
      </c>
      <c r="M4" s="3"/>
      <c r="N4" s="3">
        <v>0.2466999560033826</v>
      </c>
      <c r="O4">
        <f t="shared" si="0"/>
        <v>11</v>
      </c>
    </row>
    <row r="5" spans="1:51" x14ac:dyDescent="0.3">
      <c r="A5" s="3"/>
      <c r="B5" s="3">
        <v>1.4647098509224801</v>
      </c>
      <c r="C5" s="3">
        <v>4.5605109176630076</v>
      </c>
      <c r="D5" s="3">
        <v>9.6469999999999993E-3</v>
      </c>
      <c r="E5" s="3">
        <v>8.5518540000000005</v>
      </c>
      <c r="F5" s="3">
        <v>7.1656500000000003</v>
      </c>
      <c r="G5" s="3">
        <v>44.150669999999998</v>
      </c>
      <c r="H5" s="3">
        <v>42.528283999999999</v>
      </c>
      <c r="I5" s="3">
        <v>1E-4</v>
      </c>
      <c r="J5" s="3">
        <v>2.425115399105819</v>
      </c>
      <c r="K5" s="3">
        <v>0.72470652287394666</v>
      </c>
      <c r="L5" s="3">
        <v>1.6426339999999999</v>
      </c>
      <c r="M5" s="3">
        <v>0.52726656750367029</v>
      </c>
      <c r="N5" s="3">
        <v>0.3430580459790617</v>
      </c>
      <c r="O5">
        <f t="shared" si="0"/>
        <v>13</v>
      </c>
    </row>
    <row r="6" spans="1:51" x14ac:dyDescent="0.3">
      <c r="A6" s="3">
        <v>6.472871915222754E-2</v>
      </c>
      <c r="B6" s="3">
        <v>3.9702093993711252</v>
      </c>
      <c r="C6" s="3">
        <v>1.180538637321028</v>
      </c>
      <c r="D6" s="3">
        <v>9.6469999999999993E-3</v>
      </c>
      <c r="E6" s="3">
        <v>8.5518540000000005</v>
      </c>
      <c r="F6" s="3">
        <v>7.1656500000000003</v>
      </c>
      <c r="G6" s="3">
        <v>44.150669999999998</v>
      </c>
      <c r="H6" s="3">
        <v>42.528283999999999</v>
      </c>
      <c r="I6" s="3">
        <v>1E-4</v>
      </c>
      <c r="J6" s="3">
        <v>1.7779311466140399</v>
      </c>
      <c r="K6" s="3">
        <v>0.21868182914115469</v>
      </c>
      <c r="L6" s="3">
        <v>1.6426339999999999</v>
      </c>
      <c r="M6" s="3">
        <v>0.50789262577800998</v>
      </c>
      <c r="N6" s="3">
        <v>0.24431553740673689</v>
      </c>
      <c r="O6">
        <f t="shared" si="0"/>
        <v>14</v>
      </c>
    </row>
    <row r="7" spans="1:51" x14ac:dyDescent="0.3">
      <c r="A7" s="3"/>
      <c r="B7" s="3">
        <v>3.9483938391554938</v>
      </c>
      <c r="C7" s="3">
        <v>0.38672266013306461</v>
      </c>
      <c r="D7" s="3">
        <v>9.6469999999999993E-3</v>
      </c>
      <c r="E7" s="3">
        <v>8.5518540000000005</v>
      </c>
      <c r="F7" s="3">
        <v>7.1656500000000003</v>
      </c>
      <c r="G7" s="3">
        <v>44.150669999999998</v>
      </c>
      <c r="H7" s="3">
        <v>42.528283999999999</v>
      </c>
      <c r="I7" s="3">
        <v>1E-4</v>
      </c>
      <c r="J7" s="3">
        <v>3.255620818675057</v>
      </c>
      <c r="K7" s="3">
        <v>0.99829186819717619</v>
      </c>
      <c r="L7" s="3">
        <v>1.6426339999999999</v>
      </c>
      <c r="M7" s="3">
        <v>0.6034988410088048</v>
      </c>
      <c r="N7" s="3">
        <v>0.11389696000000001</v>
      </c>
      <c r="O7">
        <f t="shared" si="0"/>
        <v>13</v>
      </c>
    </row>
    <row r="8" spans="1:51" x14ac:dyDescent="0.3">
      <c r="A8" s="3"/>
      <c r="B8" s="3"/>
      <c r="C8" s="3">
        <v>5.1083127893955114</v>
      </c>
      <c r="D8" s="3">
        <v>9.6469999999999993E-3</v>
      </c>
      <c r="E8" s="3">
        <v>8.5518540000000005</v>
      </c>
      <c r="F8" s="3">
        <v>7.1656500000000003</v>
      </c>
      <c r="G8" s="3">
        <v>44.150669999999998</v>
      </c>
      <c r="H8" s="3">
        <v>42.528283999999999</v>
      </c>
      <c r="I8" s="3">
        <v>1E-4</v>
      </c>
      <c r="J8" s="3">
        <v>2.629510266844215</v>
      </c>
      <c r="K8" s="3">
        <v>0.58836422403116395</v>
      </c>
      <c r="L8" s="3">
        <v>1.6426339999999999</v>
      </c>
      <c r="M8" s="3"/>
      <c r="N8" s="3">
        <v>0.34393317151587521</v>
      </c>
      <c r="O8">
        <f t="shared" si="0"/>
        <v>11</v>
      </c>
    </row>
    <row r="9" spans="1:51" x14ac:dyDescent="0.3">
      <c r="A9" s="3">
        <v>8.7481495012858304E-2</v>
      </c>
      <c r="B9" s="3">
        <v>1.4461727354296821</v>
      </c>
      <c r="C9" s="3">
        <v>5.3414239314315353</v>
      </c>
      <c r="D9" s="3">
        <v>9.6469999999999993E-3</v>
      </c>
      <c r="E9" s="3">
        <v>8.5518540000000005</v>
      </c>
      <c r="F9" s="3">
        <v>7.1656500000000003</v>
      </c>
      <c r="G9" s="3">
        <v>44.150669999999998</v>
      </c>
      <c r="H9" s="3">
        <v>42.528283999999999</v>
      </c>
      <c r="I9" s="3">
        <v>1E-4</v>
      </c>
      <c r="J9" s="3">
        <v>3.754208637255438</v>
      </c>
      <c r="K9" s="3">
        <v>0.94292399766561574</v>
      </c>
      <c r="L9" s="3">
        <v>1.6426339999999999</v>
      </c>
      <c r="M9" s="3">
        <v>0.57997025002292379</v>
      </c>
      <c r="N9" s="3">
        <v>0.33046316687705829</v>
      </c>
      <c r="O9">
        <f t="shared" si="0"/>
        <v>14</v>
      </c>
    </row>
    <row r="10" spans="1:51" x14ac:dyDescent="0.3">
      <c r="A10" s="3">
        <v>0.16914051832313759</v>
      </c>
      <c r="B10" s="3">
        <v>3.5405026676757392</v>
      </c>
      <c r="C10" s="3"/>
      <c r="D10" s="3">
        <v>9.6469999999999993E-3</v>
      </c>
      <c r="E10" s="3">
        <v>8.5518540000000005</v>
      </c>
      <c r="F10" s="3">
        <v>7.1656500000000003</v>
      </c>
      <c r="G10" s="3">
        <v>44.150669999999998</v>
      </c>
      <c r="H10" s="3">
        <v>42.528283999999999</v>
      </c>
      <c r="I10" s="3">
        <v>1E-4</v>
      </c>
      <c r="J10" s="3">
        <v>1.4283796721075921</v>
      </c>
      <c r="K10" s="3"/>
      <c r="L10" s="3">
        <v>1.6426339999999999</v>
      </c>
      <c r="M10" s="3">
        <v>0.54601783945066418</v>
      </c>
      <c r="N10" s="3">
        <v>0.35095067247721079</v>
      </c>
      <c r="O10">
        <f t="shared" si="0"/>
        <v>12</v>
      </c>
    </row>
    <row r="11" spans="1:51" s="3" customFormat="1" x14ac:dyDescent="0.3">
      <c r="A11" s="3">
        <v>0.131711066807083</v>
      </c>
      <c r="B11" s="3">
        <v>1.2803780296643441</v>
      </c>
      <c r="C11" s="3">
        <v>2.7189684162254459</v>
      </c>
      <c r="D11" s="3">
        <v>9.6469999999999993E-3</v>
      </c>
      <c r="E11" s="3">
        <v>8.5518540000000005</v>
      </c>
      <c r="F11" s="3">
        <v>7.1656500000000003</v>
      </c>
      <c r="G11" s="3">
        <v>44.150669999999998</v>
      </c>
      <c r="H11" s="3">
        <v>42.528283999999999</v>
      </c>
      <c r="I11" s="3">
        <v>1E-4</v>
      </c>
      <c r="J11" s="3">
        <v>2.5192987561038431</v>
      </c>
      <c r="K11" s="3">
        <v>0.34308949828818591</v>
      </c>
      <c r="L11" s="3">
        <v>1.6426339999999999</v>
      </c>
      <c r="M11" s="3">
        <v>0.39204389479805929</v>
      </c>
      <c r="N11" s="3">
        <v>0.43880277409739332</v>
      </c>
      <c r="O11">
        <f t="shared" si="0"/>
        <v>14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x14ac:dyDescent="0.3">
      <c r="A12" s="3">
        <v>8.8032865941792313E-2</v>
      </c>
      <c r="B12" s="3"/>
      <c r="C12" s="3">
        <v>0.33911376185990011</v>
      </c>
      <c r="D12" s="3">
        <v>9.6469999999999993E-3</v>
      </c>
      <c r="E12" s="3">
        <v>8.5518540000000005</v>
      </c>
      <c r="F12" s="3">
        <v>7.1656500000000003</v>
      </c>
      <c r="G12" s="3">
        <v>44.150669999999998</v>
      </c>
      <c r="H12" s="3">
        <v>42.528283999999999</v>
      </c>
      <c r="I12" s="3">
        <v>1E-4</v>
      </c>
      <c r="J12" s="3">
        <v>3.4184327761098738</v>
      </c>
      <c r="K12" s="3"/>
      <c r="L12" s="3">
        <v>1.6426339999999999</v>
      </c>
      <c r="M12" s="3">
        <v>0.62192843768557216</v>
      </c>
      <c r="N12" s="3"/>
      <c r="O12">
        <f t="shared" si="0"/>
        <v>11</v>
      </c>
    </row>
    <row r="13" spans="1:51" x14ac:dyDescent="0.3">
      <c r="A13" s="3">
        <v>0.1169669628071545</v>
      </c>
      <c r="B13" s="3">
        <v>2.2710167679059632</v>
      </c>
      <c r="C13" s="3">
        <v>0.57718207759030193</v>
      </c>
      <c r="D13" s="3">
        <v>9.6469999999999993E-3</v>
      </c>
      <c r="E13" s="3">
        <v>8.5518540000000005</v>
      </c>
      <c r="F13" s="3">
        <v>7.1656500000000003</v>
      </c>
      <c r="G13" s="3">
        <v>44.150669999999998</v>
      </c>
      <c r="H13" s="3">
        <v>42.528283999999999</v>
      </c>
      <c r="I13" s="3">
        <v>1E-4</v>
      </c>
      <c r="J13" s="3"/>
      <c r="K13" s="3"/>
      <c r="L13" s="3">
        <v>1.6426339999999999</v>
      </c>
      <c r="M13" s="3">
        <v>0.54891150406931755</v>
      </c>
      <c r="N13" s="3">
        <v>0.2369861228432418</v>
      </c>
      <c r="O13">
        <f t="shared" si="0"/>
        <v>12</v>
      </c>
    </row>
    <row r="14" spans="1:51" x14ac:dyDescent="0.3">
      <c r="A14" s="3">
        <v>0.13543101585881839</v>
      </c>
      <c r="B14" s="3">
        <v>2.1675745542474041</v>
      </c>
      <c r="C14" s="3">
        <v>0.44371357160502928</v>
      </c>
      <c r="D14" s="3">
        <v>9.6469999999999993E-3</v>
      </c>
      <c r="E14" s="3">
        <v>8.5518540000000005</v>
      </c>
      <c r="F14" s="3">
        <v>7.1656500000000003</v>
      </c>
      <c r="G14" s="3">
        <v>44.150669999999998</v>
      </c>
      <c r="H14" s="3">
        <v>42.528283999999999</v>
      </c>
      <c r="I14" s="3">
        <v>1E-4</v>
      </c>
      <c r="J14" s="3"/>
      <c r="K14" s="3"/>
      <c r="L14" s="3">
        <v>1.6426339999999999</v>
      </c>
      <c r="M14" s="3">
        <v>0.56821626431158878</v>
      </c>
      <c r="N14" s="3">
        <v>0.32018714573871382</v>
      </c>
      <c r="O14">
        <f t="shared" si="0"/>
        <v>12</v>
      </c>
    </row>
    <row r="15" spans="1:51" x14ac:dyDescent="0.3">
      <c r="A15" s="3">
        <v>0.1534114159421463</v>
      </c>
      <c r="B15" s="3">
        <v>0.95909898000000005</v>
      </c>
      <c r="C15" s="3">
        <v>3.1739355788760122</v>
      </c>
      <c r="D15" s="3">
        <v>9.6469999999999993E-3</v>
      </c>
      <c r="E15" s="3">
        <v>8.5518540000000005</v>
      </c>
      <c r="F15" s="3">
        <v>7.1656500000000003</v>
      </c>
      <c r="G15" s="3">
        <v>44.150669999999998</v>
      </c>
      <c r="H15" s="3">
        <v>42.528283999999999</v>
      </c>
      <c r="I15" s="3">
        <v>1E-4</v>
      </c>
      <c r="J15" s="3">
        <v>4.4949406730690553</v>
      </c>
      <c r="K15" s="3">
        <v>0.83074837802974244</v>
      </c>
      <c r="L15" s="3">
        <v>1.6426339999999999</v>
      </c>
      <c r="M15" s="3"/>
      <c r="N15" s="3">
        <v>0.3149494549068898</v>
      </c>
      <c r="O15">
        <f t="shared" si="0"/>
        <v>13</v>
      </c>
    </row>
    <row r="16" spans="1:51" x14ac:dyDescent="0.3">
      <c r="A16" s="3">
        <v>0.10919431527604841</v>
      </c>
      <c r="B16" s="3"/>
      <c r="C16" s="3">
        <v>0.42149702139665751</v>
      </c>
      <c r="D16" s="3">
        <v>9.6469999999999993E-3</v>
      </c>
      <c r="E16" s="3">
        <v>8.5518540000000005</v>
      </c>
      <c r="F16" s="3">
        <v>7.1656500000000003</v>
      </c>
      <c r="G16" s="3">
        <v>44.150669999999998</v>
      </c>
      <c r="H16" s="3">
        <v>42.528283999999999</v>
      </c>
      <c r="I16" s="3">
        <v>1E-4</v>
      </c>
      <c r="J16" s="3">
        <v>2.8783516430630258</v>
      </c>
      <c r="K16" s="3">
        <v>0.6689549422052169</v>
      </c>
      <c r="L16" s="3">
        <v>1.6426339999999999</v>
      </c>
      <c r="M16" s="3"/>
      <c r="N16" s="3"/>
      <c r="O16">
        <f t="shared" si="0"/>
        <v>11</v>
      </c>
    </row>
    <row r="17" spans="1:15" x14ac:dyDescent="0.3">
      <c r="A17" s="3"/>
      <c r="B17" s="3">
        <v>1.1274938999999999</v>
      </c>
      <c r="C17" s="3">
        <v>3.092042495539713</v>
      </c>
      <c r="D17" s="3">
        <v>9.6469999999999993E-3</v>
      </c>
      <c r="E17" s="3">
        <v>8.5518540000000005</v>
      </c>
      <c r="F17" s="3">
        <v>7.1656500000000003</v>
      </c>
      <c r="G17" s="3">
        <v>44.150669999999998</v>
      </c>
      <c r="H17" s="3">
        <v>42.528283999999999</v>
      </c>
      <c r="I17" s="3">
        <v>1E-4</v>
      </c>
      <c r="J17" s="3">
        <v>2.471230373218726</v>
      </c>
      <c r="K17" s="3">
        <v>0.26201798906588591</v>
      </c>
      <c r="L17" s="3">
        <v>1.6426339999999999</v>
      </c>
      <c r="M17" s="3">
        <v>0.39369724135998557</v>
      </c>
      <c r="N17" s="3"/>
      <c r="O17">
        <f t="shared" si="0"/>
        <v>12</v>
      </c>
    </row>
    <row r="18" spans="1:15" x14ac:dyDescent="0.3">
      <c r="A18" s="3">
        <v>0.1247409847184488</v>
      </c>
      <c r="B18" s="3">
        <v>2.0617667729750901</v>
      </c>
      <c r="C18" s="3"/>
      <c r="D18" s="3">
        <v>9.6469999999999993E-3</v>
      </c>
      <c r="E18" s="3">
        <v>8.5518540000000005</v>
      </c>
      <c r="F18" s="3">
        <v>7.1656500000000003</v>
      </c>
      <c r="G18" s="3">
        <v>44.150669999999998</v>
      </c>
      <c r="H18" s="3">
        <v>42.528283999999999</v>
      </c>
      <c r="I18" s="3">
        <v>1E-4</v>
      </c>
      <c r="J18" s="3">
        <v>2.11150873794552</v>
      </c>
      <c r="K18" s="3">
        <v>0.99638664340240357</v>
      </c>
      <c r="L18" s="3">
        <v>1.6426339999999999</v>
      </c>
      <c r="M18" s="3">
        <v>0.60028149619551618</v>
      </c>
      <c r="N18" s="3">
        <v>0.35570150974047682</v>
      </c>
      <c r="O18">
        <f t="shared" si="0"/>
        <v>13</v>
      </c>
    </row>
    <row r="19" spans="1:15" x14ac:dyDescent="0.3">
      <c r="A19" s="3">
        <v>7.4887903519829518E-2</v>
      </c>
      <c r="B19" s="3">
        <v>1.6597110508188599</v>
      </c>
      <c r="C19" s="3"/>
      <c r="D19" s="3">
        <v>9.6469999999999993E-3</v>
      </c>
      <c r="E19" s="3">
        <v>8.5518540000000005</v>
      </c>
      <c r="F19" s="3">
        <v>7.1656500000000003</v>
      </c>
      <c r="G19" s="3">
        <v>44.150669999999998</v>
      </c>
      <c r="H19" s="3">
        <v>42.528283999999999</v>
      </c>
      <c r="I19" s="3">
        <v>1E-4</v>
      </c>
      <c r="J19" s="3">
        <v>1.878639362892996</v>
      </c>
      <c r="K19" s="3">
        <v>0.9307014604157966</v>
      </c>
      <c r="L19" s="3">
        <v>1.6426339999999999</v>
      </c>
      <c r="M19" s="3"/>
      <c r="N19" s="3">
        <v>0.43621617173692429</v>
      </c>
      <c r="O19">
        <f t="shared" si="0"/>
        <v>12</v>
      </c>
    </row>
    <row r="20" spans="1:15" x14ac:dyDescent="0.3">
      <c r="A20" s="3">
        <v>0.14829744064733261</v>
      </c>
      <c r="B20" s="3">
        <v>2.8201904669098701</v>
      </c>
      <c r="C20" s="3">
        <v>0.27074727999999998</v>
      </c>
      <c r="D20" s="3">
        <v>9.6469999999999993E-3</v>
      </c>
      <c r="E20" s="3">
        <v>8.5518540000000005</v>
      </c>
      <c r="F20" s="3">
        <v>7.1656500000000003</v>
      </c>
      <c r="G20" s="3">
        <v>44.150669999999998</v>
      </c>
      <c r="H20" s="3">
        <v>42.528283999999999</v>
      </c>
      <c r="I20" s="3">
        <v>1E-4</v>
      </c>
      <c r="J20" s="3"/>
      <c r="K20" s="3">
        <v>0.99550952113101554</v>
      </c>
      <c r="L20" s="3">
        <v>1.6426339999999999</v>
      </c>
      <c r="M20" s="3"/>
      <c r="N20" s="3">
        <v>0.16383814585034409</v>
      </c>
      <c r="O20">
        <f t="shared" si="0"/>
        <v>12</v>
      </c>
    </row>
    <row r="21" spans="1:15" x14ac:dyDescent="0.3">
      <c r="A21" s="3"/>
      <c r="B21" s="3">
        <v>1.581350856340892</v>
      </c>
      <c r="C21" s="3">
        <v>2.3656852582156298</v>
      </c>
      <c r="D21" s="3">
        <v>9.6469999999999993E-3</v>
      </c>
      <c r="E21" s="3">
        <v>8.5518540000000005</v>
      </c>
      <c r="F21" s="3">
        <v>7.1656500000000003</v>
      </c>
      <c r="G21" s="3">
        <v>44.150669999999998</v>
      </c>
      <c r="H21" s="3">
        <v>42.528283999999999</v>
      </c>
      <c r="I21" s="3">
        <v>1E-4</v>
      </c>
      <c r="J21" s="3">
        <v>2.5073621613262498</v>
      </c>
      <c r="K21" s="3">
        <v>0.86465860694325269</v>
      </c>
      <c r="L21" s="3">
        <v>1.6426339999999999</v>
      </c>
      <c r="M21" s="3">
        <v>0.45099099543516691</v>
      </c>
      <c r="N21" s="3">
        <v>0.37132148128167219</v>
      </c>
      <c r="O21">
        <f t="shared" si="0"/>
        <v>13</v>
      </c>
    </row>
    <row r="22" spans="1:15" x14ac:dyDescent="0.3">
      <c r="A22" s="3">
        <v>0.1007806174028873</v>
      </c>
      <c r="B22" s="3">
        <v>3.1013839769131928</v>
      </c>
      <c r="C22" s="3">
        <v>0.3880276905116356</v>
      </c>
      <c r="D22" s="3">
        <v>9.6469999999999993E-3</v>
      </c>
      <c r="E22" s="3">
        <v>8.5518540000000005</v>
      </c>
      <c r="F22" s="3">
        <v>7.1656500000000003</v>
      </c>
      <c r="G22" s="3">
        <v>44.150669999999998</v>
      </c>
      <c r="H22" s="3">
        <v>42.528283999999999</v>
      </c>
      <c r="I22" s="3">
        <v>1E-4</v>
      </c>
      <c r="J22" s="3"/>
      <c r="K22" s="3"/>
      <c r="L22" s="3">
        <v>1.6426339999999999</v>
      </c>
      <c r="M22" s="3">
        <v>0.59871415946888007</v>
      </c>
      <c r="N22" s="3">
        <v>0.1376576989796609</v>
      </c>
      <c r="O22">
        <f t="shared" si="0"/>
        <v>12</v>
      </c>
    </row>
    <row r="23" spans="1:15" x14ac:dyDescent="0.3">
      <c r="A23" s="3">
        <v>5.210099899692875E-2</v>
      </c>
      <c r="B23" s="3">
        <v>3.015522408377767</v>
      </c>
      <c r="C23" s="3"/>
      <c r="D23" s="3">
        <v>9.6469999999999993E-3</v>
      </c>
      <c r="E23" s="3">
        <v>8.5518540000000005</v>
      </c>
      <c r="F23" s="3">
        <v>7.1656500000000003</v>
      </c>
      <c r="G23" s="3">
        <v>44.150669999999998</v>
      </c>
      <c r="H23" s="3">
        <v>42.528283999999999</v>
      </c>
      <c r="I23" s="3">
        <v>1E-4</v>
      </c>
      <c r="J23" s="3">
        <v>1.1906484209683921</v>
      </c>
      <c r="K23" s="3">
        <v>0.81419279270488276</v>
      </c>
      <c r="L23" s="3">
        <v>1.6426339999999999</v>
      </c>
      <c r="M23" s="3">
        <v>0.40469248406287478</v>
      </c>
      <c r="N23" s="3">
        <v>0.40732257988081888</v>
      </c>
      <c r="O23">
        <f t="shared" si="0"/>
        <v>13</v>
      </c>
    </row>
    <row r="24" spans="1:15" x14ac:dyDescent="0.3">
      <c r="A24" s="3">
        <v>4.6474636586851983E-2</v>
      </c>
      <c r="B24" s="3">
        <v>3.7605962647048039</v>
      </c>
      <c r="C24" s="3">
        <v>2.2957334841377941</v>
      </c>
      <c r="D24" s="3">
        <v>9.6469999999999993E-3</v>
      </c>
      <c r="E24" s="3">
        <v>8.5518540000000005</v>
      </c>
      <c r="F24" s="3">
        <v>7.1656500000000003</v>
      </c>
      <c r="G24" s="3">
        <v>44.150669999999998</v>
      </c>
      <c r="H24" s="3">
        <v>42.528283999999999</v>
      </c>
      <c r="I24" s="3">
        <v>1E-4</v>
      </c>
      <c r="J24" s="3">
        <v>2.9958857853356449</v>
      </c>
      <c r="K24" s="3">
        <v>0.61806702516702294</v>
      </c>
      <c r="L24" s="3">
        <v>1.6426339999999999</v>
      </c>
      <c r="M24" s="3"/>
      <c r="N24" s="3"/>
      <c r="O24">
        <f t="shared" si="0"/>
        <v>12</v>
      </c>
    </row>
    <row r="25" spans="1:15" x14ac:dyDescent="0.3">
      <c r="A25" s="3"/>
      <c r="B25" s="3">
        <v>2.0911938493088078</v>
      </c>
      <c r="C25" s="3">
        <v>4.3728829139642666</v>
      </c>
      <c r="D25" s="3">
        <v>9.6469999999999993E-3</v>
      </c>
      <c r="E25" s="3">
        <v>8.5518540000000005</v>
      </c>
      <c r="F25" s="3">
        <v>7.1656500000000003</v>
      </c>
      <c r="G25" s="3">
        <v>44.150669999999998</v>
      </c>
      <c r="H25" s="3">
        <v>42.528283999999999</v>
      </c>
      <c r="I25" s="3">
        <v>1E-4</v>
      </c>
      <c r="J25" s="3">
        <v>2.1389694010000002</v>
      </c>
      <c r="K25" s="3"/>
      <c r="L25" s="3">
        <v>1.6426339999999999</v>
      </c>
      <c r="M25" s="3">
        <v>0.59852158661471366</v>
      </c>
      <c r="N25" s="3">
        <v>0.33301313040425051</v>
      </c>
      <c r="O25">
        <f t="shared" si="0"/>
        <v>12</v>
      </c>
    </row>
    <row r="26" spans="1:15" x14ac:dyDescent="0.3">
      <c r="A26" s="3">
        <v>0.14069450013491799</v>
      </c>
      <c r="B26" s="3">
        <v>3.174672574828024</v>
      </c>
      <c r="C26" s="3">
        <v>0.32192459528220269</v>
      </c>
      <c r="D26" s="3">
        <v>9.6469999999999993E-3</v>
      </c>
      <c r="E26" s="3">
        <v>8.5518540000000005</v>
      </c>
      <c r="F26" s="3">
        <v>7.1656500000000003</v>
      </c>
      <c r="G26" s="3">
        <v>44.150669999999998</v>
      </c>
      <c r="H26" s="3">
        <v>42.528283999999999</v>
      </c>
      <c r="I26" s="3">
        <v>1E-4</v>
      </c>
      <c r="J26" s="3"/>
      <c r="K26" s="3"/>
      <c r="L26" s="3">
        <v>1.6426339999999999</v>
      </c>
      <c r="M26" s="3">
        <v>0.62628627000000003</v>
      </c>
      <c r="N26" s="3">
        <v>0.17305469620323699</v>
      </c>
      <c r="O26">
        <f t="shared" si="0"/>
        <v>12</v>
      </c>
    </row>
    <row r="27" spans="1:15" x14ac:dyDescent="0.3">
      <c r="A27" s="3">
        <v>8.5631191895631953E-2</v>
      </c>
      <c r="B27" s="3"/>
      <c r="C27" s="3">
        <v>0.29589317999999998</v>
      </c>
      <c r="D27" s="3">
        <v>9.6469999999999993E-3</v>
      </c>
      <c r="E27" s="3">
        <v>8.5518540000000005</v>
      </c>
      <c r="F27" s="3">
        <v>7.1656500000000003</v>
      </c>
      <c r="G27" s="3">
        <v>44.150669999999998</v>
      </c>
      <c r="H27" s="3">
        <v>42.528283999999999</v>
      </c>
      <c r="I27" s="3">
        <v>1E-4</v>
      </c>
      <c r="J27" s="3">
        <v>2.6592132432596638</v>
      </c>
      <c r="K27" s="3">
        <v>0.99954290000000001</v>
      </c>
      <c r="L27" s="3">
        <v>1.6426339999999999</v>
      </c>
      <c r="M27" s="3"/>
      <c r="N27" s="3"/>
      <c r="O27">
        <f t="shared" si="0"/>
        <v>11</v>
      </c>
    </row>
    <row r="28" spans="1:15" x14ac:dyDescent="0.3">
      <c r="A28" s="3">
        <v>0.13621594000000001</v>
      </c>
      <c r="B28" s="3"/>
      <c r="C28" s="3">
        <v>4.4254863447449537</v>
      </c>
      <c r="D28" s="3">
        <v>9.6469999999999993E-3</v>
      </c>
      <c r="E28" s="3">
        <v>8.5518540000000005</v>
      </c>
      <c r="F28" s="3">
        <v>7.1656500000000003</v>
      </c>
      <c r="G28" s="3">
        <v>44.150669999999998</v>
      </c>
      <c r="H28" s="3">
        <v>42.528283999999999</v>
      </c>
      <c r="I28" s="3">
        <v>1E-4</v>
      </c>
      <c r="J28" s="3"/>
      <c r="K28" s="3">
        <v>0.99944615999999997</v>
      </c>
      <c r="L28" s="3">
        <v>1.6426339999999999</v>
      </c>
      <c r="M28" s="3">
        <v>0.46167342682691231</v>
      </c>
      <c r="N28" s="3">
        <v>0.46000879976541909</v>
      </c>
      <c r="O28">
        <f t="shared" si="0"/>
        <v>12</v>
      </c>
    </row>
    <row r="29" spans="1:15" x14ac:dyDescent="0.3">
      <c r="A29" s="3">
        <v>0.1038050282684658</v>
      </c>
      <c r="B29" s="3">
        <v>2.1510199708419919</v>
      </c>
      <c r="C29" s="3">
        <v>4.6485538465200511</v>
      </c>
      <c r="D29" s="3">
        <v>9.6469999999999993E-3</v>
      </c>
      <c r="E29" s="3">
        <v>8.5518540000000005</v>
      </c>
      <c r="F29" s="3">
        <v>7.1656500000000003</v>
      </c>
      <c r="G29" s="3">
        <v>44.150669999999998</v>
      </c>
      <c r="H29" s="3">
        <v>42.528283999999999</v>
      </c>
      <c r="I29" s="3">
        <v>1E-4</v>
      </c>
      <c r="J29" s="3">
        <v>1.687027607910689</v>
      </c>
      <c r="K29" s="3">
        <v>0.98225824301224984</v>
      </c>
      <c r="L29" s="3">
        <v>1.6426339999999999</v>
      </c>
      <c r="M29" s="3">
        <v>0.34377987999999998</v>
      </c>
      <c r="N29" s="3"/>
      <c r="O29">
        <f t="shared" si="0"/>
        <v>13</v>
      </c>
    </row>
    <row r="30" spans="1:15" x14ac:dyDescent="0.3">
      <c r="A30" s="3">
        <v>0.12482275810710131</v>
      </c>
      <c r="B30" s="3">
        <v>4.375140557470278</v>
      </c>
      <c r="C30" s="3"/>
      <c r="D30" s="3">
        <v>9.6469999999999993E-3</v>
      </c>
      <c r="E30" s="3">
        <v>8.5518540000000005</v>
      </c>
      <c r="F30" s="3">
        <v>7.1656500000000003</v>
      </c>
      <c r="G30" s="3">
        <v>44.150669999999998</v>
      </c>
      <c r="H30" s="3">
        <v>42.528283999999999</v>
      </c>
      <c r="I30" s="3">
        <v>1E-4</v>
      </c>
      <c r="J30" s="3">
        <v>4.3635049261817116</v>
      </c>
      <c r="K30" s="3"/>
      <c r="L30" s="3">
        <v>1.6426339999999999</v>
      </c>
      <c r="M30" s="3"/>
      <c r="N30" s="3"/>
      <c r="O30">
        <f t="shared" si="0"/>
        <v>10</v>
      </c>
    </row>
    <row r="31" spans="1:15" x14ac:dyDescent="0.3">
      <c r="A31" s="3"/>
      <c r="B31" s="3">
        <v>1.286000710709591</v>
      </c>
      <c r="C31" s="3">
        <v>4.0267090952175906</v>
      </c>
      <c r="D31" s="3">
        <v>9.6469999999999993E-3</v>
      </c>
      <c r="E31" s="3">
        <v>8.5518540000000005</v>
      </c>
      <c r="F31" s="3">
        <v>7.1656500000000003</v>
      </c>
      <c r="G31" s="3">
        <v>44.150669999999998</v>
      </c>
      <c r="H31" s="3">
        <v>42.528283999999999</v>
      </c>
      <c r="I31" s="3">
        <v>1E-4</v>
      </c>
      <c r="J31" s="3">
        <v>2.0931151216855439</v>
      </c>
      <c r="K31" s="3">
        <v>0.35553288806227201</v>
      </c>
      <c r="L31" s="3">
        <v>1.6426339999999999</v>
      </c>
      <c r="M31" s="3">
        <v>0.55917117410030059</v>
      </c>
      <c r="N31" s="3">
        <v>0.38187394947779479</v>
      </c>
      <c r="O31">
        <f t="shared" si="0"/>
        <v>13</v>
      </c>
    </row>
    <row r="32" spans="1:15" x14ac:dyDescent="0.3">
      <c r="A32" s="3">
        <v>0.14191534691450619</v>
      </c>
      <c r="B32" s="3">
        <v>2.7399551136459368</v>
      </c>
      <c r="C32" s="3"/>
      <c r="D32" s="3">
        <v>9.6469999999999993E-3</v>
      </c>
      <c r="E32" s="3">
        <v>8.5518540000000005</v>
      </c>
      <c r="F32" s="3">
        <v>7.1656500000000003</v>
      </c>
      <c r="G32" s="3">
        <v>44.150669999999998</v>
      </c>
      <c r="H32" s="3">
        <v>42.528283999999999</v>
      </c>
      <c r="I32" s="3">
        <v>1E-4</v>
      </c>
      <c r="J32" s="3">
        <v>1.4421003378878381</v>
      </c>
      <c r="K32" s="3">
        <v>0.97176326153770465</v>
      </c>
      <c r="L32" s="3">
        <v>1.6426339999999999</v>
      </c>
      <c r="M32" s="3">
        <v>0.52973155657927862</v>
      </c>
      <c r="N32" s="3">
        <v>0.38153331065287138</v>
      </c>
      <c r="O32">
        <f t="shared" si="0"/>
        <v>13</v>
      </c>
    </row>
    <row r="33" spans="1:15" x14ac:dyDescent="0.3">
      <c r="A33" s="3">
        <v>8.9467123665495668E-2</v>
      </c>
      <c r="B33" s="3">
        <v>3.7912187764253291</v>
      </c>
      <c r="C33" s="3"/>
      <c r="D33" s="3">
        <v>9.6469999999999993E-3</v>
      </c>
      <c r="E33" s="3">
        <v>8.5518540000000005</v>
      </c>
      <c r="F33" s="3">
        <v>7.1656500000000003</v>
      </c>
      <c r="G33" s="3">
        <v>44.150669999999998</v>
      </c>
      <c r="H33" s="3">
        <v>42.528283999999999</v>
      </c>
      <c r="I33" s="3">
        <v>1E-4</v>
      </c>
      <c r="J33" s="3">
        <v>5.0569275859999996</v>
      </c>
      <c r="K33" s="3">
        <v>0.8176213061425609</v>
      </c>
      <c r="L33" s="3">
        <v>1.6426339999999999</v>
      </c>
      <c r="M33" s="3">
        <v>0.61239908106267815</v>
      </c>
      <c r="N33" s="3"/>
      <c r="O33">
        <f t="shared" si="0"/>
        <v>12</v>
      </c>
    </row>
    <row r="34" spans="1:15" x14ac:dyDescent="0.3">
      <c r="A34" s="3">
        <v>0.1009190082394365</v>
      </c>
      <c r="B34" s="3"/>
      <c r="C34" s="3">
        <v>4.1061464659955309</v>
      </c>
      <c r="D34" s="3">
        <v>9.6469999999999993E-3</v>
      </c>
      <c r="E34" s="3">
        <v>8.5518540000000005</v>
      </c>
      <c r="F34" s="3">
        <v>7.1656500000000003</v>
      </c>
      <c r="G34" s="3">
        <v>44.150669999999998</v>
      </c>
      <c r="H34" s="3">
        <v>42.528283999999999</v>
      </c>
      <c r="I34" s="3">
        <v>1E-4</v>
      </c>
      <c r="J34" s="3">
        <v>1.1660414050000001</v>
      </c>
      <c r="K34" s="3">
        <v>0.90954387778796719</v>
      </c>
      <c r="L34" s="3">
        <v>1.6426339999999999</v>
      </c>
      <c r="M34" s="3">
        <v>0.4126071456982176</v>
      </c>
      <c r="N34" s="3">
        <v>0.46872665387361861</v>
      </c>
      <c r="O34">
        <f t="shared" si="0"/>
        <v>13</v>
      </c>
    </row>
    <row r="35" spans="1:15" x14ac:dyDescent="0.3">
      <c r="A35" s="3"/>
      <c r="B35" s="3"/>
      <c r="C35" s="3">
        <v>4.0059583967442114</v>
      </c>
      <c r="D35" s="3">
        <v>9.6469999999999993E-3</v>
      </c>
      <c r="E35" s="3">
        <v>8.5518540000000005</v>
      </c>
      <c r="F35" s="3">
        <v>7.1656500000000003</v>
      </c>
      <c r="G35" s="3">
        <v>44.150669999999998</v>
      </c>
      <c r="H35" s="3">
        <v>42.528283999999999</v>
      </c>
      <c r="I35" s="3">
        <v>1E-4</v>
      </c>
      <c r="J35" s="3">
        <v>4.252325426065541</v>
      </c>
      <c r="K35" s="3">
        <v>0.95427111021416655</v>
      </c>
      <c r="L35" s="3">
        <v>1.6426339999999999</v>
      </c>
      <c r="M35" s="3">
        <v>0.61320962287952185</v>
      </c>
      <c r="N35" s="3">
        <v>0.4156812945679253</v>
      </c>
      <c r="O35">
        <f t="shared" si="0"/>
        <v>12</v>
      </c>
    </row>
    <row r="36" spans="1:15" x14ac:dyDescent="0.3">
      <c r="A36" s="3">
        <v>6.9670662460170188E-2</v>
      </c>
      <c r="B36" s="3">
        <v>3.1060014804906468</v>
      </c>
      <c r="C36" s="3">
        <v>4.7532143132203437</v>
      </c>
      <c r="D36" s="3">
        <v>9.6469999999999993E-3</v>
      </c>
      <c r="E36" s="3">
        <v>8.5518540000000005</v>
      </c>
      <c r="F36" s="3">
        <v>7.1656500000000003</v>
      </c>
      <c r="G36" s="3">
        <v>44.150669999999998</v>
      </c>
      <c r="H36" s="3">
        <v>42.528283999999999</v>
      </c>
      <c r="I36" s="3">
        <v>1E-4</v>
      </c>
      <c r="J36" s="3">
        <v>1.281974422227417</v>
      </c>
      <c r="K36" s="3">
        <v>0.82495782009139251</v>
      </c>
      <c r="L36" s="3">
        <v>1.6426339999999999</v>
      </c>
      <c r="M36" s="3">
        <v>0.37588761330540049</v>
      </c>
      <c r="N36" s="3">
        <v>0.42550928027932139</v>
      </c>
      <c r="O36">
        <f t="shared" si="0"/>
        <v>14</v>
      </c>
    </row>
    <row r="37" spans="1:15" x14ac:dyDescent="0.3">
      <c r="A37" s="3"/>
      <c r="B37" s="3">
        <v>1.279621368416282</v>
      </c>
      <c r="C37" s="3">
        <v>4.2088484938113222</v>
      </c>
      <c r="D37" s="3">
        <v>9.6469999999999993E-3</v>
      </c>
      <c r="E37" s="3">
        <v>8.5518540000000005</v>
      </c>
      <c r="F37" s="3">
        <v>7.1656500000000003</v>
      </c>
      <c r="G37" s="3">
        <v>44.150669999999998</v>
      </c>
      <c r="H37" s="3">
        <v>42.528283999999999</v>
      </c>
      <c r="I37" s="3">
        <v>1E-4</v>
      </c>
      <c r="J37" s="3">
        <v>2.1006337460212632</v>
      </c>
      <c r="K37" s="3">
        <v>0.99588913113327215</v>
      </c>
      <c r="L37" s="3">
        <v>1.6426339999999999</v>
      </c>
      <c r="M37" s="3">
        <v>0.46611857605913842</v>
      </c>
      <c r="N37" s="3">
        <v>0.38530408581084519</v>
      </c>
      <c r="O37">
        <f t="shared" si="0"/>
        <v>13</v>
      </c>
    </row>
    <row r="38" spans="1:15" x14ac:dyDescent="0.3">
      <c r="A38" s="3">
        <v>0.1094464579719584</v>
      </c>
      <c r="B38" s="3">
        <v>3.0789013453249461</v>
      </c>
      <c r="C38" s="3">
        <v>0.41024012838144058</v>
      </c>
      <c r="D38" s="3">
        <v>9.6469999999999993E-3</v>
      </c>
      <c r="E38" s="3">
        <v>8.5518540000000005</v>
      </c>
      <c r="F38" s="3">
        <v>7.1656500000000003</v>
      </c>
      <c r="G38" s="3">
        <v>44.150669999999998</v>
      </c>
      <c r="H38" s="3">
        <v>42.528283999999999</v>
      </c>
      <c r="I38" s="3">
        <v>1E-4</v>
      </c>
      <c r="J38" s="3"/>
      <c r="K38" s="3">
        <v>0.99855159999999998</v>
      </c>
      <c r="L38" s="3">
        <v>1.6426339999999999</v>
      </c>
      <c r="M38" s="3"/>
      <c r="N38" s="3">
        <v>0.13942272999999999</v>
      </c>
      <c r="O38">
        <f t="shared" si="0"/>
        <v>12</v>
      </c>
    </row>
    <row r="39" spans="1:15" x14ac:dyDescent="0.3">
      <c r="A39" s="3">
        <v>0.1227094513141276</v>
      </c>
      <c r="B39" s="3">
        <v>2.8073541301759581</v>
      </c>
      <c r="C39" s="3">
        <v>0.35996106555883861</v>
      </c>
      <c r="D39" s="3">
        <v>9.6469999999999993E-3</v>
      </c>
      <c r="E39" s="3">
        <v>8.5518540000000005</v>
      </c>
      <c r="F39" s="3">
        <v>7.1656500000000003</v>
      </c>
      <c r="G39" s="3">
        <v>44.150669999999998</v>
      </c>
      <c r="H39" s="3">
        <v>42.528283999999999</v>
      </c>
      <c r="I39" s="3">
        <v>1E-4</v>
      </c>
      <c r="J39" s="3"/>
      <c r="K39" s="3"/>
      <c r="L39" s="3">
        <v>1.6426339999999999</v>
      </c>
      <c r="M39" s="3">
        <v>0.61622094997605092</v>
      </c>
      <c r="N39" s="3"/>
      <c r="O39">
        <f t="shared" si="0"/>
        <v>11</v>
      </c>
    </row>
    <row r="40" spans="1:15" x14ac:dyDescent="0.3">
      <c r="A40" s="3">
        <v>0.1359756669553438</v>
      </c>
      <c r="B40" s="3">
        <v>1.2077244210816229</v>
      </c>
      <c r="C40" s="3">
        <v>2.7492654559773451</v>
      </c>
      <c r="D40" s="3">
        <v>9.6469999999999993E-3</v>
      </c>
      <c r="E40" s="3">
        <v>8.5518540000000005</v>
      </c>
      <c r="F40" s="3">
        <v>7.1656500000000003</v>
      </c>
      <c r="G40" s="3">
        <v>44.150669999999998</v>
      </c>
      <c r="H40" s="3">
        <v>42.528283999999999</v>
      </c>
      <c r="I40" s="3">
        <v>1E-4</v>
      </c>
      <c r="J40" s="3">
        <v>2.9393355212587058</v>
      </c>
      <c r="K40" s="3">
        <v>0.54244360620199983</v>
      </c>
      <c r="L40" s="3">
        <v>1.6426339999999999</v>
      </c>
      <c r="M40" s="3">
        <v>0.40411122050813453</v>
      </c>
      <c r="N40" s="3">
        <v>0.44339809679893338</v>
      </c>
      <c r="O40">
        <f t="shared" si="0"/>
        <v>14</v>
      </c>
    </row>
    <row r="41" spans="1:15" x14ac:dyDescent="0.3">
      <c r="A41" s="3">
        <v>0.13037461209861351</v>
      </c>
      <c r="B41" s="3">
        <v>2.9990983245261522</v>
      </c>
      <c r="C41" s="3"/>
      <c r="D41" s="3">
        <v>9.6469999999999993E-3</v>
      </c>
      <c r="E41" s="3">
        <v>8.5518540000000005</v>
      </c>
      <c r="F41" s="3">
        <v>7.1656500000000003</v>
      </c>
      <c r="G41" s="3">
        <v>44.150669999999998</v>
      </c>
      <c r="H41" s="3">
        <v>42.528283999999999</v>
      </c>
      <c r="I41" s="3">
        <v>1E-4</v>
      </c>
      <c r="J41" s="3"/>
      <c r="K41" s="3"/>
      <c r="L41" s="3">
        <v>1.6426339999999999</v>
      </c>
      <c r="M41" s="3"/>
      <c r="N41" s="3"/>
      <c r="O41">
        <f t="shared" si="0"/>
        <v>9</v>
      </c>
    </row>
    <row r="42" spans="1:15" x14ac:dyDescent="0.3">
      <c r="A42" s="3"/>
      <c r="B42" s="3">
        <v>1.66130228696973</v>
      </c>
      <c r="C42" s="3">
        <v>2.8064492199273641</v>
      </c>
      <c r="D42" s="3">
        <v>9.6469999999999993E-3</v>
      </c>
      <c r="E42" s="3">
        <v>8.5518540000000005</v>
      </c>
      <c r="F42" s="3">
        <v>7.1656500000000003</v>
      </c>
      <c r="G42" s="3">
        <v>44.150669999999998</v>
      </c>
      <c r="H42" s="3">
        <v>42.528283999999999</v>
      </c>
      <c r="I42" s="3">
        <v>1E-4</v>
      </c>
      <c r="J42" s="3">
        <v>2.5523096462554031</v>
      </c>
      <c r="K42" s="3">
        <v>0.6524331565562036</v>
      </c>
      <c r="L42" s="3">
        <v>1.6426339999999999</v>
      </c>
      <c r="M42" s="3">
        <v>0.62554233314690944</v>
      </c>
      <c r="N42" s="3">
        <v>0.32930354055451472</v>
      </c>
      <c r="O42">
        <f t="shared" si="0"/>
        <v>13</v>
      </c>
    </row>
    <row r="43" spans="1:15" x14ac:dyDescent="0.3">
      <c r="A43" s="3">
        <v>4.9713069999999998E-2</v>
      </c>
      <c r="B43" s="3"/>
      <c r="C43" s="3">
        <v>0.31311858046653779</v>
      </c>
      <c r="D43" s="3">
        <v>9.6469999999999993E-3</v>
      </c>
      <c r="E43" s="3">
        <v>8.5518540000000005</v>
      </c>
      <c r="F43" s="3">
        <v>7.1656500000000003</v>
      </c>
      <c r="G43" s="3">
        <v>44.150669999999998</v>
      </c>
      <c r="H43" s="3">
        <v>42.528283999999999</v>
      </c>
      <c r="I43" s="3">
        <v>1E-4</v>
      </c>
      <c r="J43" s="3"/>
      <c r="K43" s="3">
        <v>0.37203381820939702</v>
      </c>
      <c r="L43" s="3">
        <v>1.6426339999999999</v>
      </c>
      <c r="M43" s="3">
        <v>0.55232036777290161</v>
      </c>
      <c r="N43" s="3">
        <v>0.16099309977936019</v>
      </c>
      <c r="O43">
        <f t="shared" si="0"/>
        <v>12</v>
      </c>
    </row>
    <row r="44" spans="1:15" x14ac:dyDescent="0.3">
      <c r="A44" s="4"/>
      <c r="B44" s="3"/>
      <c r="C44" s="3"/>
      <c r="D44" s="3">
        <v>9.6469999999999993E-3</v>
      </c>
      <c r="E44" s="3">
        <v>8.5518540000000005</v>
      </c>
      <c r="F44" s="3">
        <v>7.1656500000000003</v>
      </c>
      <c r="G44" s="3">
        <v>44.150669999999998</v>
      </c>
      <c r="H44" s="3">
        <v>42.528283999999999</v>
      </c>
      <c r="I44" s="3">
        <v>1E-4</v>
      </c>
      <c r="J44" s="3">
        <v>3.853162958204702</v>
      </c>
      <c r="K44" s="3">
        <v>0.5561711208575485</v>
      </c>
      <c r="L44" s="3">
        <v>1.6426339999999999</v>
      </c>
      <c r="M44" s="3">
        <v>0.45734700779106402</v>
      </c>
      <c r="N44" s="3">
        <v>0.30097147464853968</v>
      </c>
      <c r="O44">
        <f t="shared" si="0"/>
        <v>11</v>
      </c>
    </row>
    <row r="45" spans="1:15" x14ac:dyDescent="0.3">
      <c r="A45" s="3">
        <v>0.1079931138950458</v>
      </c>
      <c r="B45" s="3">
        <v>1.728289082338875</v>
      </c>
      <c r="C45" s="3">
        <v>4.2993726803987578</v>
      </c>
      <c r="D45" s="3">
        <v>9.6469999999999993E-3</v>
      </c>
      <c r="E45" s="3">
        <v>8.5518540000000005</v>
      </c>
      <c r="F45" s="3">
        <v>7.1656500000000003</v>
      </c>
      <c r="G45" s="3">
        <v>44.150669999999998</v>
      </c>
      <c r="H45" s="3">
        <v>42.528283999999999</v>
      </c>
      <c r="I45" s="3">
        <v>1E-4</v>
      </c>
      <c r="J45" s="3">
        <v>1.9108034117474511</v>
      </c>
      <c r="K45" s="3">
        <v>0.1731438874098615</v>
      </c>
      <c r="L45" s="3">
        <v>1.6426339999999999</v>
      </c>
      <c r="M45" s="3">
        <v>0.35409573</v>
      </c>
      <c r="N45" s="3"/>
      <c r="O45">
        <f t="shared" si="0"/>
        <v>13</v>
      </c>
    </row>
    <row r="46" spans="1:15" x14ac:dyDescent="0.3">
      <c r="A46" s="3">
        <v>7.6338007895285567E-2</v>
      </c>
      <c r="B46" s="3">
        <v>2.1484320279473619</v>
      </c>
      <c r="C46" s="3">
        <v>1.475429098981929</v>
      </c>
      <c r="D46" s="3">
        <v>9.6469999999999993E-3</v>
      </c>
      <c r="E46" s="3">
        <v>8.5518540000000005</v>
      </c>
      <c r="F46" s="3">
        <v>7.1656500000000003</v>
      </c>
      <c r="G46" s="3">
        <v>44.150669999999998</v>
      </c>
      <c r="H46" s="3">
        <v>42.528283999999999</v>
      </c>
      <c r="I46" s="3">
        <v>1E-4</v>
      </c>
      <c r="J46" s="3">
        <v>3.7618758667714789</v>
      </c>
      <c r="K46" s="3">
        <v>0.99439372698298123</v>
      </c>
      <c r="L46" s="3">
        <v>1.6426339999999999</v>
      </c>
      <c r="M46" s="3">
        <v>0.37729042300840809</v>
      </c>
      <c r="N46" s="3">
        <v>0.45713889274769082</v>
      </c>
      <c r="O46">
        <f t="shared" si="0"/>
        <v>14</v>
      </c>
    </row>
    <row r="47" spans="1:15" x14ac:dyDescent="0.3">
      <c r="A47" s="3">
        <v>9.5371729442421352E-2</v>
      </c>
      <c r="B47" s="3"/>
      <c r="C47" s="3">
        <v>0.29185519999999998</v>
      </c>
      <c r="D47" s="3">
        <v>9.6469999999999993E-3</v>
      </c>
      <c r="E47" s="3">
        <v>8.5518540000000005</v>
      </c>
      <c r="F47" s="3">
        <v>7.1656500000000003</v>
      </c>
      <c r="G47" s="3">
        <v>44.150669999999998</v>
      </c>
      <c r="H47" s="3">
        <v>42.528283999999999</v>
      </c>
      <c r="I47" s="3">
        <v>1E-4</v>
      </c>
      <c r="J47" s="3">
        <v>3.9691047816148899</v>
      </c>
      <c r="K47" s="3"/>
      <c r="L47" s="3">
        <v>1.6426339999999999</v>
      </c>
      <c r="M47" s="3"/>
      <c r="N47" s="3"/>
      <c r="O47">
        <f t="shared" si="0"/>
        <v>10</v>
      </c>
    </row>
    <row r="48" spans="1:15" x14ac:dyDescent="0.3">
      <c r="A48" s="3">
        <v>4.4611724074754201E-2</v>
      </c>
      <c r="B48" s="3"/>
      <c r="C48" s="3">
        <v>0.78540916525045068</v>
      </c>
      <c r="D48" s="3">
        <v>9.6469999999999993E-3</v>
      </c>
      <c r="E48" s="3">
        <v>8.5518540000000005</v>
      </c>
      <c r="F48" s="3">
        <v>7.1656500000000003</v>
      </c>
      <c r="G48" s="3">
        <v>44.150669999999998</v>
      </c>
      <c r="H48" s="3">
        <v>42.528283999999999</v>
      </c>
      <c r="I48" s="3">
        <v>1E-4</v>
      </c>
      <c r="J48" s="3">
        <v>3.0887805327998801</v>
      </c>
      <c r="K48" s="3">
        <v>0.63577382502144675</v>
      </c>
      <c r="L48" s="3">
        <v>1.6426339999999999</v>
      </c>
      <c r="M48" s="3">
        <v>0.53810147502254213</v>
      </c>
      <c r="N48" s="3">
        <v>0.21795264160310901</v>
      </c>
      <c r="O48">
        <f t="shared" si="0"/>
        <v>13</v>
      </c>
    </row>
    <row r="49" spans="1:26" x14ac:dyDescent="0.3">
      <c r="A49" s="3">
        <v>9.5281571547884178E-2</v>
      </c>
      <c r="B49" s="3">
        <v>3.331226214473054</v>
      </c>
      <c r="C49" s="3"/>
      <c r="D49" s="3">
        <v>9.6469999999999993E-3</v>
      </c>
      <c r="E49" s="3">
        <v>8.5518540000000005</v>
      </c>
      <c r="F49" s="3">
        <v>7.1656500000000003</v>
      </c>
      <c r="G49" s="3">
        <v>44.150669999999998</v>
      </c>
      <c r="H49" s="3">
        <v>42.528283999999999</v>
      </c>
      <c r="I49" s="3">
        <v>1E-4</v>
      </c>
      <c r="J49" s="3">
        <v>1.3428594002424179</v>
      </c>
      <c r="K49" s="3">
        <v>0.99223058602201264</v>
      </c>
      <c r="L49" s="3">
        <v>1.6426339999999999</v>
      </c>
      <c r="M49" s="3">
        <v>0.59821293014856636</v>
      </c>
      <c r="N49" s="3">
        <v>0.36451007621972331</v>
      </c>
      <c r="O49">
        <f t="shared" si="0"/>
        <v>13</v>
      </c>
    </row>
    <row r="50" spans="1:26" x14ac:dyDescent="0.3">
      <c r="A50" s="3">
        <v>4.9643664583569523E-2</v>
      </c>
      <c r="B50" s="3">
        <v>2.9722745354726041</v>
      </c>
      <c r="C50" s="3">
        <v>5.4297146770707574</v>
      </c>
      <c r="D50" s="3">
        <v>9.6469999999999993E-3</v>
      </c>
      <c r="E50" s="3">
        <v>8.5518540000000005</v>
      </c>
      <c r="F50" s="3">
        <v>7.1656500000000003</v>
      </c>
      <c r="G50" s="3">
        <v>44.150669999999998</v>
      </c>
      <c r="H50" s="3">
        <v>42.528283999999999</v>
      </c>
      <c r="I50" s="3">
        <v>1E-4</v>
      </c>
      <c r="J50" s="3"/>
      <c r="K50" s="3">
        <v>0.80815535727297716</v>
      </c>
      <c r="L50" s="3">
        <v>1.6426339999999999</v>
      </c>
      <c r="M50" s="3">
        <v>0.36345241980061638</v>
      </c>
      <c r="N50" s="3">
        <v>0.42112222077518813</v>
      </c>
      <c r="O50">
        <f t="shared" si="0"/>
        <v>13</v>
      </c>
    </row>
    <row r="51" spans="1:26" x14ac:dyDescent="0.3">
      <c r="A51" s="3">
        <v>0.1033758665619207</v>
      </c>
      <c r="B51" s="3"/>
      <c r="C51" s="3">
        <v>1.316810436714732</v>
      </c>
      <c r="D51" s="3">
        <v>9.6469999999999993E-3</v>
      </c>
      <c r="E51" s="3">
        <v>8.5518540000000005</v>
      </c>
      <c r="F51" s="3">
        <v>7.1656500000000003</v>
      </c>
      <c r="G51" s="3">
        <v>44.150669999999998</v>
      </c>
      <c r="H51" s="3">
        <v>42.528283999999999</v>
      </c>
      <c r="I51" s="3">
        <v>1E-4</v>
      </c>
      <c r="J51" s="3">
        <v>3.2706060034619742</v>
      </c>
      <c r="K51" s="3"/>
      <c r="L51" s="3">
        <v>1.6426339999999999</v>
      </c>
      <c r="M51" s="3">
        <v>0.54384241433488878</v>
      </c>
      <c r="N51" s="3">
        <v>0.33642101000000002</v>
      </c>
      <c r="O51">
        <f t="shared" si="0"/>
        <v>12</v>
      </c>
    </row>
    <row r="53" spans="1:26" x14ac:dyDescent="0.3">
      <c r="A53">
        <f>COUNT(A2:A51)</f>
        <v>38</v>
      </c>
      <c r="B53">
        <f>COUNT(B2:B51)</f>
        <v>38</v>
      </c>
      <c r="C53">
        <f t="shared" ref="C53:O53" si="1">COUNT(C2:C51)</f>
        <v>38</v>
      </c>
      <c r="D53">
        <f t="shared" si="1"/>
        <v>50</v>
      </c>
      <c r="E53">
        <f t="shared" si="1"/>
        <v>50</v>
      </c>
      <c r="F53">
        <f t="shared" si="1"/>
        <v>50</v>
      </c>
      <c r="G53">
        <f t="shared" si="1"/>
        <v>50</v>
      </c>
      <c r="H53">
        <f t="shared" si="1"/>
        <v>50</v>
      </c>
      <c r="I53">
        <f t="shared" si="1"/>
        <v>50</v>
      </c>
      <c r="J53">
        <f t="shared" si="1"/>
        <v>38</v>
      </c>
      <c r="K53">
        <f t="shared" si="1"/>
        <v>38</v>
      </c>
      <c r="L53">
        <f t="shared" si="1"/>
        <v>50</v>
      </c>
      <c r="M53">
        <f t="shared" si="1"/>
        <v>38</v>
      </c>
      <c r="N53">
        <f t="shared" si="1"/>
        <v>38</v>
      </c>
    </row>
    <row r="54" spans="1:26" x14ac:dyDescent="0.3">
      <c r="A54">
        <f>AVERAGE(A2:A51)</f>
        <v>0.10251882880988755</v>
      </c>
      <c r="B54">
        <f t="shared" ref="B54:N54" si="2">AVERAGE(B2:B51)</f>
        <v>2.501773426203604</v>
      </c>
      <c r="C54">
        <f t="shared" si="2"/>
        <v>2.4463429696620991</v>
      </c>
      <c r="D54">
        <f t="shared" si="2"/>
        <v>9.6470000000000063E-3</v>
      </c>
      <c r="E54">
        <f t="shared" si="2"/>
        <v>8.5518539999999952</v>
      </c>
      <c r="F54">
        <f t="shared" si="2"/>
        <v>7.1656500000000083</v>
      </c>
      <c r="G54">
        <f t="shared" si="2"/>
        <v>44.150669999999998</v>
      </c>
      <c r="H54">
        <f t="shared" si="2"/>
        <v>42.528283999999992</v>
      </c>
      <c r="I54">
        <f t="shared" si="2"/>
        <v>1E-4</v>
      </c>
      <c r="J54">
        <f t="shared" si="2"/>
        <v>2.6318450118758423</v>
      </c>
      <c r="K54">
        <f t="shared" si="2"/>
        <v>0.76035175207429007</v>
      </c>
      <c r="L54">
        <f t="shared" si="2"/>
        <v>1.6426340000000008</v>
      </c>
      <c r="M54">
        <f t="shared" si="2"/>
        <v>0.5069197863043714</v>
      </c>
      <c r="N54">
        <f t="shared" si="2"/>
        <v>0.33167850969598411</v>
      </c>
    </row>
    <row r="55" spans="1:26" x14ac:dyDescent="0.3">
      <c r="A55">
        <f>MEDIAN(A2:A51)</f>
        <v>0.10214743740067861</v>
      </c>
      <c r="B55">
        <f t="shared" ref="B55:N55" si="3">MEDIAN(B2:B51)</f>
        <v>2.5054859407759498</v>
      </c>
      <c r="C55">
        <f t="shared" si="3"/>
        <v>2.5423268372205379</v>
      </c>
      <c r="D55">
        <f t="shared" si="3"/>
        <v>9.6469999999999993E-3</v>
      </c>
      <c r="E55">
        <f t="shared" si="3"/>
        <v>8.5518540000000005</v>
      </c>
      <c r="F55">
        <f t="shared" si="3"/>
        <v>7.1656500000000003</v>
      </c>
      <c r="G55">
        <f t="shared" si="3"/>
        <v>44.150669999999998</v>
      </c>
      <c r="H55">
        <f t="shared" si="3"/>
        <v>42.528283999999999</v>
      </c>
      <c r="I55">
        <f t="shared" si="3"/>
        <v>1E-4</v>
      </c>
      <c r="J55">
        <f t="shared" si="3"/>
        <v>2.5133304587150462</v>
      </c>
      <c r="K55">
        <f t="shared" si="3"/>
        <v>0.82785309906056748</v>
      </c>
      <c r="L55">
        <f t="shared" si="3"/>
        <v>1.6426339999999999</v>
      </c>
      <c r="M55">
        <f t="shared" si="3"/>
        <v>0.53510007166275741</v>
      </c>
      <c r="N55">
        <f t="shared" si="3"/>
        <v>0.347441921996543</v>
      </c>
    </row>
    <row r="56" spans="1:26" x14ac:dyDescent="0.3">
      <c r="A56">
        <f>STDEVA(A2:A51)</f>
        <v>3.2445010681528483E-2</v>
      </c>
      <c r="B56">
        <f t="shared" ref="B56:N56" si="4">STDEVA(B2:B51)</f>
        <v>0.99550487125673059</v>
      </c>
      <c r="C56">
        <f t="shared" si="4"/>
        <v>1.8801103241956645</v>
      </c>
      <c r="D56">
        <f t="shared" si="4"/>
        <v>7.0093413334097106E-18</v>
      </c>
      <c r="E56">
        <f t="shared" si="4"/>
        <v>5.3831741440586573E-15</v>
      </c>
      <c r="F56">
        <f t="shared" si="4"/>
        <v>8.0747612160879852E-15</v>
      </c>
      <c r="G56">
        <f t="shared" si="4"/>
        <v>0</v>
      </c>
      <c r="H56">
        <f t="shared" si="4"/>
        <v>7.1775655254115436E-15</v>
      </c>
      <c r="I56">
        <f t="shared" si="4"/>
        <v>0</v>
      </c>
      <c r="J56">
        <f t="shared" si="4"/>
        <v>1.0332696154565162</v>
      </c>
      <c r="K56">
        <f t="shared" si="4"/>
        <v>0.25076193065222108</v>
      </c>
      <c r="L56">
        <f t="shared" si="4"/>
        <v>8.9719569067644295E-16</v>
      </c>
      <c r="M56">
        <f t="shared" si="4"/>
        <v>9.4794508624591087E-2</v>
      </c>
      <c r="N56">
        <f t="shared" si="4"/>
        <v>0.10253705200499463</v>
      </c>
    </row>
    <row r="57" spans="1:26" x14ac:dyDescent="0.3">
      <c r="S57" s="3">
        <v>6.472871915222754E-2</v>
      </c>
      <c r="T57" s="3">
        <v>3.9702093993711252</v>
      </c>
      <c r="U57" s="3">
        <v>1.180538637321028</v>
      </c>
      <c r="V57" s="3">
        <v>1.7779311466140399</v>
      </c>
      <c r="W57" s="3">
        <v>0.21868182914115469</v>
      </c>
      <c r="X57" s="3">
        <v>0.50789262577800998</v>
      </c>
      <c r="Y57" s="3">
        <v>0.24431553740673689</v>
      </c>
      <c r="Z57">
        <v>14</v>
      </c>
    </row>
    <row r="58" spans="1:26" x14ac:dyDescent="0.3">
      <c r="S58" s="3">
        <v>8.7481495012858304E-2</v>
      </c>
      <c r="T58" s="3">
        <v>1.4461727354296821</v>
      </c>
      <c r="U58" s="3">
        <v>5.3414239314315353</v>
      </c>
      <c r="V58" s="3">
        <v>3.754208637255438</v>
      </c>
      <c r="W58" s="3">
        <v>0.94292399766561574</v>
      </c>
      <c r="X58" s="3">
        <v>0.57997025002292379</v>
      </c>
      <c r="Y58" s="3">
        <v>0.33046316687705829</v>
      </c>
      <c r="Z58">
        <v>14</v>
      </c>
    </row>
    <row r="59" spans="1:26" x14ac:dyDescent="0.3">
      <c r="S59" s="3">
        <v>0.131711066807083</v>
      </c>
      <c r="T59" s="3">
        <v>1.2803780296643441</v>
      </c>
      <c r="U59" s="3">
        <v>2.7189684162254459</v>
      </c>
      <c r="V59" s="3">
        <v>2.5192987561038431</v>
      </c>
      <c r="W59" s="3">
        <v>0.34308949828818591</v>
      </c>
      <c r="X59" s="3">
        <v>0.39204389479805929</v>
      </c>
      <c r="Y59" s="3">
        <v>0.43880277409739332</v>
      </c>
      <c r="Z59">
        <v>14</v>
      </c>
    </row>
    <row r="60" spans="1:26" x14ac:dyDescent="0.3">
      <c r="S60" s="3">
        <v>6.9670662460170188E-2</v>
      </c>
      <c r="T60" s="3">
        <v>3.1060014804906468</v>
      </c>
      <c r="U60" s="3">
        <v>4.7532143132203437</v>
      </c>
      <c r="V60" s="3">
        <v>1.281974422227417</v>
      </c>
      <c r="W60" s="3">
        <v>0.82495782009139251</v>
      </c>
      <c r="X60" s="3">
        <v>0.37588761330540049</v>
      </c>
      <c r="Y60" s="3">
        <v>0.42550928027932139</v>
      </c>
      <c r="Z60">
        <v>14</v>
      </c>
    </row>
    <row r="61" spans="1:26" x14ac:dyDescent="0.3">
      <c r="S61" s="3">
        <v>0.1359756669553438</v>
      </c>
      <c r="T61" s="3">
        <v>1.2077244210816229</v>
      </c>
      <c r="U61" s="3">
        <v>2.7492654559773451</v>
      </c>
      <c r="V61" s="3">
        <v>2.9393355212587058</v>
      </c>
      <c r="W61" s="3">
        <v>0.54244360620199983</v>
      </c>
      <c r="X61" s="3">
        <v>0.40411122050813453</v>
      </c>
      <c r="Y61" s="3">
        <v>0.44339809679893338</v>
      </c>
      <c r="Z61">
        <v>14</v>
      </c>
    </row>
    <row r="62" spans="1:26" x14ac:dyDescent="0.3">
      <c r="S62" s="3">
        <v>7.6338007895285567E-2</v>
      </c>
      <c r="T62" s="3">
        <v>2.1484320279473619</v>
      </c>
      <c r="U62" s="3">
        <v>1.475429098981929</v>
      </c>
      <c r="V62" s="3">
        <v>3.7618758667714789</v>
      </c>
      <c r="W62" s="3">
        <v>0.99439372698298123</v>
      </c>
      <c r="X62" s="3">
        <v>0.37729042300840809</v>
      </c>
      <c r="Y62" s="3">
        <v>0.45713889274769082</v>
      </c>
      <c r="Z62">
        <v>14</v>
      </c>
    </row>
  </sheetData>
  <autoFilter ref="A1:O51" xr:uid="{F104387D-3026-4FEB-88C9-8E102BBD332F}"/>
  <conditionalFormatting sqref="A2:A51">
    <cfRule type="top10" dxfId="29" priority="23" percent="1" bottom="1" rank="15"/>
    <cfRule type="top10" dxfId="28" priority="30" percent="1" rank="15"/>
  </conditionalFormatting>
  <conditionalFormatting sqref="B2:B51">
    <cfRule type="top10" dxfId="27" priority="22" percent="1" bottom="1" rank="15"/>
    <cfRule type="top10" dxfId="26" priority="29" percent="1" rank="15"/>
  </conditionalFormatting>
  <conditionalFormatting sqref="C2:C51">
    <cfRule type="top10" dxfId="25" priority="21" percent="1" bottom="1" rank="15"/>
    <cfRule type="top10" dxfId="24" priority="28" percent="1" rank="15"/>
  </conditionalFormatting>
  <conditionalFormatting sqref="J2:J51">
    <cfRule type="top10" dxfId="23" priority="20" percent="1" bottom="1" rank="15"/>
    <cfRule type="top10" dxfId="22" priority="27" percent="1" rank="15"/>
  </conditionalFormatting>
  <conditionalFormatting sqref="K2:K51">
    <cfRule type="top10" dxfId="21" priority="19" percent="1" bottom="1" rank="15"/>
    <cfRule type="top10" dxfId="20" priority="26" percent="1" rank="15"/>
  </conditionalFormatting>
  <conditionalFormatting sqref="N2:N51">
    <cfRule type="top10" dxfId="19" priority="17" percent="1" bottom="1" rank="15"/>
    <cfRule type="top10" dxfId="18" priority="25" percent="1" rank="15"/>
  </conditionalFormatting>
  <conditionalFormatting sqref="M2:M51">
    <cfRule type="top10" dxfId="17" priority="18" percent="1" bottom="1" rank="15"/>
    <cfRule type="top10" dxfId="16" priority="24" percent="1" rank="15"/>
  </conditionalFormatting>
  <conditionalFormatting sqref="O2:O51">
    <cfRule type="cellIs" dxfId="15" priority="16" operator="equal">
      <formula>14</formula>
    </cfRule>
  </conditionalFormatting>
  <conditionalFormatting sqref="S57:S62">
    <cfRule type="top10" dxfId="14" priority="12" percent="1" bottom="1" rank="15"/>
    <cfRule type="top10" dxfId="13" priority="15" percent="1" rank="15"/>
  </conditionalFormatting>
  <conditionalFormatting sqref="T57:T62">
    <cfRule type="top10" dxfId="12" priority="11" percent="1" bottom="1" rank="15"/>
    <cfRule type="top10" dxfId="11" priority="14" percent="1" rank="15"/>
  </conditionalFormatting>
  <conditionalFormatting sqref="U57:U62">
    <cfRule type="top10" dxfId="10" priority="10" percent="1" bottom="1" rank="15"/>
    <cfRule type="top10" dxfId="9" priority="13" percent="1" rank="15"/>
  </conditionalFormatting>
  <conditionalFormatting sqref="V57:V62">
    <cfRule type="top10" dxfId="8" priority="7" percent="1" bottom="1" rank="15"/>
    <cfRule type="top10" dxfId="7" priority="9" percent="1" rank="15"/>
  </conditionalFormatting>
  <conditionalFormatting sqref="W57:W62">
    <cfRule type="top10" dxfId="6" priority="6" percent="1" bottom="1" rank="15"/>
    <cfRule type="top10" dxfId="5" priority="8" percent="1" rank="15"/>
  </conditionalFormatting>
  <conditionalFormatting sqref="Y57:Y62">
    <cfRule type="top10" dxfId="4" priority="2" percent="1" bottom="1" rank="15"/>
    <cfRule type="top10" dxfId="3" priority="5" percent="1" rank="15"/>
  </conditionalFormatting>
  <conditionalFormatting sqref="X57:X62">
    <cfRule type="top10" dxfId="2" priority="3" percent="1" bottom="1" rank="15"/>
    <cfRule type="top10" dxfId="1" priority="4" percent="1" rank="15"/>
  </conditionalFormatting>
  <conditionalFormatting sqref="Z57:Z62">
    <cfRule type="cellIs" dxfId="0" priority="1" operator="equal">
      <formula>14</formula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resultados</vt:lpstr>
      <vt:lpstr>resultados (2)</vt:lpstr>
      <vt:lpstr>eliminación puntos 1</vt:lpstr>
      <vt:lpstr>eliminación puntos 2</vt:lpstr>
      <vt:lpstr>prueba elimin</vt:lpstr>
      <vt:lpstr>prueba elimin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2026-05-20T10:41:33Z</dcterms:created>
  <dcterms:modified xsi:type="dcterms:W3CDTF">2026-05-20T16:33:35Z</dcterms:modified>
</cp:coreProperties>
</file>