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-mfolch\Documents\Proyecto_Tintos_CyT\Optimizacion\"/>
    </mc:Choice>
  </mc:AlternateContent>
  <xr:revisionPtr revIDLastSave="0" documentId="13_ncr:1_{155CD6DA-4A9C-4D77-A4CC-4362E3764E4F}" xr6:coauthVersionLast="47" xr6:coauthVersionMax="47" xr10:uidLastSave="{00000000-0000-0000-0000-000000000000}"/>
  <bookViews>
    <workbookView xWindow="-108" yWindow="-108" windowWidth="23256" windowHeight="12576" tabRatio="687" firstSheet="4" activeTab="5" xr2:uid="{00000000-000D-0000-FFFF-FFFF00000000}"/>
  </bookViews>
  <sheets>
    <sheet name="Hoja1" sheetId="1" r:id="rId1"/>
    <sheet name="Hoja2" sheetId="2" r:id="rId2"/>
    <sheet name="Pruebas PSO" sheetId="3" r:id="rId3"/>
    <sheet name="Pruebas PSO termination" sheetId="4" r:id="rId4"/>
    <sheet name="Pruebas variedades" sheetId="5" r:id="rId5"/>
    <sheet name="Análisis estadístico variedades" sheetId="6" r:id="rId6"/>
    <sheet name="Análisis estadístico volúmenes" sheetId="7" r:id="rId7"/>
  </sheets>
  <definedNames>
    <definedName name="_xlnm._FilterDatabase" localSheetId="2" hidden="1">'Pruebas PSO'!$A$2:$X$40</definedName>
    <definedName name="_xlnm._FilterDatabase" localSheetId="4" hidden="1">'Pruebas variedades'!$A$1:$AF$1</definedName>
    <definedName name="_xlchart.v1.0" hidden="1">'Pruebas variedades'!$AC$10:$AC$13</definedName>
    <definedName name="_xlchart.v1.1" hidden="1">'Pruebas variedades'!$AC$14:$AC$17</definedName>
    <definedName name="_xlchart.v1.10" hidden="1">'Pruebas variedades'!$C$2</definedName>
    <definedName name="_xlchart.v1.11" hidden="1">'Pruebas variedades'!$C$6</definedName>
    <definedName name="_xlchart.v1.12" hidden="1">'Pruebas variedades'!$S$10:$S$13</definedName>
    <definedName name="_xlchart.v1.13" hidden="1">'Pruebas variedades'!$S$14:$S$17</definedName>
    <definedName name="_xlchart.v1.14" hidden="1">'Pruebas variedades'!$S$2:$S$5</definedName>
    <definedName name="_xlchart.v1.15" hidden="1">'Pruebas variedades'!$S$6:$S$9</definedName>
    <definedName name="_xlchart.v1.16" hidden="1">'Pruebas variedades'!$AB$10:$AB$13</definedName>
    <definedName name="_xlchart.v1.17" hidden="1">'Pruebas variedades'!$AB$14:$AB$17</definedName>
    <definedName name="_xlchart.v1.18" hidden="1">'Pruebas variedades'!$AB$2:$AB$5</definedName>
    <definedName name="_xlchart.v1.19" hidden="1">'Pruebas variedades'!$AB$6:$AB$9</definedName>
    <definedName name="_xlchart.v1.2" hidden="1">'Pruebas variedades'!$AC$2:$AC$5</definedName>
    <definedName name="_xlchart.v1.20" hidden="1">'Pruebas variedades'!$C$10</definedName>
    <definedName name="_xlchart.v1.21" hidden="1">'Pruebas variedades'!$C$14</definedName>
    <definedName name="_xlchart.v1.22" hidden="1">'Pruebas variedades'!$C$2</definedName>
    <definedName name="_xlchart.v1.23" hidden="1">'Pruebas variedades'!$C$6</definedName>
    <definedName name="_xlchart.v1.24" hidden="1">'Pruebas variedades'!$AE$10:$AE$13</definedName>
    <definedName name="_xlchart.v1.25" hidden="1">'Pruebas variedades'!$AE$14:$AE$17</definedName>
    <definedName name="_xlchart.v1.26" hidden="1">'Pruebas variedades'!$AE$2:$AE$5</definedName>
    <definedName name="_xlchart.v1.27" hidden="1">'Pruebas variedades'!$AE$6:$AE$9</definedName>
    <definedName name="_xlchart.v1.28" hidden="1">'Pruebas variedades'!$C$10</definedName>
    <definedName name="_xlchart.v1.29" hidden="1">'Pruebas variedades'!$C$14</definedName>
    <definedName name="_xlchart.v1.3" hidden="1">'Pruebas variedades'!$AC$6:$AC$9</definedName>
    <definedName name="_xlchart.v1.30" hidden="1">'Pruebas variedades'!$C$2</definedName>
    <definedName name="_xlchart.v1.31" hidden="1">'Pruebas variedades'!$C$6</definedName>
    <definedName name="_xlchart.v1.32" hidden="1">'Pruebas variedades'!$C$10</definedName>
    <definedName name="_xlchart.v1.33" hidden="1">'Pruebas variedades'!$C$14</definedName>
    <definedName name="_xlchart.v1.34" hidden="1">'Pruebas variedades'!$C$2</definedName>
    <definedName name="_xlchart.v1.35" hidden="1">'Pruebas variedades'!$C$6</definedName>
    <definedName name="_xlchart.v1.36" hidden="1">'Pruebas variedades'!$T$10:$T$13</definedName>
    <definedName name="_xlchart.v1.37" hidden="1">'Pruebas variedades'!$T$14:$T$17</definedName>
    <definedName name="_xlchart.v1.38" hidden="1">'Pruebas variedades'!$T$2:$T$5</definedName>
    <definedName name="_xlchart.v1.39" hidden="1">'Pruebas variedades'!$T$6:$T$9</definedName>
    <definedName name="_xlchart.v1.4" hidden="1">'Pruebas variedades'!$C$10</definedName>
    <definedName name="_xlchart.v1.40" hidden="1">'Pruebas variedades'!$C$10</definedName>
    <definedName name="_xlchart.v1.41" hidden="1">'Pruebas variedades'!$C$14</definedName>
    <definedName name="_xlchart.v1.42" hidden="1">'Pruebas variedades'!$C$2</definedName>
    <definedName name="_xlchart.v1.43" hidden="1">'Pruebas variedades'!$C$6</definedName>
    <definedName name="_xlchart.v1.44" hidden="1">'Pruebas variedades'!$U$10:$U$13</definedName>
    <definedName name="_xlchart.v1.45" hidden="1">'Pruebas variedades'!$U$14:$U$17</definedName>
    <definedName name="_xlchart.v1.46" hidden="1">'Pruebas variedades'!$U$2:$U$5</definedName>
    <definedName name="_xlchart.v1.47" hidden="1">'Pruebas variedades'!$U$6:$U$9</definedName>
    <definedName name="_xlchart.v1.48" hidden="1">'Pruebas variedades'!$AF$10:$AF$13</definedName>
    <definedName name="_xlchart.v1.49" hidden="1">'Pruebas variedades'!$AF$14:$AF$17</definedName>
    <definedName name="_xlchart.v1.5" hidden="1">'Pruebas variedades'!$C$14</definedName>
    <definedName name="_xlchart.v1.50" hidden="1">'Pruebas variedades'!$AF$2:$AF$5</definedName>
    <definedName name="_xlchart.v1.51" hidden="1">'Pruebas variedades'!$AF$6:$AF$9</definedName>
    <definedName name="_xlchart.v1.52" hidden="1">'Pruebas variedades'!$C$10</definedName>
    <definedName name="_xlchart.v1.53" hidden="1">'Pruebas variedades'!$C$14</definedName>
    <definedName name="_xlchart.v1.54" hidden="1">'Pruebas variedades'!$C$2</definedName>
    <definedName name="_xlchart.v1.55" hidden="1">'Pruebas variedades'!$C$6</definedName>
    <definedName name="_xlchart.v1.56" hidden="1">'Pruebas variedades'!$U$2:$U$17</definedName>
    <definedName name="_xlchart.v1.57" hidden="1">'Pruebas variedades'!$U$57:$U$65</definedName>
    <definedName name="_xlchart.v1.58" hidden="1">'Pruebas variedades'!$S$2:$S$17</definedName>
    <definedName name="_xlchart.v1.59" hidden="1">'Pruebas variedades'!$S$57:$S$65</definedName>
    <definedName name="_xlchart.v1.6" hidden="1">'Pruebas variedades'!$C$2</definedName>
    <definedName name="_xlchart.v1.60" hidden="1">'Pruebas variedades'!$T$2:$T$17</definedName>
    <definedName name="_xlchart.v1.61" hidden="1">'Pruebas variedades'!$T$57:$T$65</definedName>
    <definedName name="_xlchart.v1.62" hidden="1">'Pruebas variedades'!$AC$2:$AC$17</definedName>
    <definedName name="_xlchart.v1.63" hidden="1">'Pruebas variedades'!$AC$57:$AC$65</definedName>
    <definedName name="_xlchart.v1.64" hidden="1">'Pruebas variedades'!$AE$2:$AE$17</definedName>
    <definedName name="_xlchart.v1.65" hidden="1">'Pruebas variedades'!$AE$57:$AE$65</definedName>
    <definedName name="_xlchart.v1.66" hidden="1">'Pruebas variedades'!$AB$2:$AB$17</definedName>
    <definedName name="_xlchart.v1.67" hidden="1">'Pruebas variedades'!$AB$57:$AB$65</definedName>
    <definedName name="_xlchart.v1.68" hidden="1">'Pruebas variedades'!$AF$2:$AF$17</definedName>
    <definedName name="_xlchart.v1.69" hidden="1">'Pruebas variedades'!$AF$57:$AF$65</definedName>
    <definedName name="_xlchart.v1.7" hidden="1">'Pruebas variedades'!$C$6</definedName>
    <definedName name="_xlchart.v1.8" hidden="1">'Pruebas variedades'!$C$10</definedName>
    <definedName name="_xlchart.v1.9" hidden="1">'Pruebas variedades'!$C$14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6" l="1"/>
  <c r="L3" i="6" s="1"/>
  <c r="S68" i="5"/>
  <c r="C5" i="7" s="1"/>
  <c r="H67" i="5"/>
  <c r="J5" i="7" s="1"/>
  <c r="AB29" i="5"/>
  <c r="F3" i="7" s="1"/>
  <c r="T29" i="5"/>
  <c r="D3" i="7" s="1"/>
  <c r="U29" i="5"/>
  <c r="E3" i="7" s="1"/>
  <c r="AC29" i="5"/>
  <c r="G3" i="7" s="1"/>
  <c r="AE29" i="5"/>
  <c r="H3" i="7" s="1"/>
  <c r="AF29" i="5"/>
  <c r="I3" i="7" s="1"/>
  <c r="T30" i="5"/>
  <c r="D4" i="7" s="1"/>
  <c r="U30" i="5"/>
  <c r="E4" i="7" s="1"/>
  <c r="AB30" i="5"/>
  <c r="F4" i="7" s="1"/>
  <c r="AC30" i="5"/>
  <c r="G4" i="7" s="1"/>
  <c r="AE30" i="5"/>
  <c r="H4" i="7" s="1"/>
  <c r="AF30" i="5"/>
  <c r="I4" i="7" s="1"/>
  <c r="S30" i="5"/>
  <c r="C4" i="7" s="1"/>
  <c r="S29" i="5"/>
  <c r="C3" i="7" s="1"/>
  <c r="P64" i="5"/>
  <c r="Q64" i="5" s="1"/>
  <c r="P63" i="5"/>
  <c r="Q63" i="5" s="1"/>
  <c r="T68" i="5"/>
  <c r="D5" i="7" s="1"/>
  <c r="U68" i="5"/>
  <c r="E5" i="7" s="1"/>
  <c r="AB68" i="5"/>
  <c r="F5" i="7" s="1"/>
  <c r="AC68" i="5"/>
  <c r="G5" i="7" s="1"/>
  <c r="AE68" i="5"/>
  <c r="H5" i="7" s="1"/>
  <c r="AF68" i="5"/>
  <c r="I5" i="7" s="1"/>
  <c r="T69" i="5"/>
  <c r="D6" i="7" s="1"/>
  <c r="U69" i="5"/>
  <c r="E6" i="7" s="1"/>
  <c r="AB69" i="5"/>
  <c r="F6" i="7" s="1"/>
  <c r="AC69" i="5"/>
  <c r="G6" i="7" s="1"/>
  <c r="AE69" i="5"/>
  <c r="H6" i="7" s="1"/>
  <c r="AF69" i="5"/>
  <c r="I6" i="7" s="1"/>
  <c r="S69" i="5"/>
  <c r="C6" i="7" s="1"/>
  <c r="P62" i="5"/>
  <c r="Q62" i="5" s="1"/>
  <c r="Q65" i="5"/>
  <c r="P61" i="5"/>
  <c r="Q61" i="5" s="1"/>
  <c r="P60" i="5"/>
  <c r="Q60" i="5" s="1"/>
  <c r="T53" i="5"/>
  <c r="T52" i="5"/>
  <c r="U53" i="5"/>
  <c r="AB53" i="5"/>
  <c r="AC53" i="5"/>
  <c r="AE53" i="5"/>
  <c r="AF53" i="5"/>
  <c r="U52" i="5"/>
  <c r="AB52" i="5"/>
  <c r="AC52" i="5"/>
  <c r="AE52" i="5"/>
  <c r="AF52" i="5"/>
  <c r="S53" i="5"/>
  <c r="S52" i="5"/>
  <c r="Q48" i="5"/>
  <c r="P49" i="5"/>
  <c r="Q49" i="5" s="1"/>
  <c r="P47" i="5"/>
  <c r="Q47" i="5" s="1"/>
  <c r="P46" i="5"/>
  <c r="Q46" i="5" s="1"/>
  <c r="P45" i="5"/>
  <c r="Q45" i="5" s="1"/>
  <c r="J9" i="6"/>
  <c r="L9" i="6" s="1"/>
  <c r="J7" i="6"/>
  <c r="L7" i="6" s="1"/>
  <c r="J5" i="6"/>
  <c r="L5" i="6" s="1"/>
  <c r="H26" i="5"/>
  <c r="H24" i="5"/>
  <c r="H22" i="5"/>
  <c r="H20" i="5"/>
  <c r="P36" i="5"/>
  <c r="Q36" i="5" s="1"/>
  <c r="P35" i="5"/>
  <c r="Q35" i="5" s="1"/>
  <c r="P34" i="5"/>
  <c r="Q34" i="5" s="1"/>
  <c r="P44" i="5"/>
  <c r="Q44" i="5" s="1"/>
  <c r="P43" i="5"/>
  <c r="Q43" i="5" s="1"/>
  <c r="P42" i="5"/>
  <c r="Q42" i="5" s="1"/>
  <c r="P17" i="5"/>
  <c r="Q17" i="5" s="1"/>
  <c r="S27" i="5"/>
  <c r="C10" i="6" s="1"/>
  <c r="Q16" i="5"/>
  <c r="P15" i="5"/>
  <c r="Q15" i="5" s="1"/>
  <c r="T27" i="5"/>
  <c r="D10" i="6" s="1"/>
  <c r="U27" i="5"/>
  <c r="E10" i="6" s="1"/>
  <c r="AB27" i="5"/>
  <c r="F10" i="6" s="1"/>
  <c r="AC27" i="5"/>
  <c r="G10" i="6" s="1"/>
  <c r="AE27" i="5"/>
  <c r="H10" i="6" s="1"/>
  <c r="AF27" i="5"/>
  <c r="I10" i="6" s="1"/>
  <c r="S26" i="5"/>
  <c r="C9" i="6" s="1"/>
  <c r="AC26" i="5"/>
  <c r="G9" i="6" s="1"/>
  <c r="T26" i="5"/>
  <c r="D9" i="6" s="1"/>
  <c r="U26" i="5"/>
  <c r="E9" i="6" s="1"/>
  <c r="AB26" i="5"/>
  <c r="F9" i="6" s="1"/>
  <c r="AE26" i="5"/>
  <c r="H9" i="6" s="1"/>
  <c r="AF26" i="5"/>
  <c r="I9" i="6" s="1"/>
  <c r="P14" i="5"/>
  <c r="Q14" i="5" s="1"/>
  <c r="P59" i="5"/>
  <c r="Q59" i="5" s="1"/>
  <c r="P58" i="5"/>
  <c r="Q58" i="5" s="1"/>
  <c r="P57" i="5"/>
  <c r="Q57" i="5" s="1"/>
  <c r="S22" i="5"/>
  <c r="C5" i="6" s="1"/>
  <c r="U24" i="5"/>
  <c r="E7" i="6" s="1"/>
  <c r="U25" i="5"/>
  <c r="E8" i="6" s="1"/>
  <c r="T24" i="5"/>
  <c r="D7" i="6" s="1"/>
  <c r="AB24" i="5"/>
  <c r="F7" i="6" s="1"/>
  <c r="AC24" i="5"/>
  <c r="G7" i="6" s="1"/>
  <c r="AE24" i="5"/>
  <c r="H7" i="6" s="1"/>
  <c r="AF24" i="5"/>
  <c r="I7" i="6" s="1"/>
  <c r="T25" i="5"/>
  <c r="D8" i="6" s="1"/>
  <c r="AB25" i="5"/>
  <c r="F8" i="6" s="1"/>
  <c r="AC25" i="5"/>
  <c r="G8" i="6" s="1"/>
  <c r="AE25" i="5"/>
  <c r="H8" i="6" s="1"/>
  <c r="AF25" i="5"/>
  <c r="I8" i="6" s="1"/>
  <c r="S25" i="5"/>
  <c r="C8" i="6" s="1"/>
  <c r="S24" i="5"/>
  <c r="C7" i="6" s="1"/>
  <c r="U23" i="5"/>
  <c r="E6" i="6" s="1"/>
  <c r="T23" i="5"/>
  <c r="D6" i="6" s="1"/>
  <c r="AB23" i="5"/>
  <c r="F6" i="6" s="1"/>
  <c r="AC23" i="5"/>
  <c r="G6" i="6" s="1"/>
  <c r="AE23" i="5"/>
  <c r="H6" i="6" s="1"/>
  <c r="AF23" i="5"/>
  <c r="I6" i="6" s="1"/>
  <c r="T22" i="5"/>
  <c r="D5" i="6" s="1"/>
  <c r="U22" i="5"/>
  <c r="E5" i="6" s="1"/>
  <c r="AB22" i="5"/>
  <c r="F5" i="6" s="1"/>
  <c r="AC22" i="5"/>
  <c r="G5" i="6" s="1"/>
  <c r="AE22" i="5"/>
  <c r="H5" i="6" s="1"/>
  <c r="AF22" i="5"/>
  <c r="I5" i="6" s="1"/>
  <c r="S23" i="5"/>
  <c r="C6" i="6" s="1"/>
  <c r="AB21" i="5"/>
  <c r="F4" i="6" s="1"/>
  <c r="AC21" i="5"/>
  <c r="G4" i="6" s="1"/>
  <c r="AE21" i="5"/>
  <c r="H4" i="6" s="1"/>
  <c r="AF21" i="5"/>
  <c r="I4" i="6" s="1"/>
  <c r="T21" i="5"/>
  <c r="D4" i="6" s="1"/>
  <c r="U21" i="5"/>
  <c r="E4" i="6" s="1"/>
  <c r="U20" i="5"/>
  <c r="E3" i="6" s="1"/>
  <c r="T20" i="5"/>
  <c r="D3" i="6" s="1"/>
  <c r="AB20" i="5"/>
  <c r="F3" i="6" s="1"/>
  <c r="AC20" i="5"/>
  <c r="G3" i="6" s="1"/>
  <c r="AE20" i="5"/>
  <c r="H3" i="6" s="1"/>
  <c r="AF20" i="5"/>
  <c r="I3" i="6" s="1"/>
  <c r="S21" i="5"/>
  <c r="C4" i="6" s="1"/>
  <c r="S20" i="5"/>
  <c r="C3" i="6" s="1"/>
  <c r="Q13" i="5"/>
  <c r="P12" i="5"/>
  <c r="Q12" i="5" s="1"/>
  <c r="P11" i="5"/>
  <c r="Q11" i="5" s="1"/>
  <c r="P10" i="5"/>
  <c r="Q10" i="5" s="1"/>
  <c r="P9" i="5"/>
  <c r="Q9" i="5" s="1"/>
  <c r="P8" i="5"/>
  <c r="Q8" i="5" s="1"/>
  <c r="P7" i="5"/>
  <c r="Q7" i="5" s="1"/>
  <c r="P6" i="5"/>
  <c r="Q6" i="5" s="1"/>
  <c r="P5" i="5"/>
  <c r="Q5" i="5" s="1"/>
  <c r="P2" i="5"/>
  <c r="Q2" i="5" s="1"/>
  <c r="P4" i="5"/>
  <c r="Q4" i="5" s="1"/>
  <c r="P3" i="5"/>
  <c r="Q3" i="5" s="1"/>
  <c r="K20" i="4"/>
  <c r="J20" i="4"/>
  <c r="J19" i="4"/>
  <c r="K19" i="4" s="1"/>
  <c r="K17" i="4"/>
  <c r="J18" i="4"/>
  <c r="K18" i="4" s="1"/>
  <c r="K16" i="4"/>
  <c r="J16" i="4"/>
  <c r="J15" i="4"/>
  <c r="K15" i="4" s="1"/>
  <c r="K10" i="4"/>
  <c r="L10" i="4" s="1"/>
  <c r="K9" i="4"/>
  <c r="L9" i="4" s="1"/>
  <c r="K8" i="4"/>
  <c r="L8" i="4" s="1"/>
  <c r="K7" i="4"/>
  <c r="L7" i="4" s="1"/>
  <c r="J54" i="3"/>
  <c r="K76" i="3"/>
  <c r="L76" i="3" s="1"/>
  <c r="J76" i="3"/>
  <c r="K74" i="3"/>
  <c r="L74" i="3" s="1"/>
  <c r="K75" i="3"/>
  <c r="L75" i="3" s="1"/>
  <c r="K73" i="3"/>
  <c r="L73" i="3" s="1"/>
  <c r="J73" i="3"/>
  <c r="J74" i="3"/>
  <c r="J75" i="3"/>
  <c r="K70" i="3"/>
  <c r="J70" i="3"/>
  <c r="J71" i="3"/>
  <c r="L70" i="3"/>
  <c r="L71" i="3"/>
  <c r="L72" i="3"/>
  <c r="K72" i="3"/>
  <c r="J72" i="3"/>
  <c r="K71" i="3"/>
  <c r="K69" i="3"/>
  <c r="L69" i="3" s="1"/>
  <c r="J69" i="3"/>
  <c r="K68" i="3"/>
  <c r="L68" i="3" s="1"/>
  <c r="J68" i="3"/>
  <c r="K67" i="3"/>
  <c r="L67" i="3" s="1"/>
  <c r="J67" i="3"/>
  <c r="K66" i="3"/>
  <c r="L66" i="3" s="1"/>
  <c r="J66" i="3"/>
  <c r="K65" i="3"/>
  <c r="L65" i="3" s="1"/>
  <c r="J65" i="3"/>
  <c r="K64" i="3"/>
  <c r="L64" i="3" s="1"/>
  <c r="J64" i="3"/>
  <c r="K61" i="3"/>
  <c r="L61" i="3" s="1"/>
  <c r="J61" i="3"/>
  <c r="K60" i="3"/>
  <c r="L60" i="3" s="1"/>
  <c r="J60" i="3"/>
  <c r="K59" i="3"/>
  <c r="L59" i="3" s="1"/>
  <c r="J59" i="3"/>
  <c r="J58" i="3"/>
  <c r="K58" i="3"/>
  <c r="L58" i="3" s="1"/>
  <c r="K49" i="3"/>
  <c r="L49" i="3" s="1"/>
  <c r="K51" i="3"/>
  <c r="L51" i="3" s="1"/>
  <c r="K50" i="3"/>
  <c r="L50" i="3" s="1"/>
  <c r="J44" i="3"/>
  <c r="K48" i="3"/>
  <c r="L48" i="3" s="1"/>
  <c r="J45" i="3"/>
  <c r="J46" i="3"/>
  <c r="J47" i="3"/>
  <c r="J48" i="3"/>
  <c r="J49" i="3"/>
  <c r="J50" i="3"/>
  <c r="J51" i="3"/>
  <c r="J52" i="3"/>
  <c r="J53" i="3"/>
  <c r="K46" i="3"/>
  <c r="L46" i="3" s="1"/>
  <c r="K45" i="3"/>
  <c r="L45" i="3" s="1"/>
  <c r="K44" i="3"/>
  <c r="L44" i="3" s="1"/>
  <c r="K53" i="3"/>
  <c r="L53" i="3" s="1"/>
  <c r="L47" i="3"/>
  <c r="K52" i="3"/>
  <c r="L52" i="3" s="1"/>
  <c r="I40" i="3"/>
  <c r="J40" i="3" s="1"/>
  <c r="I39" i="3"/>
  <c r="J39" i="3" s="1"/>
  <c r="I38" i="3"/>
  <c r="J38" i="3" s="1"/>
  <c r="I37" i="3"/>
  <c r="J37" i="3" s="1"/>
  <c r="I33" i="3"/>
  <c r="J33" i="3" s="1"/>
  <c r="I34" i="3"/>
  <c r="J34" i="3" s="1"/>
  <c r="I31" i="3"/>
  <c r="J31" i="3" s="1"/>
  <c r="I30" i="3"/>
  <c r="J30" i="3" s="1"/>
  <c r="I36" i="3"/>
  <c r="J36" i="3" s="1"/>
  <c r="I35" i="3"/>
  <c r="J35" i="3" s="1"/>
  <c r="I32" i="3"/>
  <c r="J32" i="3" s="1"/>
  <c r="I29" i="3"/>
  <c r="J29" i="3" s="1"/>
  <c r="I28" i="3"/>
  <c r="J28" i="3" s="1"/>
  <c r="I27" i="3"/>
  <c r="J27" i="3" s="1"/>
  <c r="I26" i="3"/>
  <c r="J26" i="3" s="1"/>
  <c r="I25" i="3"/>
  <c r="J25" i="3" s="1"/>
  <c r="I24" i="3"/>
  <c r="J24" i="3" s="1"/>
  <c r="I23" i="3"/>
  <c r="J23" i="3" s="1"/>
  <c r="I22" i="3"/>
  <c r="J22" i="3" s="1"/>
  <c r="I20" i="3"/>
  <c r="J20" i="3" s="1"/>
  <c r="I21" i="3"/>
  <c r="J21" i="3" s="1"/>
  <c r="I18" i="3"/>
  <c r="J18" i="3" s="1"/>
  <c r="I17" i="3"/>
  <c r="J17" i="3" s="1"/>
  <c r="I19" i="3"/>
  <c r="J19" i="3" s="1"/>
  <c r="I16" i="3"/>
  <c r="J16" i="3" s="1"/>
  <c r="I12" i="3"/>
  <c r="J12" i="3" s="1"/>
  <c r="I8" i="3"/>
  <c r="J8" i="3" s="1"/>
  <c r="I4" i="3"/>
  <c r="J4" i="3" s="1"/>
  <c r="I15" i="3"/>
  <c r="J15" i="3" s="1"/>
  <c r="I13" i="3"/>
  <c r="J13" i="3" s="1"/>
  <c r="I11" i="3"/>
  <c r="J11" i="3" s="1"/>
  <c r="I14" i="3"/>
  <c r="J14" i="3" s="1"/>
  <c r="I9" i="3"/>
  <c r="J9" i="3" s="1"/>
  <c r="I7" i="3"/>
  <c r="J7" i="3" s="1"/>
  <c r="I10" i="3"/>
  <c r="J10" i="3" s="1"/>
  <c r="I6" i="3"/>
  <c r="J6" i="3" s="1"/>
  <c r="I5" i="3"/>
  <c r="J5" i="3" s="1"/>
  <c r="I3" i="3"/>
  <c r="J3" i="3" s="1"/>
  <c r="V5" i="2"/>
  <c r="U5" i="2"/>
  <c r="U7" i="2"/>
  <c r="V7" i="2"/>
  <c r="T7" i="2"/>
  <c r="H25" i="2"/>
  <c r="U10" i="2"/>
  <c r="V10" i="2"/>
  <c r="T10" i="2"/>
  <c r="U4" i="2"/>
  <c r="V4" i="2"/>
  <c r="T4" i="2"/>
  <c r="H24" i="2"/>
  <c r="I24" i="2" s="1"/>
  <c r="G46" i="2"/>
  <c r="G35" i="2"/>
  <c r="G16" i="2"/>
  <c r="H23" i="2"/>
  <c r="I23" i="2" s="1"/>
  <c r="H42" i="2"/>
  <c r="I42" i="2" s="1"/>
  <c r="H4" i="2"/>
  <c r="H5" i="2"/>
  <c r="I5" i="2" s="1"/>
  <c r="H44" i="2"/>
  <c r="H43" i="2"/>
  <c r="I43" i="2" s="1"/>
  <c r="I13" i="2"/>
  <c r="I14" i="2"/>
  <c r="H9" i="2"/>
  <c r="I44" i="2"/>
  <c r="I9" i="2"/>
  <c r="H29" i="2"/>
  <c r="I29" i="2" s="1"/>
  <c r="H28" i="2"/>
  <c r="I28" i="2" s="1"/>
  <c r="H27" i="2"/>
  <c r="I27" i="2" s="1"/>
  <c r="I25" i="2"/>
  <c r="I30" i="2"/>
  <c r="I31" i="2"/>
  <c r="I33" i="2"/>
  <c r="I34" i="2"/>
  <c r="H32" i="2"/>
  <c r="I32" i="2" s="1"/>
  <c r="H12" i="2"/>
  <c r="I12" i="2" s="1"/>
  <c r="I11" i="2"/>
  <c r="I10" i="2"/>
  <c r="I6" i="2"/>
  <c r="H8" i="2"/>
  <c r="I8" i="2" s="1"/>
  <c r="H7" i="2"/>
  <c r="I7" i="2" s="1"/>
  <c r="I4" i="2"/>
  <c r="J60" i="1"/>
  <c r="K60" i="1" s="1"/>
  <c r="J79" i="1"/>
  <c r="K79" i="1" s="1"/>
  <c r="J43" i="1"/>
  <c r="K43" i="1" s="1"/>
  <c r="J59" i="1"/>
  <c r="K59" i="1" s="1"/>
  <c r="J66" i="1"/>
  <c r="K66" i="1" s="1"/>
  <c r="J67" i="1"/>
  <c r="K67" i="1" s="1"/>
  <c r="J65" i="1"/>
  <c r="K65" i="1" s="1"/>
  <c r="J58" i="1"/>
  <c r="K58" i="1" s="1"/>
  <c r="J57" i="1"/>
  <c r="K57" i="1" s="1"/>
  <c r="J56" i="1"/>
  <c r="K56" i="1" s="1"/>
  <c r="J55" i="1"/>
  <c r="K55" i="1" s="1"/>
  <c r="J64" i="1"/>
  <c r="K64" i="1" s="1"/>
  <c r="J62" i="1"/>
  <c r="K62" i="1" s="1"/>
  <c r="J63" i="1"/>
  <c r="K63" i="1" s="1"/>
  <c r="J61" i="1"/>
  <c r="K61" i="1" s="1"/>
  <c r="J54" i="1"/>
  <c r="K54" i="1" s="1"/>
  <c r="J53" i="1"/>
  <c r="K53" i="1" s="1"/>
  <c r="J52" i="1"/>
  <c r="K52" i="1" s="1"/>
  <c r="J51" i="1"/>
  <c r="K51" i="1" s="1"/>
  <c r="J78" i="1"/>
  <c r="J77" i="1"/>
  <c r="J76" i="1"/>
  <c r="J75" i="1"/>
  <c r="J74" i="1"/>
  <c r="J10" i="1"/>
  <c r="J3" i="7" l="1"/>
  <c r="L3" i="7"/>
  <c r="C14" i="7"/>
  <c r="L5" i="7"/>
  <c r="C18" i="6"/>
  <c r="G21" i="6"/>
  <c r="F21" i="6"/>
  <c r="H17" i="6"/>
  <c r="E18" i="6"/>
  <c r="F17" i="6"/>
  <c r="I24" i="6"/>
  <c r="D20" i="6"/>
  <c r="E24" i="6"/>
  <c r="E15" i="6"/>
  <c r="G24" i="6"/>
  <c r="C19" i="6"/>
  <c r="C24" i="6"/>
  <c r="D16" i="6"/>
  <c r="E21" i="6"/>
  <c r="F24" i="6"/>
  <c r="D15" i="6"/>
  <c r="D24" i="6"/>
  <c r="H21" i="6"/>
  <c r="H18" i="6"/>
  <c r="G18" i="6"/>
  <c r="D21" i="6"/>
  <c r="F18" i="6"/>
  <c r="I19" i="6"/>
  <c r="G17" i="6"/>
  <c r="I18" i="6"/>
  <c r="I17" i="6"/>
  <c r="D18" i="6"/>
  <c r="H19" i="6"/>
  <c r="F19" i="6"/>
  <c r="E20" i="6"/>
  <c r="H24" i="6"/>
  <c r="G19" i="6"/>
  <c r="F25" i="6"/>
  <c r="C15" i="6"/>
  <c r="C16" i="6"/>
  <c r="C17" i="6"/>
  <c r="E25" i="6"/>
  <c r="C23" i="6"/>
  <c r="C25" i="6"/>
  <c r="D26" i="6"/>
  <c r="I25" i="6"/>
  <c r="D23" i="6"/>
  <c r="H25" i="6"/>
  <c r="I23" i="6"/>
  <c r="G25" i="6"/>
  <c r="E17" i="6"/>
  <c r="E19" i="6"/>
  <c r="C26" i="6"/>
  <c r="D25" i="6"/>
  <c r="I15" i="6"/>
  <c r="D17" i="6"/>
  <c r="D19" i="6"/>
  <c r="I21" i="6"/>
  <c r="I26" i="6"/>
  <c r="C21" i="6"/>
  <c r="I16" i="6"/>
  <c r="I20" i="6"/>
  <c r="C22" i="6"/>
  <c r="H26" i="6"/>
  <c r="C20" i="6"/>
  <c r="H16" i="6"/>
  <c r="H20" i="6"/>
  <c r="I22" i="6"/>
  <c r="G26" i="6"/>
  <c r="G16" i="6"/>
  <c r="G20" i="6"/>
  <c r="H22" i="6"/>
  <c r="F26" i="6"/>
  <c r="F16" i="6"/>
  <c r="F20" i="6"/>
  <c r="G22" i="6"/>
  <c r="E26" i="6"/>
  <c r="E16" i="6"/>
  <c r="F22" i="6"/>
  <c r="H23" i="6"/>
  <c r="E22" i="6"/>
  <c r="G23" i="6"/>
  <c r="H15" i="6"/>
  <c r="D22" i="6"/>
  <c r="F23" i="6"/>
  <c r="G15" i="6"/>
  <c r="E23" i="6"/>
  <c r="F15" i="6"/>
  <c r="C15" i="7" l="1"/>
  <c r="C16" i="7" s="1"/>
  <c r="E15" i="7"/>
  <c r="H15" i="7"/>
  <c r="I15" i="7"/>
  <c r="D15" i="7"/>
  <c r="F15" i="7"/>
  <c r="G15" i="7"/>
  <c r="I31" i="6"/>
  <c r="G31" i="6"/>
  <c r="D28" i="6"/>
  <c r="D32" i="6"/>
  <c r="C31" i="6"/>
  <c r="E30" i="6"/>
  <c r="C30" i="6"/>
  <c r="C28" i="6"/>
  <c r="I30" i="6"/>
  <c r="E31" i="6"/>
  <c r="I29" i="6"/>
  <c r="G27" i="6"/>
  <c r="H29" i="6"/>
  <c r="E28" i="6"/>
  <c r="F29" i="6"/>
  <c r="G29" i="6"/>
  <c r="F27" i="6"/>
  <c r="F30" i="6"/>
  <c r="E27" i="6"/>
  <c r="G30" i="6"/>
  <c r="H30" i="6"/>
  <c r="D27" i="6"/>
  <c r="C29" i="6"/>
  <c r="D30" i="6"/>
  <c r="H14" i="7"/>
  <c r="E32" i="6"/>
  <c r="H31" i="6"/>
  <c r="H27" i="6"/>
  <c r="F28" i="6"/>
  <c r="F31" i="6"/>
  <c r="E14" i="7"/>
  <c r="E16" i="7" s="1"/>
  <c r="C32" i="6"/>
  <c r="C27" i="6"/>
  <c r="H28" i="6"/>
  <c r="F32" i="6"/>
  <c r="D31" i="6"/>
  <c r="I14" i="7"/>
  <c r="D29" i="6"/>
  <c r="H32" i="6"/>
  <c r="I27" i="6"/>
  <c r="F14" i="7"/>
  <c r="G32" i="6"/>
  <c r="I32" i="6"/>
  <c r="G28" i="6"/>
  <c r="I28" i="6"/>
  <c r="E29" i="6"/>
  <c r="D14" i="7"/>
  <c r="G14" i="7"/>
  <c r="G16" i="7" s="1"/>
  <c r="F16" i="7" l="1"/>
  <c r="D16" i="7"/>
  <c r="I16" i="7"/>
  <c r="H1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tc={D3BE4DB7-6357-44ED-AFF7-727C0C991779}</author>
    <author>tc={C19F6259-C0C9-43B5-BDBC-3757C13DADEC}</author>
    <author>tc={2A564528-094E-46C6-A98D-994CD8541A25}</author>
    <author>tc={11DA70EB-2022-4F38-B7D4-B5EA26808970}</author>
  </authors>
  <commentList>
    <comment ref="J18" authorId="0" shapeId="0" xr:uid="{D3BE4DB7-6357-44ED-AFF7-727C0C99177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MUY LENTO</t>
      </text>
    </comment>
    <comment ref="J28" authorId="1" shapeId="0" xr:uid="{C19F6259-C0C9-43B5-BDBC-3757C13DADE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MUY LENTO</t>
      </text>
    </comment>
    <comment ref="H37" authorId="2" shapeId="0" xr:uid="{2A564528-094E-46C6-A98D-994CD8541A2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Set de datos con una bajada importante de la cantidad de azúcar, afecta optimización.</t>
      </text>
    </comment>
    <comment ref="C71" authorId="3" shapeId="0" xr:uid="{11DA70EB-2022-4F38-B7D4-B5EA2680897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 las 150 queda en 0.0639131566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tc={FB676A63-55E8-41DC-BEAE-210FF5749F53}</author>
  </authors>
  <commentList>
    <comment ref="J7" authorId="0" shapeId="0" xr:uid="{FB676A63-55E8-41DC-BEAE-210FF5749F5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Set de datos con una bajada importante de la cantidad de azúcar, afecta optimización.</t>
      </text>
    </comment>
  </commentList>
</comments>
</file>

<file path=xl/sharedStrings.xml><?xml version="1.0" encoding="utf-8"?>
<sst xmlns="http://schemas.openxmlformats.org/spreadsheetml/2006/main" count="952" uniqueCount="192">
  <si>
    <t>Set de datos:</t>
  </si>
  <si>
    <t>Método opt. global</t>
  </si>
  <si>
    <t>Parámetros opt.</t>
  </si>
  <si>
    <t>maxiter</t>
  </si>
  <si>
    <t>popsize</t>
  </si>
  <si>
    <t>differential evolution</t>
  </si>
  <si>
    <t>Tiempo (s)</t>
  </si>
  <si>
    <t>No</t>
  </si>
  <si>
    <t>Si</t>
  </si>
  <si>
    <t>Costo final opt.</t>
  </si>
  <si>
    <t>Costo final ls</t>
  </si>
  <si>
    <t>Data CS 25 SUC. IVAN VALDES estanque 239</t>
  </si>
  <si>
    <t>¿least _square (ls)?</t>
  </si>
  <si>
    <t>dual annealing</t>
  </si>
  <si>
    <t>de y da tienen seed 50 siempre</t>
  </si>
  <si>
    <t>de y da tienen optimización local activada en su interna</t>
  </si>
  <si>
    <t>PSO</t>
  </si>
  <si>
    <t>*Por gráfico, mejorcito</t>
  </si>
  <si>
    <t>Data CS 24 LOU estanque 54.xlsx</t>
  </si>
  <si>
    <t>Después de repetición 100 se repetían números, hacer n_iter variable según set de datos?</t>
  </si>
  <si>
    <t>Los métodos da y de en sus mejores versiones según lo evaluado con el set de datos anterior, no entrega buenos resultados.</t>
  </si>
  <si>
    <t>Data CS 24 AGROCAUQ estanque 68.xlsx</t>
  </si>
  <si>
    <t>Set de datos con densidad rara, variable. No son datos completamente "limpios".</t>
  </si>
  <si>
    <t>El ajuste de 25 partículas y 100 iteraciones se ve bien (gráficos, al ojo)</t>
  </si>
  <si>
    <t>ls no da mejores resultados</t>
  </si>
  <si>
    <t>Cambié C1 C2 y w</t>
  </si>
  <si>
    <t>Probé con PSO de mealpy, se demora mucho y como que no funciona</t>
  </si>
  <si>
    <t>en otros casos azúcar es de 20, y etanol de 0,4, por ejemplo</t>
  </si>
  <si>
    <t>PSO mealpy</t>
  </si>
  <si>
    <t>n_iter (epoch)</t>
  </si>
  <si>
    <t>n_particles (pop_size)</t>
  </si>
  <si>
    <t>PSO mealpy PSO.OriginalPSO</t>
  </si>
  <si>
    <t>PSO mealpy PSO.HPSO_TVAC</t>
  </si>
  <si>
    <t>PSO mealpy pso.originalpso</t>
  </si>
  <si>
    <t>Tiempo (min)</t>
  </si>
  <si>
    <t>Dual annealing funciona peor con esta función objetivo</t>
  </si>
  <si>
    <t>con termination en it = 219</t>
  </si>
  <si>
    <t>con termination en  it = 129</t>
  </si>
  <si>
    <t>10000, eps = 1e-6</t>
  </si>
  <si>
    <t>con termination en  it = 113</t>
  </si>
  <si>
    <t>Set de datos</t>
  </si>
  <si>
    <t>PROBAR CON C1 = 1,5, C2 = 1,5 y w = 0,7</t>
  </si>
  <si>
    <t>10000, eps = 1e-7</t>
  </si>
  <si>
    <t>Debe ser más exigente el criterio para cortar optimización</t>
  </si>
  <si>
    <t>Mas de una hora corriendo</t>
  </si>
  <si>
    <t>Método PSO</t>
  </si>
  <si>
    <t>pop_size</t>
  </si>
  <si>
    <t>epoch</t>
  </si>
  <si>
    <t>c1</t>
  </si>
  <si>
    <t>c2</t>
  </si>
  <si>
    <t>w</t>
  </si>
  <si>
    <t>Parámetros</t>
  </si>
  <si>
    <t>mu0</t>
  </si>
  <si>
    <t>betaG0</t>
  </si>
  <si>
    <t>betaF0</t>
  </si>
  <si>
    <t>Kn0</t>
  </si>
  <si>
    <t>Kg0</t>
  </si>
  <si>
    <t>Kf0</t>
  </si>
  <si>
    <t>Kig0</t>
  </si>
  <si>
    <t>Kie0</t>
  </si>
  <si>
    <t>Kd0</t>
  </si>
  <si>
    <t>Yxn</t>
  </si>
  <si>
    <t>Yxf</t>
  </si>
  <si>
    <t>Yeg</t>
  </si>
  <si>
    <t>Yef</t>
  </si>
  <si>
    <t>Yxg</t>
  </si>
  <si>
    <t>PSO_gpt</t>
  </si>
  <si>
    <t>Parámetros fijados</t>
  </si>
  <si>
    <t>PSO_pyswarms</t>
  </si>
  <si>
    <t>PSO_mealpy</t>
  </si>
  <si>
    <t>PSO_pymoo</t>
  </si>
  <si>
    <t xml:space="preserve">Cambiando el upper bound de mu0 desde 10 a 1: </t>
  </si>
  <si>
    <t>f_avg</t>
  </si>
  <si>
    <t>Costo final opt.(f_min)</t>
  </si>
  <si>
    <t>buen ajuste</t>
  </si>
  <si>
    <t>mid ajuste</t>
  </si>
  <si>
    <t>mejorcito</t>
  </si>
  <si>
    <t>f_avg-f_min</t>
  </si>
  <si>
    <t>1. Data CS 25 SUC. IVAN VALDES estanque 239</t>
  </si>
  <si>
    <t>1. Data CS 25 SUC. IVAN VALDES estanque 240</t>
  </si>
  <si>
    <t>2. Data CS 24 AGROCAUQ estanque 68.xlsx</t>
  </si>
  <si>
    <t>3. Data CS 24 LOU estanque 54.xlsx</t>
  </si>
  <si>
    <t>4. Data CS 25 LOU estanque 31.xlsx</t>
  </si>
  <si>
    <t>5. Data CS 24 PAROT+AURORA estanque 54.xlsx</t>
  </si>
  <si>
    <t>2 sets: 1. y 4.</t>
  </si>
  <si>
    <t>malos ajustes</t>
  </si>
  <si>
    <t>mejores que antes pero malos igual</t>
  </si>
  <si>
    <t>mejorando</t>
  </si>
  <si>
    <t>Ajuste no mejora mucho aumentando iteraciones</t>
  </si>
  <si>
    <t>Pruebas de ajustes con mas de un set de datos</t>
  </si>
  <si>
    <t>Por gráfico costo vs iteración, se observa que no mejora</t>
  </si>
  <si>
    <t>2 sets: 3. y 5.</t>
  </si>
  <si>
    <t>Buen ajuste</t>
  </si>
  <si>
    <t>Buen ajuste, faltaron iteraciones</t>
  </si>
  <si>
    <t>3 sets: 1. 3. y 5.</t>
  </si>
  <si>
    <t>3 sets: 3. 4. y 5.</t>
  </si>
  <si>
    <t>Bastante decente para los 3 sets, debería tener más iteraciones podía seguir bajando</t>
  </si>
  <si>
    <t>Faltan iteraciones, buenos resultados iniciales</t>
  </si>
  <si>
    <t>BUENO</t>
  </si>
  <si>
    <t>Modifiqué valor inicial de Yxn = 3,0:</t>
  </si>
  <si>
    <t>prueba con sets de validación:</t>
  </si>
  <si>
    <t>DE ANTES:</t>
  </si>
  <si>
    <t>CON TERMINATION:</t>
  </si>
  <si>
    <t>Iteración final</t>
  </si>
  <si>
    <t>Criterio termination</t>
  </si>
  <si>
    <t>Se ve bastante bien, podría mejorar un poco</t>
  </si>
  <si>
    <t>Bueno igual</t>
  </si>
  <si>
    <t>Probé cambiando w=0.9 pero optimiza más lento</t>
  </si>
  <si>
    <t>Bien, mejorable</t>
  </si>
  <si>
    <t>Variedad</t>
  </si>
  <si>
    <t>Cabernet Sauvignon</t>
  </si>
  <si>
    <t>Data CS 25 EL BOLDO estanque 55.xlsx</t>
  </si>
  <si>
    <t>Data CS 24 EL BOLDO estanque 30.xlsx</t>
  </si>
  <si>
    <t>Iteración de término</t>
  </si>
  <si>
    <t>Alcanzó el final de las iteraciones</t>
  </si>
  <si>
    <t>Data CS 25 LOU estanque 61.xlsx</t>
  </si>
  <si>
    <t>Syrah</t>
  </si>
  <si>
    <t>Data SY 24 LOU+VAL+FN estanque 36.xlsx</t>
  </si>
  <si>
    <t>Data SY 24 VAL+STARAQ estanque 56.xlsx</t>
  </si>
  <si>
    <t>Data SY 24 LOU estanque 62.xlsx</t>
  </si>
  <si>
    <t>Data SY 25 LOU estanque 30.xlsx</t>
  </si>
  <si>
    <t>Data ME 25 Q. AGUA estanque 85.xlsx</t>
  </si>
  <si>
    <t>Merlot</t>
  </si>
  <si>
    <t>Data ME 24 QAGUA estanque 54.xlsx</t>
  </si>
  <si>
    <t>Data ME 25 AURORA + STA MARTA estanque 57.xlsx</t>
  </si>
  <si>
    <t>Data ME 25 STA MARTA estanque 62.xlsx</t>
  </si>
  <si>
    <t>Desv. Est. CS</t>
  </si>
  <si>
    <t>Promedio CS</t>
  </si>
  <si>
    <t>Promedio SY</t>
  </si>
  <si>
    <t>Desv. Est. SY</t>
  </si>
  <si>
    <t>Promedio ME</t>
  </si>
  <si>
    <t>Desv. Est. ME</t>
  </si>
  <si>
    <t>Set de datos (100.000 L)</t>
  </si>
  <si>
    <t>Set de datos (52.400 L)</t>
  </si>
  <si>
    <t>Data CS 25 EL BOLDO estanque 133.xlsx</t>
  </si>
  <si>
    <t>Data CS 24 RH+BOLDO estanque 140.xlsx</t>
  </si>
  <si>
    <t>Promedio</t>
  </si>
  <si>
    <t>Desv. Est.</t>
  </si>
  <si>
    <t>Data CS 24 CONQ+IVALDES estanque 144.xlsx</t>
  </si>
  <si>
    <t>Data CA 24 VAL estanque 31.xlsx</t>
  </si>
  <si>
    <t>Carmenere</t>
  </si>
  <si>
    <t>Promedio CA</t>
  </si>
  <si>
    <t>Data CA 24 VAL estanque 59.xlsx</t>
  </si>
  <si>
    <t>Desv. Est. CA</t>
  </si>
  <si>
    <t>Data CA 24 VAL estanque 62.xlsx</t>
  </si>
  <si>
    <t>Data CA 25 F.N. estanque 68.xlsx</t>
  </si>
  <si>
    <t>Set de datos (80.000 L)</t>
  </si>
  <si>
    <t>Data CS 25 BOLDO + STA MARTA estanque 41.xlsx</t>
  </si>
  <si>
    <t>Data CS 25 EL BOLDO (C88 - 89) estanque 50.xlsx</t>
  </si>
  <si>
    <t>Data CS+MA 24 COL+JMU+IVALDES estanque 41.xlsx</t>
  </si>
  <si>
    <t>Marca levadura</t>
  </si>
  <si>
    <t>IOC R 9008</t>
  </si>
  <si>
    <t>Siembra</t>
  </si>
  <si>
    <t>ESTIMACIÓN 100.000 L CON LOS 4 SETS DE DATOS</t>
  </si>
  <si>
    <t>-</t>
  </si>
  <si>
    <t>No muy bueno</t>
  </si>
  <si>
    <t>Bueno para los sets, no perfecto</t>
  </si>
  <si>
    <t>X0</t>
  </si>
  <si>
    <t>N0</t>
  </si>
  <si>
    <t>G0/F0</t>
  </si>
  <si>
    <t>Cantidad de datos en el perfil de azúcares</t>
  </si>
  <si>
    <t>Relativamente bueno (excepto el primero)</t>
  </si>
  <si>
    <t>N de datos</t>
  </si>
  <si>
    <t>CS-SY</t>
  </si>
  <si>
    <t>CS-ME</t>
  </si>
  <si>
    <t>CS-CA</t>
  </si>
  <si>
    <t>SY-ME</t>
  </si>
  <si>
    <t>SY-CA</t>
  </si>
  <si>
    <t>ME-CA</t>
  </si>
  <si>
    <t>t</t>
  </si>
  <si>
    <t>N fermentaciones</t>
  </si>
  <si>
    <t>df</t>
  </si>
  <si>
    <t>dfi</t>
  </si>
  <si>
    <t>N° params</t>
  </si>
  <si>
    <t>p-value</t>
  </si>
  <si>
    <t>100 K</t>
  </si>
  <si>
    <t>52,4 K</t>
  </si>
  <si>
    <t>100 - 52,4</t>
  </si>
  <si>
    <t>Data CA 25 VAL estanque 38.xlsx</t>
  </si>
  <si>
    <t>Data ME 24 QAGUA estanque 48.xlsx</t>
  </si>
  <si>
    <t>Data ME 25 Q. AGUA estanque 40.xlsx</t>
  </si>
  <si>
    <t>Data SY 24 LOU estanque 41.xlsx</t>
  </si>
  <si>
    <t>Data ME 25 Q. AGUA estanque 45.xlsx</t>
  </si>
  <si>
    <t>Data CA 25 LOU estanque 150.xlsx</t>
  </si>
  <si>
    <t>Data ME 25 Q. AGUA estanque 147</t>
  </si>
  <si>
    <t>Data ME 25 Q. AGUA estanque 171.xlsx</t>
  </si>
  <si>
    <t>Data SY 24 LOU estanque 152.xlsx</t>
  </si>
  <si>
    <t>Data SY 25 LOU estanque 142.xlsx</t>
  </si>
  <si>
    <t>Data SY 25 LOU + VAL estanque 156.xlsx</t>
  </si>
  <si>
    <t>IOC R 9009</t>
  </si>
  <si>
    <t>Promedio tot</t>
  </si>
  <si>
    <t>Desv. Est. 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</si>
</sst>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.0000000"/>
    <numFmt numFmtId="165" formatCode="#,##0.00000000"/>
    <numFmt numFmtId="166" formatCode="#,##0.000000"/>
    <numFmt numFmtId="167" formatCode="0.000"/>
    <numFmt numFmtId="168" formatCode="0.000000000"/>
    <numFmt numFmtId="169" formatCode="0.0000000"/>
    <numFmt numFmtId="170" formatCode="0.00000000"/>
    <numFmt numFmtId="171" formatCode="0.0000"/>
    <numFmt numFmtId="172" formatCode="#,##0.000000000"/>
    <numFmt numFmtId="173" formatCode="0.00000E+00"/>
    <numFmt numFmtId="174" formatCode="0.0000.E+00"/>
    <numFmt numFmtId="175" formatCode="0.0000%"/>
    <numFmt numFmtId="176" formatCode="#,##0.00000"/>
    <numFmt numFmtId="177" formatCode="0.0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89">
    <xf numFmtId="0" fontId="0" fillId="0" borderId="0" xfId="0"/>
    <xf numFmtId="3" fontId="0" fillId="0" borderId="0" xfId="0" applyNumberFormat="1"/>
    <xf numFmtId="0" fontId="0" fillId="0" borderId="1" xfId="0" applyBorder="1"/>
    <xf numFmtId="164" fontId="0" fillId="0" borderId="1" xfId="0" applyNumberFormat="1" applyBorder="1"/>
    <xf numFmtId="164" fontId="0" fillId="2" borderId="1" xfId="0" applyNumberFormat="1" applyFill="1" applyBorder="1"/>
    <xf numFmtId="164" fontId="0" fillId="3" borderId="1" xfId="0" applyNumberFormat="1" applyFill="1" applyBorder="1"/>
    <xf numFmtId="0" fontId="0" fillId="0" borderId="6" xfId="0" applyBorder="1"/>
    <xf numFmtId="0" fontId="1" fillId="4" borderId="8" xfId="0" applyFont="1" applyFill="1" applyBorder="1"/>
    <xf numFmtId="0" fontId="0" fillId="0" borderId="2" xfId="0" applyBorder="1"/>
    <xf numFmtId="0" fontId="0" fillId="0" borderId="3" xfId="0" applyBorder="1"/>
    <xf numFmtId="164" fontId="0" fillId="0" borderId="3" xfId="0" applyNumberFormat="1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164" fontId="0" fillId="0" borderId="6" xfId="0" applyNumberFormat="1" applyBorder="1"/>
    <xf numFmtId="0" fontId="0" fillId="0" borderId="5" xfId="0" applyBorder="1"/>
    <xf numFmtId="0" fontId="1" fillId="4" borderId="6" xfId="0" applyFont="1" applyFill="1" applyBorder="1"/>
    <xf numFmtId="0" fontId="0" fillId="0" borderId="11" xfId="0" applyBorder="1"/>
    <xf numFmtId="0" fontId="0" fillId="0" borderId="12" xfId="0" applyBorder="1"/>
    <xf numFmtId="164" fontId="0" fillId="0" borderId="13" xfId="0" applyNumberFormat="1" applyBorder="1"/>
    <xf numFmtId="164" fontId="0" fillId="0" borderId="14" xfId="0" applyNumberFormat="1" applyBorder="1"/>
    <xf numFmtId="164" fontId="0" fillId="0" borderId="8" xfId="0" applyNumberFormat="1" applyBorder="1"/>
    <xf numFmtId="0" fontId="0" fillId="0" borderId="15" xfId="0" applyBorder="1"/>
    <xf numFmtId="0" fontId="0" fillId="0" borderId="8" xfId="0" applyBorder="1"/>
    <xf numFmtId="0" fontId="0" fillId="0" borderId="16" xfId="0" applyBorder="1"/>
    <xf numFmtId="0" fontId="0" fillId="0" borderId="17" xfId="0" applyBorder="1"/>
    <xf numFmtId="164" fontId="0" fillId="0" borderId="18" xfId="0" applyNumberFormat="1" applyBorder="1"/>
    <xf numFmtId="0" fontId="0" fillId="0" borderId="7" xfId="0" applyBorder="1"/>
    <xf numFmtId="165" fontId="0" fillId="0" borderId="1" xfId="0" applyNumberFormat="1" applyBorder="1"/>
    <xf numFmtId="165" fontId="0" fillId="2" borderId="1" xfId="0" applyNumberFormat="1" applyFill="1" applyBorder="1"/>
    <xf numFmtId="166" fontId="0" fillId="0" borderId="1" xfId="0" applyNumberFormat="1" applyBorder="1"/>
    <xf numFmtId="0" fontId="2" fillId="0" borderId="1" xfId="0" applyFont="1" applyBorder="1"/>
    <xf numFmtId="0" fontId="1" fillId="4" borderId="2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2" fillId="0" borderId="3" xfId="0" applyFont="1" applyBorder="1"/>
    <xf numFmtId="165" fontId="0" fillId="0" borderId="3" xfId="0" applyNumberFormat="1" applyBorder="1"/>
    <xf numFmtId="2" fontId="0" fillId="0" borderId="0" xfId="0" applyNumberFormat="1" applyAlignment="1">
      <alignment horizontal="left"/>
    </xf>
    <xf numFmtId="0" fontId="0" fillId="3" borderId="5" xfId="0" applyFill="1" applyBorder="1"/>
    <xf numFmtId="0" fontId="0" fillId="3" borderId="6" xfId="0" applyFill="1" applyBorder="1"/>
    <xf numFmtId="164" fontId="0" fillId="3" borderId="6" xfId="0" applyNumberFormat="1" applyFill="1" applyBorder="1"/>
    <xf numFmtId="0" fontId="0" fillId="3" borderId="7" xfId="0" applyFill="1" applyBorder="1"/>
    <xf numFmtId="165" fontId="0" fillId="3" borderId="6" xfId="0" applyNumberFormat="1" applyFill="1" applyBorder="1"/>
    <xf numFmtId="164" fontId="0" fillId="2" borderId="6" xfId="0" applyNumberFormat="1" applyFill="1" applyBorder="1"/>
    <xf numFmtId="0" fontId="0" fillId="0" borderId="19" xfId="0" applyBorder="1"/>
    <xf numFmtId="0" fontId="0" fillId="0" borderId="20" xfId="0" applyBorder="1"/>
    <xf numFmtId="0" fontId="1" fillId="4" borderId="1" xfId="0" applyFont="1" applyFill="1" applyBorder="1"/>
    <xf numFmtId="167" fontId="0" fillId="0" borderId="1" xfId="0" applyNumberFormat="1" applyBorder="1"/>
    <xf numFmtId="0" fontId="3" fillId="0" borderId="1" xfId="0" applyFont="1" applyBorder="1"/>
    <xf numFmtId="167" fontId="3" fillId="0" borderId="1" xfId="0" applyNumberFormat="1" applyFont="1" applyBorder="1"/>
    <xf numFmtId="0" fontId="0" fillId="2" borderId="1" xfId="0" applyFill="1" applyBorder="1"/>
    <xf numFmtId="0" fontId="0" fillId="5" borderId="0" xfId="0" applyFill="1"/>
    <xf numFmtId="168" fontId="2" fillId="0" borderId="1" xfId="0" applyNumberFormat="1" applyFont="1" applyBorder="1"/>
    <xf numFmtId="168" fontId="0" fillId="2" borderId="1" xfId="0" applyNumberFormat="1" applyFill="1" applyBorder="1"/>
    <xf numFmtId="2" fontId="0" fillId="0" borderId="1" xfId="0" applyNumberFormat="1" applyBorder="1"/>
    <xf numFmtId="169" fontId="5" fillId="0" borderId="1" xfId="0" applyNumberFormat="1" applyFont="1" applyBorder="1"/>
    <xf numFmtId="164" fontId="5" fillId="0" borderId="1" xfId="0" applyNumberFormat="1" applyFont="1" applyBorder="1"/>
    <xf numFmtId="0" fontId="5" fillId="0" borderId="1" xfId="0" applyFont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169" fontId="2" fillId="0" borderId="1" xfId="0" applyNumberFormat="1" applyFont="1" applyBorder="1"/>
    <xf numFmtId="168" fontId="0" fillId="0" borderId="1" xfId="0" applyNumberFormat="1" applyBorder="1"/>
    <xf numFmtId="167" fontId="0" fillId="0" borderId="3" xfId="0" applyNumberFormat="1" applyBorder="1"/>
    <xf numFmtId="169" fontId="5" fillId="0" borderId="3" xfId="0" applyNumberFormat="1" applyFont="1" applyBorder="1"/>
    <xf numFmtId="169" fontId="2" fillId="0" borderId="3" xfId="0" applyNumberFormat="1" applyFont="1" applyBorder="1"/>
    <xf numFmtId="169" fontId="5" fillId="0" borderId="4" xfId="0" applyNumberFormat="1" applyFont="1" applyBorder="1"/>
    <xf numFmtId="169" fontId="5" fillId="0" borderId="10" xfId="0" applyNumberFormat="1" applyFont="1" applyBorder="1"/>
    <xf numFmtId="0" fontId="1" fillId="4" borderId="6" xfId="0" applyFont="1" applyFill="1" applyBorder="1" applyAlignment="1">
      <alignment horizontal="center"/>
    </xf>
    <xf numFmtId="0" fontId="1" fillId="6" borderId="6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0" fontId="1" fillId="6" borderId="7" xfId="0" applyFont="1" applyFill="1" applyBorder="1" applyAlignment="1">
      <alignment horizontal="center"/>
    </xf>
    <xf numFmtId="167" fontId="0" fillId="0" borderId="21" xfId="0" applyNumberFormat="1" applyBorder="1"/>
    <xf numFmtId="0" fontId="0" fillId="2" borderId="6" xfId="0" applyFill="1" applyBorder="1"/>
    <xf numFmtId="164" fontId="5" fillId="0" borderId="3" xfId="0" applyNumberFormat="1" applyFont="1" applyBorder="1"/>
    <xf numFmtId="167" fontId="0" fillId="7" borderId="21" xfId="0" applyNumberFormat="1" applyFill="1" applyBorder="1"/>
    <xf numFmtId="167" fontId="0" fillId="2" borderId="1" xfId="0" applyNumberFormat="1" applyFill="1" applyBorder="1"/>
    <xf numFmtId="169" fontId="5" fillId="2" borderId="1" xfId="0" applyNumberFormat="1" applyFont="1" applyFill="1" applyBorder="1"/>
    <xf numFmtId="164" fontId="5" fillId="2" borderId="1" xfId="0" applyNumberFormat="1" applyFont="1" applyFill="1" applyBorder="1"/>
    <xf numFmtId="169" fontId="5" fillId="2" borderId="10" xfId="0" applyNumberFormat="1" applyFont="1" applyFill="1" applyBorder="1"/>
    <xf numFmtId="169" fontId="2" fillId="2" borderId="1" xfId="0" applyNumberFormat="1" applyFont="1" applyFill="1" applyBorder="1"/>
    <xf numFmtId="167" fontId="0" fillId="2" borderId="6" xfId="0" applyNumberFormat="1" applyFill="1" applyBorder="1"/>
    <xf numFmtId="169" fontId="5" fillId="2" borderId="6" xfId="0" applyNumberFormat="1" applyFont="1" applyFill="1" applyBorder="1"/>
    <xf numFmtId="164" fontId="5" fillId="2" borderId="6" xfId="0" applyNumberFormat="1" applyFont="1" applyFill="1" applyBorder="1"/>
    <xf numFmtId="169" fontId="2" fillId="2" borderId="6" xfId="0" applyNumberFormat="1" applyFont="1" applyFill="1" applyBorder="1"/>
    <xf numFmtId="169" fontId="5" fillId="2" borderId="7" xfId="0" applyNumberFormat="1" applyFont="1" applyFill="1" applyBorder="1"/>
    <xf numFmtId="167" fontId="0" fillId="2" borderId="21" xfId="0" applyNumberFormat="1" applyFill="1" applyBorder="1"/>
    <xf numFmtId="167" fontId="0" fillId="2" borderId="27" xfId="0" applyNumberFormat="1" applyFill="1" applyBorder="1"/>
    <xf numFmtId="0" fontId="5" fillId="2" borderId="6" xfId="0" applyFont="1" applyFill="1" applyBorder="1"/>
    <xf numFmtId="167" fontId="0" fillId="8" borderId="1" xfId="0" applyNumberFormat="1" applyFill="1" applyBorder="1"/>
    <xf numFmtId="0" fontId="1" fillId="4" borderId="11" xfId="0" applyFont="1" applyFill="1" applyBorder="1"/>
    <xf numFmtId="0" fontId="1" fillId="4" borderId="25" xfId="0" applyFont="1" applyFill="1" applyBorder="1"/>
    <xf numFmtId="0" fontId="1" fillId="4" borderId="13" xfId="0" applyFont="1" applyFill="1" applyBorder="1"/>
    <xf numFmtId="0" fontId="1" fillId="4" borderId="26" xfId="0" applyFont="1" applyFill="1" applyBorder="1"/>
    <xf numFmtId="0" fontId="1" fillId="4" borderId="24" xfId="0" applyFont="1" applyFill="1" applyBorder="1" applyAlignment="1">
      <alignment vertical="center" wrapText="1"/>
    </xf>
    <xf numFmtId="0" fontId="1" fillId="4" borderId="23" xfId="0" applyFont="1" applyFill="1" applyBorder="1" applyAlignment="1">
      <alignment vertical="center" wrapText="1"/>
    </xf>
    <xf numFmtId="0" fontId="0" fillId="2" borderId="8" xfId="0" applyFill="1" applyBorder="1"/>
    <xf numFmtId="170" fontId="0" fillId="0" borderId="1" xfId="0" applyNumberFormat="1" applyBorder="1"/>
    <xf numFmtId="0" fontId="0" fillId="9" borderId="0" xfId="0" applyFill="1"/>
    <xf numFmtId="0" fontId="1" fillId="4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4" borderId="12" xfId="0" applyFont="1" applyFill="1" applyBorder="1"/>
    <xf numFmtId="0" fontId="1" fillId="4" borderId="22" xfId="0" applyFont="1" applyFill="1" applyBorder="1"/>
    <xf numFmtId="0" fontId="1" fillId="4" borderId="14" xfId="0" applyFont="1" applyFill="1" applyBorder="1"/>
    <xf numFmtId="172" fontId="0" fillId="0" borderId="1" xfId="0" applyNumberFormat="1" applyBorder="1"/>
    <xf numFmtId="173" fontId="0" fillId="0" borderId="0" xfId="0" applyNumberFormat="1"/>
    <xf numFmtId="174" fontId="0" fillId="0" borderId="1" xfId="0" applyNumberFormat="1" applyBorder="1"/>
    <xf numFmtId="2" fontId="0" fillId="0" borderId="0" xfId="0" applyNumberFormat="1"/>
    <xf numFmtId="165" fontId="0" fillId="0" borderId="0" xfId="0" applyNumberFormat="1"/>
    <xf numFmtId="169" fontId="2" fillId="0" borderId="0" xfId="0" applyNumberFormat="1" applyFont="1"/>
    <xf numFmtId="2" fontId="0" fillId="0" borderId="8" xfId="0" applyNumberFormat="1" applyBorder="1"/>
    <xf numFmtId="165" fontId="0" fillId="0" borderId="8" xfId="0" applyNumberFormat="1" applyBorder="1"/>
    <xf numFmtId="169" fontId="2" fillId="0" borderId="8" xfId="0" applyNumberFormat="1" applyFont="1" applyBorder="1"/>
    <xf numFmtId="168" fontId="0" fillId="0" borderId="0" xfId="0" applyNumberFormat="1"/>
    <xf numFmtId="170" fontId="0" fillId="0" borderId="0" xfId="0" applyNumberFormat="1"/>
    <xf numFmtId="0" fontId="0" fillId="0" borderId="1" xfId="0" applyBorder="1" applyAlignment="1">
      <alignment horizontal="right"/>
    </xf>
    <xf numFmtId="174" fontId="0" fillId="0" borderId="0" xfId="0" applyNumberFormat="1"/>
    <xf numFmtId="174" fontId="0" fillId="0" borderId="3" xfId="0" applyNumberFormat="1" applyBorder="1"/>
    <xf numFmtId="2" fontId="0" fillId="0" borderId="3" xfId="0" applyNumberFormat="1" applyBorder="1"/>
    <xf numFmtId="172" fontId="0" fillId="0" borderId="3" xfId="0" applyNumberFormat="1" applyBorder="1"/>
    <xf numFmtId="170" fontId="0" fillId="0" borderId="3" xfId="0" applyNumberFormat="1" applyBorder="1"/>
    <xf numFmtId="174" fontId="0" fillId="0" borderId="6" xfId="0" applyNumberFormat="1" applyBorder="1"/>
    <xf numFmtId="2" fontId="0" fillId="0" borderId="6" xfId="0" applyNumberFormat="1" applyBorder="1"/>
    <xf numFmtId="172" fontId="0" fillId="0" borderId="6" xfId="0" applyNumberFormat="1" applyBorder="1"/>
    <xf numFmtId="169" fontId="2" fillId="0" borderId="6" xfId="0" applyNumberFormat="1" applyFont="1" applyBorder="1"/>
    <xf numFmtId="165" fontId="0" fillId="0" borderId="6" xfId="0" applyNumberFormat="1" applyBorder="1"/>
    <xf numFmtId="170" fontId="0" fillId="0" borderId="6" xfId="0" applyNumberFormat="1" applyBorder="1"/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right"/>
    </xf>
    <xf numFmtId="0" fontId="0" fillId="10" borderId="3" xfId="0" applyFill="1" applyBorder="1" applyAlignment="1">
      <alignment horizontal="right"/>
    </xf>
    <xf numFmtId="0" fontId="0" fillId="10" borderId="3" xfId="0" applyFill="1" applyBorder="1" applyAlignment="1">
      <alignment horizontal="right" vertical="center" wrapText="1"/>
    </xf>
    <xf numFmtId="168" fontId="0" fillId="10" borderId="3" xfId="0" applyNumberFormat="1" applyFill="1" applyBorder="1" applyAlignment="1">
      <alignment horizontal="right" vertical="center" wrapText="1"/>
    </xf>
    <xf numFmtId="174" fontId="0" fillId="10" borderId="3" xfId="0" applyNumberFormat="1" applyFill="1" applyBorder="1"/>
    <xf numFmtId="0" fontId="0" fillId="0" borderId="3" xfId="0" applyBorder="1" applyAlignment="1">
      <alignment horizontal="right" vertical="center" wrapText="1"/>
    </xf>
    <xf numFmtId="172" fontId="0" fillId="10" borderId="3" xfId="0" applyNumberFormat="1" applyFill="1" applyBorder="1" applyAlignment="1">
      <alignment horizontal="right"/>
    </xf>
    <xf numFmtId="169" fontId="2" fillId="10" borderId="3" xfId="0" applyNumberFormat="1" applyFont="1" applyFill="1" applyBorder="1"/>
    <xf numFmtId="165" fontId="0" fillId="10" borderId="3" xfId="0" applyNumberFormat="1" applyFill="1" applyBorder="1" applyAlignment="1">
      <alignment horizontal="right"/>
    </xf>
    <xf numFmtId="170" fontId="0" fillId="10" borderId="3" xfId="0" applyNumberFormat="1" applyFill="1" applyBorder="1" applyAlignment="1">
      <alignment horizontal="right"/>
    </xf>
    <xf numFmtId="0" fontId="0" fillId="10" borderId="4" xfId="0" applyFill="1" applyBorder="1" applyAlignment="1">
      <alignment horizontal="right"/>
    </xf>
    <xf numFmtId="0" fontId="0" fillId="0" borderId="9" xfId="0" applyBorder="1" applyAlignment="1">
      <alignment vertical="center" wrapText="1"/>
    </xf>
    <xf numFmtId="170" fontId="0" fillId="0" borderId="10" xfId="0" applyNumberFormat="1" applyBorder="1"/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horizontal="right"/>
    </xf>
    <xf numFmtId="168" fontId="0" fillId="0" borderId="6" xfId="0" applyNumberFormat="1" applyBorder="1"/>
    <xf numFmtId="170" fontId="0" fillId="0" borderId="7" xfId="0" applyNumberFormat="1" applyBorder="1"/>
    <xf numFmtId="0" fontId="0" fillId="10" borderId="3" xfId="0" applyFill="1" applyBorder="1"/>
    <xf numFmtId="172" fontId="0" fillId="10" borderId="3" xfId="0" applyNumberFormat="1" applyFill="1" applyBorder="1"/>
    <xf numFmtId="165" fontId="0" fillId="10" borderId="3" xfId="0" applyNumberFormat="1" applyFill="1" applyBorder="1"/>
    <xf numFmtId="0" fontId="0" fillId="10" borderId="4" xfId="0" applyFill="1" applyBorder="1"/>
    <xf numFmtId="0" fontId="0" fillId="0" borderId="15" xfId="0" applyBorder="1" applyAlignment="1">
      <alignment vertical="center" wrapText="1"/>
    </xf>
    <xf numFmtId="0" fontId="0" fillId="0" borderId="8" xfId="0" applyBorder="1" applyAlignment="1">
      <alignment horizontal="right"/>
    </xf>
    <xf numFmtId="174" fontId="0" fillId="0" borderId="8" xfId="0" applyNumberFormat="1" applyBorder="1"/>
    <xf numFmtId="172" fontId="0" fillId="0" borderId="8" xfId="0" applyNumberFormat="1" applyBorder="1"/>
    <xf numFmtId="170" fontId="0" fillId="0" borderId="16" xfId="0" applyNumberFormat="1" applyBorder="1"/>
    <xf numFmtId="0" fontId="0" fillId="2" borderId="10" xfId="0" applyFill="1" applyBorder="1"/>
    <xf numFmtId="0" fontId="0" fillId="0" borderId="28" xfId="0" applyBorder="1"/>
    <xf numFmtId="0" fontId="0" fillId="0" borderId="21" xfId="0" applyBorder="1"/>
    <xf numFmtId="169" fontId="5" fillId="0" borderId="21" xfId="0" applyNumberFormat="1" applyFont="1" applyBorder="1"/>
    <xf numFmtId="169" fontId="2" fillId="0" borderId="21" xfId="0" applyNumberFormat="1" applyFont="1" applyBorder="1"/>
    <xf numFmtId="169" fontId="5" fillId="0" borderId="29" xfId="0" applyNumberFormat="1" applyFont="1" applyBorder="1"/>
    <xf numFmtId="0" fontId="0" fillId="7" borderId="1" xfId="0" applyFill="1" applyBorder="1"/>
    <xf numFmtId="0" fontId="0" fillId="3" borderId="1" xfId="0" applyFill="1" applyBorder="1"/>
    <xf numFmtId="167" fontId="0" fillId="0" borderId="8" xfId="0" applyNumberFormat="1" applyBorder="1"/>
    <xf numFmtId="169" fontId="5" fillId="0" borderId="8" xfId="0" applyNumberFormat="1" applyFont="1" applyBorder="1"/>
    <xf numFmtId="164" fontId="5" fillId="0" borderId="8" xfId="0" applyNumberFormat="1" applyFont="1" applyBorder="1"/>
    <xf numFmtId="164" fontId="5" fillId="0" borderId="16" xfId="0" applyNumberFormat="1" applyFont="1" applyBorder="1"/>
    <xf numFmtId="167" fontId="0" fillId="0" borderId="6" xfId="0" applyNumberFormat="1" applyBorder="1"/>
    <xf numFmtId="169" fontId="5" fillId="0" borderId="6" xfId="0" applyNumberFormat="1" applyFont="1" applyBorder="1"/>
    <xf numFmtId="164" fontId="5" fillId="0" borderId="6" xfId="0" applyNumberFormat="1" applyFont="1" applyBorder="1"/>
    <xf numFmtId="169" fontId="5" fillId="0" borderId="7" xfId="0" applyNumberFormat="1" applyFont="1" applyBorder="1"/>
    <xf numFmtId="0" fontId="0" fillId="2" borderId="0" xfId="0" applyFill="1"/>
    <xf numFmtId="0" fontId="1" fillId="4" borderId="8" xfId="0" applyFont="1" applyFill="1" applyBorder="1" applyAlignment="1">
      <alignment vertical="center" wrapText="1"/>
    </xf>
    <xf numFmtId="0" fontId="1" fillId="4" borderId="8" xfId="0" applyFont="1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171" fontId="0" fillId="0" borderId="3" xfId="0" applyNumberFormat="1" applyBorder="1"/>
    <xf numFmtId="170" fontId="0" fillId="0" borderId="4" xfId="0" applyNumberFormat="1" applyBorder="1"/>
    <xf numFmtId="168" fontId="0" fillId="2" borderId="6" xfId="0" applyNumberFormat="1" applyFill="1" applyBorder="1"/>
    <xf numFmtId="174" fontId="0" fillId="2" borderId="6" xfId="0" applyNumberFormat="1" applyFill="1" applyBorder="1"/>
    <xf numFmtId="171" fontId="0" fillId="2" borderId="6" xfId="0" applyNumberFormat="1" applyFill="1" applyBorder="1"/>
    <xf numFmtId="172" fontId="0" fillId="2" borderId="6" xfId="0" applyNumberFormat="1" applyFill="1" applyBorder="1"/>
    <xf numFmtId="165" fontId="0" fillId="2" borderId="6" xfId="0" applyNumberFormat="1" applyFill="1" applyBorder="1"/>
    <xf numFmtId="170" fontId="0" fillId="2" borderId="7" xfId="0" applyNumberFormat="1" applyFill="1" applyBorder="1"/>
    <xf numFmtId="171" fontId="0" fillId="0" borderId="6" xfId="0" applyNumberFormat="1" applyBorder="1"/>
    <xf numFmtId="168" fontId="0" fillId="0" borderId="3" xfId="0" applyNumberFormat="1" applyBorder="1"/>
    <xf numFmtId="0" fontId="0" fillId="2" borderId="3" xfId="0" applyFill="1" applyBorder="1"/>
    <xf numFmtId="174" fontId="0" fillId="2" borderId="3" xfId="0" applyNumberFormat="1" applyFill="1" applyBorder="1"/>
    <xf numFmtId="171" fontId="0" fillId="2" borderId="3" xfId="0" applyNumberFormat="1" applyFill="1" applyBorder="1"/>
    <xf numFmtId="165" fontId="0" fillId="2" borderId="3" xfId="0" applyNumberFormat="1" applyFill="1" applyBorder="1"/>
    <xf numFmtId="169" fontId="2" fillId="2" borderId="3" xfId="0" applyNumberFormat="1" applyFont="1" applyFill="1" applyBorder="1"/>
    <xf numFmtId="170" fontId="0" fillId="2" borderId="4" xfId="0" applyNumberFormat="1" applyFill="1" applyBorder="1"/>
    <xf numFmtId="170" fontId="0" fillId="2" borderId="6" xfId="0" applyNumberFormat="1" applyFill="1" applyBorder="1"/>
    <xf numFmtId="165" fontId="0" fillId="2" borderId="7" xfId="0" applyNumberFormat="1" applyFill="1" applyBorder="1"/>
    <xf numFmtId="0" fontId="1" fillId="5" borderId="0" xfId="0" applyFont="1" applyFill="1"/>
    <xf numFmtId="0" fontId="0" fillId="2" borderId="7" xfId="0" applyFill="1" applyBorder="1"/>
    <xf numFmtId="175" fontId="0" fillId="0" borderId="0" xfId="1" applyNumberFormat="1" applyFont="1"/>
    <xf numFmtId="9" fontId="0" fillId="3" borderId="3" xfId="0" applyNumberFormat="1" applyFill="1" applyBorder="1"/>
    <xf numFmtId="9" fontId="0" fillId="3" borderId="6" xfId="0" applyNumberFormat="1" applyFill="1" applyBorder="1"/>
    <xf numFmtId="9" fontId="0" fillId="3" borderId="8" xfId="0" applyNumberFormat="1" applyFill="1" applyBorder="1"/>
    <xf numFmtId="165" fontId="0" fillId="0" borderId="4" xfId="0" applyNumberFormat="1" applyBorder="1"/>
    <xf numFmtId="165" fontId="0" fillId="0" borderId="7" xfId="0" applyNumberFormat="1" applyBorder="1"/>
    <xf numFmtId="9" fontId="0" fillId="0" borderId="1" xfId="0" applyNumberFormat="1" applyBorder="1"/>
    <xf numFmtId="0" fontId="8" fillId="0" borderId="0" xfId="0" applyFont="1"/>
    <xf numFmtId="0" fontId="0" fillId="9" borderId="1" xfId="0" applyFill="1" applyBorder="1"/>
    <xf numFmtId="170" fontId="0" fillId="9" borderId="1" xfId="0" applyNumberFormat="1" applyFill="1" applyBorder="1"/>
    <xf numFmtId="9" fontId="0" fillId="0" borderId="3" xfId="0" applyNumberFormat="1" applyBorder="1"/>
    <xf numFmtId="9" fontId="0" fillId="0" borderId="6" xfId="0" applyNumberFormat="1" applyBorder="1"/>
    <xf numFmtId="9" fontId="0" fillId="0" borderId="0" xfId="0" applyNumberFormat="1"/>
    <xf numFmtId="168" fontId="0" fillId="9" borderId="1" xfId="0" applyNumberFormat="1" applyFill="1" applyBorder="1"/>
    <xf numFmtId="168" fontId="0" fillId="0" borderId="10" xfId="0" applyNumberFormat="1" applyBorder="1"/>
    <xf numFmtId="0" fontId="0" fillId="11" borderId="1" xfId="0" applyFill="1" applyBorder="1"/>
    <xf numFmtId="0" fontId="0" fillId="11" borderId="6" xfId="0" applyFill="1" applyBorder="1"/>
    <xf numFmtId="172" fontId="0" fillId="9" borderId="1" xfId="0" applyNumberFormat="1" applyFill="1" applyBorder="1"/>
    <xf numFmtId="0" fontId="0" fillId="12" borderId="1" xfId="0" applyFill="1" applyBorder="1"/>
    <xf numFmtId="168" fontId="0" fillId="11" borderId="1" xfId="0" applyNumberFormat="1" applyFill="1" applyBorder="1"/>
    <xf numFmtId="9" fontId="0" fillId="0" borderId="21" xfId="0" applyNumberFormat="1" applyBorder="1"/>
    <xf numFmtId="165" fontId="0" fillId="0" borderId="21" xfId="0" applyNumberFormat="1" applyBorder="1"/>
    <xf numFmtId="0" fontId="0" fillId="0" borderId="29" xfId="0" applyBorder="1"/>
    <xf numFmtId="0" fontId="1" fillId="4" borderId="31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 wrapText="1"/>
    </xf>
    <xf numFmtId="0" fontId="1" fillId="4" borderId="31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/>
    </xf>
    <xf numFmtId="0" fontId="1" fillId="6" borderId="24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1" fillId="6" borderId="3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 vertical="center"/>
    </xf>
    <xf numFmtId="168" fontId="0" fillId="0" borderId="21" xfId="0" applyNumberFormat="1" applyBorder="1"/>
    <xf numFmtId="0" fontId="0" fillId="7" borderId="0" xfId="0" applyFill="1"/>
    <xf numFmtId="176" fontId="0" fillId="0" borderId="3" xfId="0" applyNumberFormat="1" applyBorder="1"/>
    <xf numFmtId="176" fontId="0" fillId="0" borderId="1" xfId="0" applyNumberFormat="1" applyBorder="1"/>
    <xf numFmtId="177" fontId="0" fillId="0" borderId="1" xfId="0" applyNumberFormat="1" applyBorder="1"/>
    <xf numFmtId="0" fontId="3" fillId="12" borderId="1" xfId="0" applyFont="1" applyFill="1" applyBorder="1"/>
    <xf numFmtId="0" fontId="0" fillId="13" borderId="1" xfId="0" applyFill="1" applyBorder="1"/>
    <xf numFmtId="0" fontId="0" fillId="14" borderId="1" xfId="0" applyFill="1" applyBorder="1"/>
    <xf numFmtId="170" fontId="0" fillId="12" borderId="1" xfId="0" applyNumberFormat="1" applyFill="1" applyBorder="1"/>
    <xf numFmtId="170" fontId="0" fillId="13" borderId="1" xfId="0" applyNumberFormat="1" applyFill="1" applyBorder="1"/>
    <xf numFmtId="170" fontId="0" fillId="14" borderId="1" xfId="0" applyNumberFormat="1" applyFill="1" applyBorder="1"/>
    <xf numFmtId="170" fontId="0" fillId="3" borderId="1" xfId="0" applyNumberFormat="1" applyFill="1" applyBorder="1"/>
    <xf numFmtId="176" fontId="0" fillId="0" borderId="0" xfId="0" applyNumberFormat="1"/>
    <xf numFmtId="176" fontId="0" fillId="0" borderId="21" xfId="0" applyNumberFormat="1" applyBorder="1"/>
    <xf numFmtId="0" fontId="1" fillId="4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1" fillId="6" borderId="32" xfId="0" applyFont="1" applyFill="1" applyBorder="1" applyAlignment="1">
      <alignment horizontal="center" vertical="center"/>
    </xf>
    <xf numFmtId="177" fontId="0" fillId="0" borderId="6" xfId="0" applyNumberFormat="1" applyBorder="1"/>
    <xf numFmtId="177" fontId="0" fillId="0" borderId="21" xfId="0" applyNumberFormat="1" applyBorder="1"/>
    <xf numFmtId="176" fontId="0" fillId="0" borderId="6" xfId="0" applyNumberFormat="1" applyBorder="1"/>
    <xf numFmtId="177" fontId="0" fillId="0" borderId="3" xfId="0" applyNumberFormat="1" applyBorder="1"/>
    <xf numFmtId="177" fontId="0" fillId="15" borderId="1" xfId="0" applyNumberFormat="1" applyFill="1" applyBorder="1"/>
    <xf numFmtId="177" fontId="0" fillId="15" borderId="3" xfId="0" applyNumberFormat="1" applyFill="1" applyBorder="1"/>
    <xf numFmtId="177" fontId="0" fillId="15" borderId="6" xfId="0" applyNumberFormat="1" applyFill="1" applyBorder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7" fontId="0" fillId="0" borderId="0" xfId="0" applyNumberFormat="1"/>
    <xf numFmtId="0" fontId="1" fillId="4" borderId="3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textRotation="90" wrapText="1"/>
    </xf>
    <xf numFmtId="0" fontId="0" fillId="0" borderId="1" xfId="0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  <cx:data id="1">
      <cx:numDim type="val">
        <cx:f>_xlchart.v1.15</cx:f>
      </cx:numDim>
    </cx:data>
    <cx:data id="2">
      <cx:numDim type="val">
        <cx:f>_xlchart.v1.12</cx:f>
      </cx:numDim>
    </cx:data>
    <cx:data id="3">
      <cx:numDim type="val">
        <cx:f>_xlchart.v1.13</cx:f>
      </cx:numDim>
    </cx:data>
  </cx:chartData>
  <cx:chart>
    <cx:title pos="t" align="ctr" overlay="0">
      <cx:tx>
        <cx:txData>
          <cx:v>mu0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mu0</a:t>
          </a:r>
        </a:p>
      </cx:txPr>
    </cx:title>
    <cx:plotArea>
      <cx:plotAreaRegion>
        <cx:series layoutId="boxWhisker" uniqueId="{00000001-F3AE-4AF7-90E7-B6ECE0CB8583}" formatIdx="1">
          <cx:tx>
            <cx:txData>
              <cx:f>_xlchart.v1.10</cx:f>
              <cx:v>Cabernet Sauvignon</cx:v>
            </cx:txData>
          </cx:tx>
          <cx:dataId val="0"/>
          <cx:layoutPr>
            <cx:statistics quartileMethod="exclusive"/>
          </cx:layoutPr>
        </cx:series>
        <cx:series layoutId="boxWhisker" uniqueId="{00000002-F3AE-4AF7-90E7-B6ECE0CB8583}">
          <cx:tx>
            <cx:txData>
              <cx:f>_xlchart.v1.11</cx:f>
              <cx:v>Syrah</cx:v>
            </cx:txData>
          </cx:tx>
          <cx:dataId val="1"/>
          <cx:layoutPr>
            <cx:statistics quartileMethod="exclusive"/>
          </cx:layoutPr>
        </cx:series>
        <cx:series layoutId="boxWhisker" uniqueId="{00000003-F3AE-4AF7-90E7-B6ECE0CB8583}">
          <cx:tx>
            <cx:txData>
              <cx:f>_xlchart.v1.8</cx:f>
              <cx:v>Merlot</cx:v>
            </cx:txData>
          </cx:tx>
          <cx:dataId val="2"/>
          <cx:layoutPr>
            <cx:statistics quartileMethod="exclusive"/>
          </cx:layoutPr>
        </cx:series>
        <cx:series layoutId="boxWhisker" uniqueId="{00000004-F3AE-4AF7-90E7-B6ECE0CB8583}">
          <cx:tx>
            <cx:txData>
              <cx:f>_xlchart.v1.9</cx:f>
              <cx:v>Carmenere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_xlchart.v1.38</cx:f>
      </cx:numDim>
    </cx:data>
    <cx:data id="1">
      <cx:numDim type="val">
        <cx:f>_xlchart.v1.39</cx:f>
      </cx:numDim>
    </cx:data>
    <cx:data id="2">
      <cx:numDim type="val">
        <cx:f>_xlchart.v1.36</cx:f>
      </cx:numDim>
    </cx:data>
    <cx:data id="3">
      <cx:numDim type="val">
        <cx:f>_xlchart.v1.37</cx:f>
      </cx:numDim>
    </cx:data>
  </cx:chartData>
  <cx:chart>
    <cx:title pos="t" align="ctr" overlay="0">
      <cx:tx>
        <cx:txData>
          <cx:v>betaG0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betaG0</a:t>
          </a:r>
        </a:p>
      </cx:txPr>
    </cx:title>
    <cx:plotArea>
      <cx:plotAreaRegion>
        <cx:series layoutId="boxWhisker" uniqueId="{00000001-F3AE-4AF7-90E7-B6ECE0CB8583}" formatIdx="1">
          <cx:tx>
            <cx:txData>
              <cx:f>_xlchart.v1.34</cx:f>
              <cx:v>Cabernet Sauvignon</cx:v>
            </cx:txData>
          </cx:tx>
          <cx:dataId val="0"/>
          <cx:layoutPr>
            <cx:statistics quartileMethod="exclusive"/>
          </cx:layoutPr>
        </cx:series>
        <cx:series layoutId="boxWhisker" uniqueId="{00000002-F3AE-4AF7-90E7-B6ECE0CB8583}">
          <cx:tx>
            <cx:txData>
              <cx:f>_xlchart.v1.35</cx:f>
              <cx:v>Syrah</cx:v>
            </cx:txData>
          </cx:tx>
          <cx:dataId val="1"/>
          <cx:layoutPr>
            <cx:statistics quartileMethod="exclusive"/>
          </cx:layoutPr>
        </cx:series>
        <cx:series layoutId="boxWhisker" uniqueId="{00000003-F3AE-4AF7-90E7-B6ECE0CB8583}">
          <cx:tx>
            <cx:txData>
              <cx:f>_xlchart.v1.32</cx:f>
              <cx:v>Merlot</cx:v>
            </cx:txData>
          </cx:tx>
          <cx:dataId val="2"/>
          <cx:layoutPr>
            <cx:statistics quartileMethod="exclusive"/>
          </cx:layoutPr>
        </cx:series>
        <cx:series layoutId="boxWhisker" uniqueId="{00000004-F3AE-4AF7-90E7-B6ECE0CB8583}">
          <cx:tx>
            <cx:txData>
              <cx:f>_xlchart.v1.33</cx:f>
              <cx:v>Carmenere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  <cx:numFmt formatCode="#.##0,00" sourceLinked="0"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_xlchart.v1.46</cx:f>
      </cx:numDim>
    </cx:data>
    <cx:data id="1">
      <cx:numDim type="val">
        <cx:f>_xlchart.v1.47</cx:f>
      </cx:numDim>
    </cx:data>
    <cx:data id="2">
      <cx:numDim type="val">
        <cx:f>_xlchart.v1.44</cx:f>
      </cx:numDim>
    </cx:data>
    <cx:data id="3">
      <cx:numDim type="val">
        <cx:f>_xlchart.v1.45</cx:f>
      </cx:numDim>
    </cx:data>
  </cx:chartData>
  <cx:chart>
    <cx:title pos="t" align="ctr" overlay="0">
      <cx:tx>
        <cx:txData>
          <cx:v>betaF0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betaF0</a:t>
          </a:r>
        </a:p>
      </cx:txPr>
    </cx:title>
    <cx:plotArea>
      <cx:plotAreaRegion>
        <cx:series layoutId="boxWhisker" uniqueId="{00000001-F3AE-4AF7-90E7-B6ECE0CB8583}" formatIdx="1">
          <cx:tx>
            <cx:txData>
              <cx:f>_xlchart.v1.42</cx:f>
              <cx:v>Cabernet Sauvignon</cx:v>
            </cx:txData>
          </cx:tx>
          <cx:dataId val="0"/>
          <cx:layoutPr>
            <cx:statistics quartileMethod="exclusive"/>
          </cx:layoutPr>
        </cx:series>
        <cx:series layoutId="boxWhisker" uniqueId="{00000002-F3AE-4AF7-90E7-B6ECE0CB8583}">
          <cx:tx>
            <cx:txData>
              <cx:f>_xlchart.v1.43</cx:f>
              <cx:v>Syrah</cx:v>
            </cx:txData>
          </cx:tx>
          <cx:dataId val="1"/>
          <cx:layoutPr>
            <cx:statistics quartileMethod="exclusive"/>
          </cx:layoutPr>
        </cx:series>
        <cx:series layoutId="boxWhisker" uniqueId="{00000003-F3AE-4AF7-90E7-B6ECE0CB8583}">
          <cx:tx>
            <cx:txData>
              <cx:f>_xlchart.v1.40</cx:f>
              <cx:v>Merlot</cx:v>
            </cx:txData>
          </cx:tx>
          <cx:dataId val="2"/>
          <cx:layoutPr>
            <cx:statistics quartileMethod="exclusive"/>
          </cx:layoutPr>
        </cx:series>
        <cx:series layoutId="boxWhisker" uniqueId="{00000004-F3AE-4AF7-90E7-B6ECE0CB8583}">
          <cx:tx>
            <cx:txData>
              <cx:f>_xlchart.v1.41</cx:f>
              <cx:v>Carmenere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  <cx:numFmt formatCode="#.##0,00" sourceLinked="0"/>
      </cx:axis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  <cx:data id="1">
      <cx:numDim type="val">
        <cx:f>_xlchart.v1.19</cx:f>
      </cx:numDim>
    </cx:data>
    <cx:data id="2">
      <cx:numDim type="val">
        <cx:f>_xlchart.v1.16</cx:f>
      </cx:numDim>
    </cx:data>
    <cx:data id="3">
      <cx:numDim type="val">
        <cx:f>_xlchart.v1.17</cx:f>
      </cx:numDim>
    </cx:data>
  </cx:chartData>
  <cx:chart>
    <cx:title pos="t" align="ctr" overlay="0">
      <cx:tx>
        <cx:txData>
          <cx:v>Yxn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Yxn</a:t>
          </a:r>
        </a:p>
      </cx:txPr>
    </cx:title>
    <cx:plotArea>
      <cx:plotAreaRegion>
        <cx:series layoutId="boxWhisker" uniqueId="{00000001-F3AE-4AF7-90E7-B6ECE0CB8583}" formatIdx="1">
          <cx:tx>
            <cx:txData>
              <cx:f>_xlchart.v1.22</cx:f>
              <cx:v>Cabernet Sauvignon</cx:v>
            </cx:txData>
          </cx:tx>
          <cx:dataId val="0"/>
          <cx:layoutPr>
            <cx:statistics quartileMethod="exclusive"/>
          </cx:layoutPr>
        </cx:series>
        <cx:series layoutId="boxWhisker" uniqueId="{00000002-F3AE-4AF7-90E7-B6ECE0CB8583}">
          <cx:tx>
            <cx:txData>
              <cx:f>_xlchart.v1.23</cx:f>
              <cx:v>Syrah</cx:v>
            </cx:txData>
          </cx:tx>
          <cx:dataId val="1"/>
          <cx:layoutPr>
            <cx:statistics quartileMethod="exclusive"/>
          </cx:layoutPr>
        </cx:series>
        <cx:series layoutId="boxWhisker" uniqueId="{00000003-F3AE-4AF7-90E7-B6ECE0CB8583}">
          <cx:tx>
            <cx:txData>
              <cx:f>_xlchart.v1.20</cx:f>
              <cx:v>Merlot</cx:v>
            </cx:txData>
          </cx:tx>
          <cx:dataId val="2"/>
          <cx:layoutPr>
            <cx:statistics quartileMethod="exclusive"/>
          </cx:layoutPr>
        </cx:series>
        <cx:series layoutId="boxWhisker" uniqueId="{00000004-F3AE-4AF7-90E7-B6ECE0CB8583}">
          <cx:tx>
            <cx:txData>
              <cx:f>_xlchart.v1.21</cx:f>
              <cx:v>Carmenere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  <cx:numFmt formatCode="#.##0,00" sourceLinked="0"/>
      </cx:axis>
    </cx:plotArea>
    <cx:legend pos="b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_xlchart.v1.3</cx:f>
      </cx:numDim>
    </cx:data>
    <cx:data id="2">
      <cx:numDim type="val">
        <cx:f>_xlchart.v1.0</cx:f>
      </cx:numDim>
    </cx:data>
    <cx:data id="3">
      <cx:numDim type="val">
        <cx:f>_xlchart.v1.1</cx:f>
      </cx:numDim>
    </cx:data>
  </cx:chartData>
  <cx:chart>
    <cx:title pos="t" align="ctr" overlay="0">
      <cx:tx>
        <cx:txData>
          <cx:v>Yxg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Yxg</a:t>
          </a:r>
        </a:p>
      </cx:txPr>
    </cx:title>
    <cx:plotArea>
      <cx:plotAreaRegion>
        <cx:series layoutId="boxWhisker" uniqueId="{00000001-F3AE-4AF7-90E7-B6ECE0CB8583}" formatIdx="1">
          <cx:tx>
            <cx:txData>
              <cx:f>_xlchart.v1.6</cx:f>
              <cx:v>Cabernet Sauvignon</cx:v>
            </cx:txData>
          </cx:tx>
          <cx:dataId val="0"/>
          <cx:layoutPr>
            <cx:statistics quartileMethod="exclusive"/>
          </cx:layoutPr>
        </cx:series>
        <cx:series layoutId="boxWhisker" uniqueId="{00000002-F3AE-4AF7-90E7-B6ECE0CB8583}">
          <cx:tx>
            <cx:txData>
              <cx:f>_xlchart.v1.7</cx:f>
              <cx:v>Syrah</cx:v>
            </cx:txData>
          </cx:tx>
          <cx:dataId val="1"/>
          <cx:layoutPr>
            <cx:statistics quartileMethod="exclusive"/>
          </cx:layoutPr>
        </cx:series>
        <cx:series layoutId="boxWhisker" uniqueId="{00000003-F3AE-4AF7-90E7-B6ECE0CB8583}">
          <cx:tx>
            <cx:txData>
              <cx:f>_xlchart.v1.4</cx:f>
              <cx:v>Merlot</cx:v>
            </cx:txData>
          </cx:tx>
          <cx:dataId val="2"/>
          <cx:layoutPr>
            <cx:statistics quartileMethod="exclusive"/>
          </cx:layoutPr>
        </cx:series>
        <cx:series layoutId="boxWhisker" uniqueId="{00000004-F3AE-4AF7-90E7-B6ECE0CB8583}">
          <cx:tx>
            <cx:txData>
              <cx:f>_xlchart.v1.5</cx:f>
              <cx:v>Carmenere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  <cx:numFmt formatCode="#.##0,00" sourceLinked="0"/>
      </cx:axis>
    </cx:plotArea>
    <cx:legend pos="b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_xlchart.v1.26</cx:f>
      </cx:numDim>
    </cx:data>
    <cx:data id="1">
      <cx:numDim type="val">
        <cx:f>_xlchart.v1.27</cx:f>
      </cx:numDim>
    </cx:data>
    <cx:data id="2">
      <cx:numDim type="val">
        <cx:f>_xlchart.v1.24</cx:f>
      </cx:numDim>
    </cx:data>
    <cx:data id="3">
      <cx:numDim type="val">
        <cx:f>_xlchart.v1.25</cx:f>
      </cx:numDim>
    </cx:data>
  </cx:chartData>
  <cx:chart>
    <cx:title pos="t" align="ctr" overlay="0">
      <cx:tx>
        <cx:txData>
          <cx:v>Yeg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Yeg</a:t>
          </a:r>
        </a:p>
      </cx:txPr>
    </cx:title>
    <cx:plotArea>
      <cx:plotAreaRegion>
        <cx:series layoutId="boxWhisker" uniqueId="{00000001-F3AE-4AF7-90E7-B6ECE0CB8583}" formatIdx="1">
          <cx:tx>
            <cx:txData>
              <cx:f>_xlchart.v1.30</cx:f>
              <cx:v>Cabernet Sauvignon</cx:v>
            </cx:txData>
          </cx:tx>
          <cx:dataId val="0"/>
          <cx:layoutPr>
            <cx:statistics quartileMethod="exclusive"/>
          </cx:layoutPr>
        </cx:series>
        <cx:series layoutId="boxWhisker" uniqueId="{00000002-F3AE-4AF7-90E7-B6ECE0CB8583}">
          <cx:tx>
            <cx:txData>
              <cx:f>_xlchart.v1.31</cx:f>
              <cx:v>Syrah</cx:v>
            </cx:txData>
          </cx:tx>
          <cx:dataId val="1"/>
          <cx:layoutPr>
            <cx:statistics quartileMethod="exclusive"/>
          </cx:layoutPr>
        </cx:series>
        <cx:series layoutId="boxWhisker" uniqueId="{00000003-F3AE-4AF7-90E7-B6ECE0CB8583}">
          <cx:tx>
            <cx:txData>
              <cx:f>_xlchart.v1.28</cx:f>
              <cx:v>Merlot</cx:v>
            </cx:txData>
          </cx:tx>
          <cx:dataId val="2"/>
          <cx:layoutPr>
            <cx:statistics quartileMethod="exclusive"/>
          </cx:layoutPr>
        </cx:series>
        <cx:series layoutId="boxWhisker" uniqueId="{00000004-F3AE-4AF7-90E7-B6ECE0CB8583}">
          <cx:tx>
            <cx:txData>
              <cx:f>_xlchart.v1.29</cx:f>
              <cx:v>Carmenere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  <cx:numFmt formatCode="#.##0,00" sourceLinked="0"/>
      </cx:axis>
    </cx:plotArea>
    <cx:legend pos="b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_xlchart.v1.50</cx:f>
      </cx:numDim>
    </cx:data>
    <cx:data id="1">
      <cx:numDim type="val">
        <cx:f>_xlchart.v1.51</cx:f>
      </cx:numDim>
    </cx:data>
    <cx:data id="2">
      <cx:numDim type="val">
        <cx:f>_xlchart.v1.48</cx:f>
      </cx:numDim>
    </cx:data>
    <cx:data id="3">
      <cx:numDim type="val">
        <cx:f>_xlchart.v1.49</cx:f>
      </cx:numDim>
    </cx:data>
  </cx:chartData>
  <cx:chart>
    <cx:title pos="t" align="ctr" overlay="0">
      <cx:tx>
        <cx:txData>
          <cx:v>Yef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Yef</a:t>
          </a:r>
        </a:p>
      </cx:txPr>
    </cx:title>
    <cx:plotArea>
      <cx:plotAreaRegion>
        <cx:series layoutId="boxWhisker" uniqueId="{00000001-F3AE-4AF7-90E7-B6ECE0CB8583}" formatIdx="1">
          <cx:tx>
            <cx:txData>
              <cx:f>_xlchart.v1.54</cx:f>
              <cx:v>Cabernet Sauvignon</cx:v>
            </cx:txData>
          </cx:tx>
          <cx:dataId val="0"/>
          <cx:layoutPr>
            <cx:statistics quartileMethod="exclusive"/>
          </cx:layoutPr>
        </cx:series>
        <cx:series layoutId="boxWhisker" uniqueId="{00000002-F3AE-4AF7-90E7-B6ECE0CB8583}">
          <cx:tx>
            <cx:txData>
              <cx:f>_xlchart.v1.55</cx:f>
              <cx:v>Syrah</cx:v>
            </cx:txData>
          </cx:tx>
          <cx:dataId val="1"/>
          <cx:layoutPr>
            <cx:statistics quartileMethod="exclusive"/>
          </cx:layoutPr>
        </cx:series>
        <cx:series layoutId="boxWhisker" uniqueId="{00000003-F3AE-4AF7-90E7-B6ECE0CB8583}">
          <cx:tx>
            <cx:txData>
              <cx:f>_xlchart.v1.52</cx:f>
              <cx:v>Merlot</cx:v>
            </cx:txData>
          </cx:tx>
          <cx:dataId val="2"/>
          <cx:layoutPr>
            <cx:statistics quartileMethod="exclusive"/>
          </cx:layoutPr>
        </cx:series>
        <cx:series layoutId="boxWhisker" uniqueId="{00000004-F3AE-4AF7-90E7-B6ECE0CB8583}">
          <cx:tx>
            <cx:txData>
              <cx:f>_xlchart.v1.53</cx:f>
              <cx:v>Carmenere</cx:v>
            </cx:txData>
          </cx:tx>
          <cx:dataId val="3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  <cx:numFmt formatCode="#.##0,00" sourceLinked="0"/>
      </cx:axis>
    </cx:plotArea>
    <cx:legend pos="b" align="ctr" overlay="0"/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_xlchart.v1.59</cx:f>
      </cx:numDim>
    </cx:data>
    <cx:data id="1">
      <cx:numDim type="val">
        <cx:f>_xlchart.v1.58</cx:f>
      </cx:numDim>
    </cx:data>
  </cx:chartData>
  <cx:chart>
    <cx:title pos="t" align="ctr" overlay="0">
      <cx:tx>
        <cx:txData>
          <cx:v>mu0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mu0</a:t>
          </a:r>
        </a:p>
      </cx:txPr>
    </cx:title>
    <cx:plotArea>
      <cx:plotAreaRegion>
        <cx:series layoutId="boxWhisker" uniqueId="{00000002-E411-4A17-ACBC-7FA0056DB477}">
          <cx:tx>
            <cx:txData>
              <cx:f/>
              <cx:v>52.400 L</cx:v>
            </cx:txData>
          </cx:tx>
          <cx:dataId val="0"/>
          <cx:layoutPr>
            <cx:statistics quartileMethod="exclusive"/>
          </cx:layoutPr>
        </cx:series>
        <cx:series layoutId="boxWhisker" uniqueId="{00000003-E411-4A17-ACBC-7FA0056DB477}">
          <cx:tx>
            <cx:txData>
              <cx:f/>
              <cx:v>100.000 L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  <cx:numFmt formatCode="0,00" sourceLinked="0"/>
      </cx:axis>
    </cx:plotArea>
    <cx:legend pos="b" align="ctr" overlay="0"/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_xlchart.v1.61</cx:f>
      </cx:numDim>
    </cx:data>
    <cx:data id="1">
      <cx:numDim type="val">
        <cx:f>_xlchart.v1.60</cx:f>
      </cx:numDim>
    </cx:data>
  </cx:chartData>
  <cx:chart>
    <cx:title pos="t" align="ctr" overlay="0">
      <cx:tx>
        <cx:txData>
          <cx:v>betaG0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betaG0</a:t>
          </a:r>
        </a:p>
      </cx:txPr>
    </cx:title>
    <cx:plotArea>
      <cx:plotAreaRegion>
        <cx:series layoutId="boxWhisker" uniqueId="{00000002-E411-4A17-ACBC-7FA0056DB477}">
          <cx:tx>
            <cx:txData>
              <cx:f/>
              <cx:v>52.400 L</cx:v>
            </cx:txData>
          </cx:tx>
          <cx:dataId val="0"/>
          <cx:layoutPr>
            <cx:statistics quartileMethod="exclusive"/>
          </cx:layoutPr>
        </cx:series>
        <cx:series layoutId="boxWhisker" uniqueId="{00000003-E411-4A17-ACBC-7FA0056DB477}">
          <cx:tx>
            <cx:txData>
              <cx:f/>
              <cx:v>100.000 L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  <cx:numFmt formatCode="0,00" sourceLinked="0"/>
      </cx:axis>
    </cx:plotArea>
    <cx:legend pos="b" align="ctr" overlay="0"/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_xlchart.v1.57</cx:f>
      </cx:numDim>
    </cx:data>
    <cx:data id="1">
      <cx:numDim type="val">
        <cx:f>_xlchart.v1.56</cx:f>
      </cx:numDim>
    </cx:data>
  </cx:chartData>
  <cx:chart>
    <cx:title pos="t" align="ctr" overlay="0">
      <cx:tx>
        <cx:txData>
          <cx:v>betaF0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betaF0</a:t>
          </a:r>
        </a:p>
      </cx:txPr>
    </cx:title>
    <cx:plotArea>
      <cx:plotAreaRegion>
        <cx:series layoutId="boxWhisker" uniqueId="{00000002-E411-4A17-ACBC-7FA0056DB477}">
          <cx:tx>
            <cx:txData>
              <cx:f/>
              <cx:v>52.400 L</cx:v>
            </cx:txData>
          </cx:tx>
          <cx:dataId val="0"/>
          <cx:layoutPr>
            <cx:statistics quartileMethod="exclusive"/>
          </cx:layoutPr>
        </cx:series>
        <cx:series layoutId="boxWhisker" uniqueId="{00000003-E411-4A17-ACBC-7FA0056DB477}">
          <cx:tx>
            <cx:txData>
              <cx:f/>
              <cx:v>100.000 L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  <cx:numFmt formatCode="0,00" sourceLinked="0"/>
      </cx:axis>
    </cx:plotArea>
    <cx:legend pos="b" align="ctr" overlay="0"/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_xlchart.v1.67</cx:f>
      </cx:numDim>
    </cx:data>
    <cx:data id="1">
      <cx:numDim type="val">
        <cx:f>_xlchart.v1.66</cx:f>
      </cx:numDim>
    </cx:data>
  </cx:chartData>
  <cx:chart>
    <cx:title pos="t" align="ctr" overlay="0">
      <cx:tx>
        <cx:txData>
          <cx:v>Yxn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Yxn</a:t>
          </a:r>
        </a:p>
      </cx:txPr>
    </cx:title>
    <cx:plotArea>
      <cx:plotAreaRegion>
        <cx:series layoutId="boxWhisker" uniqueId="{00000002-E411-4A17-ACBC-7FA0056DB477}">
          <cx:tx>
            <cx:txData>
              <cx:f/>
              <cx:v>52.400 L</cx:v>
            </cx:txData>
          </cx:tx>
          <cx:dataId val="0"/>
          <cx:layoutPr>
            <cx:statistics quartileMethod="exclusive"/>
          </cx:layoutPr>
        </cx:series>
        <cx:series layoutId="boxWhisker" uniqueId="{00000003-E411-4A17-ACBC-7FA0056DB477}">
          <cx:tx>
            <cx:txData>
              <cx:f/>
              <cx:v>100.000 L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  <cx:numFmt formatCode="0,00" sourceLinked="0"/>
      </cx:axis>
    </cx:plotArea>
    <cx:legend pos="b" align="ctr" overlay="0"/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_xlchart.v1.63</cx:f>
      </cx:numDim>
    </cx:data>
    <cx:data id="1">
      <cx:numDim type="val">
        <cx:f>_xlchart.v1.62</cx:f>
      </cx:numDim>
    </cx:data>
  </cx:chartData>
  <cx:chart>
    <cx:title pos="t" align="ctr" overlay="0">
      <cx:tx>
        <cx:txData>
          <cx:v>Yxg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Yxg</a:t>
          </a:r>
        </a:p>
      </cx:txPr>
    </cx:title>
    <cx:plotArea>
      <cx:plotAreaRegion>
        <cx:series layoutId="boxWhisker" uniqueId="{00000002-E411-4A17-ACBC-7FA0056DB477}">
          <cx:tx>
            <cx:txData>
              <cx:f/>
              <cx:v>52.400 L</cx:v>
            </cx:txData>
          </cx:tx>
          <cx:dataId val="0"/>
          <cx:layoutPr>
            <cx:statistics quartileMethod="exclusive"/>
          </cx:layoutPr>
        </cx:series>
        <cx:series layoutId="boxWhisker" uniqueId="{00000003-E411-4A17-ACBC-7FA0056DB477}">
          <cx:tx>
            <cx:txData>
              <cx:f/>
              <cx:v>100.000 L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  <cx:numFmt formatCode="0,00" sourceLinked="0"/>
      </cx:axis>
    </cx:plotArea>
    <cx:legend pos="b" align="ctr" overlay="0"/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_xlchart.v1.65</cx:f>
      </cx:numDim>
    </cx:data>
    <cx:data id="1">
      <cx:numDim type="val">
        <cx:f>_xlchart.v1.64</cx:f>
      </cx:numDim>
    </cx:data>
  </cx:chartData>
  <cx:chart>
    <cx:title pos="t" align="ctr" overlay="0">
      <cx:tx>
        <cx:txData>
          <cx:v>Yeg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Yeg</a:t>
          </a:r>
        </a:p>
      </cx:txPr>
    </cx:title>
    <cx:plotArea>
      <cx:plotAreaRegion>
        <cx:series layoutId="boxWhisker" uniqueId="{00000002-E411-4A17-ACBC-7FA0056DB477}">
          <cx:tx>
            <cx:txData>
              <cx:f/>
              <cx:v>52.400 L</cx:v>
            </cx:txData>
          </cx:tx>
          <cx:dataId val="0"/>
          <cx:layoutPr>
            <cx:statistics quartileMethod="exclusive"/>
          </cx:layoutPr>
        </cx:series>
        <cx:series layoutId="boxWhisker" uniqueId="{00000003-E411-4A17-ACBC-7FA0056DB477}">
          <cx:tx>
            <cx:txData>
              <cx:f/>
              <cx:v>100.000 L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  <cx:numFmt formatCode="0,00" sourceLinked="0"/>
      </cx:axis>
    </cx:plotArea>
    <cx:legend pos="b" align="ctr" overlay="0"/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_xlchart.v1.69</cx:f>
      </cx:numDim>
    </cx:data>
    <cx:data id="1">
      <cx:numDim type="val">
        <cx:f>_xlchart.v1.68</cx:f>
      </cx:numDim>
    </cx:data>
  </cx:chartData>
  <cx:chart>
    <cx:title pos="t" align="ctr" overlay="0">
      <cx:tx>
        <cx:txData>
          <cx:v>Yef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E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Yef</a:t>
          </a:r>
        </a:p>
      </cx:txPr>
    </cx:title>
    <cx:plotArea>
      <cx:plotAreaRegion>
        <cx:series layoutId="boxWhisker" uniqueId="{00000002-E411-4A17-ACBC-7FA0056DB477}">
          <cx:tx>
            <cx:txData>
              <cx:f/>
              <cx:v>52.400 L</cx:v>
            </cx:txData>
          </cx:tx>
          <cx:dataId val="0"/>
          <cx:layoutPr>
            <cx:statistics quartileMethod="exclusive"/>
          </cx:layoutPr>
        </cx:series>
        <cx:series layoutId="boxWhisker" uniqueId="{00000003-E411-4A17-ACBC-7FA0056DB477}">
          <cx:tx>
            <cx:txData>
              <cx:f/>
              <cx:v>100.000 L</cx:v>
            </cx:txData>
          </cx:tx>
          <cx:dataId val="1"/>
          <cx:layoutPr>
            <cx:statistics quartileMethod="ex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  <cx:numFmt formatCode="0,00" sourceLinked="0"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7" Type="http://schemas.microsoft.com/office/2014/relationships/chartEx" Target="../charts/chartEx7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14/relationships/chartEx" Target="../charts/chartEx10.xml"/><Relationship Id="rId7" Type="http://schemas.microsoft.com/office/2014/relationships/chartEx" Target="../charts/chartEx14.xml"/><Relationship Id="rId2" Type="http://schemas.microsoft.com/office/2014/relationships/chartEx" Target="../charts/chartEx9.xml"/><Relationship Id="rId1" Type="http://schemas.microsoft.com/office/2014/relationships/chartEx" Target="../charts/chartEx8.xml"/><Relationship Id="rId6" Type="http://schemas.microsoft.com/office/2014/relationships/chartEx" Target="../charts/chartEx13.xml"/><Relationship Id="rId5" Type="http://schemas.microsoft.com/office/2014/relationships/chartEx" Target="../charts/chartEx12.xml"/><Relationship Id="rId4" Type="http://schemas.microsoft.com/office/2014/relationships/chartEx" Target="../charts/chartEx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72762</xdr:colOff>
      <xdr:row>49</xdr:row>
      <xdr:rowOff>52917</xdr:rowOff>
    </xdr:from>
    <xdr:to>
      <xdr:col>21</xdr:col>
      <xdr:colOff>489480</xdr:colOff>
      <xdr:row>58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CC596AA-74E9-D4D1-99B6-39E63ED29CE4}"/>
            </a:ext>
          </a:extLst>
        </xdr:cNvPr>
        <xdr:cNvSpPr txBox="1"/>
      </xdr:nvSpPr>
      <xdr:spPr>
        <a:xfrm>
          <a:off x="14294116" y="11396927"/>
          <a:ext cx="4067968" cy="16271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Notas/observaciones:</a:t>
          </a:r>
        </a:p>
        <a:p>
          <a:r>
            <a:rPr lang="es-CL" sz="1100"/>
            <a:t>-</a:t>
          </a:r>
          <a:r>
            <a:rPr lang="es-CL" sz="1100" baseline="0"/>
            <a:t> PSO es el que "mejor" ajusta en algunos, pero no en todos. </a:t>
          </a:r>
        </a:p>
        <a:p>
          <a:r>
            <a:rPr lang="es-CL" sz="1100" baseline="0"/>
            <a:t>- Cuando se obtiene un buen ajuste visual con un costo bajo (he visto casos con f.o. &lt;100), el costo de la función objetivo tiende a ser la mayoría de los datos de azúcares, es decir, el costo del etanol tiende a de entre 0 y 2, aprox. </a:t>
          </a:r>
        </a:p>
      </xdr:txBody>
    </xdr:sp>
    <xdr:clientData/>
  </xdr:twoCellAnchor>
  <xdr:twoCellAnchor editAs="oneCell">
    <xdr:from>
      <xdr:col>15</xdr:col>
      <xdr:colOff>99219</xdr:colOff>
      <xdr:row>58</xdr:row>
      <xdr:rowOff>145521</xdr:rowOff>
    </xdr:from>
    <xdr:to>
      <xdr:col>27</xdr:col>
      <xdr:colOff>398730</xdr:colOff>
      <xdr:row>63</xdr:row>
      <xdr:rowOff>13076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1F78B0-A91E-511D-596A-116534153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20573" y="13169636"/>
          <a:ext cx="7602011" cy="800212"/>
        </a:xfrm>
        <a:prstGeom prst="rect">
          <a:avLst/>
        </a:prstGeom>
      </xdr:spPr>
    </xdr:pic>
    <xdr:clientData/>
  </xdr:twoCellAnchor>
  <xdr:twoCellAnchor editAs="oneCell">
    <xdr:from>
      <xdr:col>19</xdr:col>
      <xdr:colOff>290375</xdr:colOff>
      <xdr:row>62</xdr:row>
      <xdr:rowOff>32281</xdr:rowOff>
    </xdr:from>
    <xdr:to>
      <xdr:col>23</xdr:col>
      <xdr:colOff>251647</xdr:colOff>
      <xdr:row>62</xdr:row>
      <xdr:rowOff>52801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Entrada de lápiz 6">
              <a:extLst>
                <a:ext uri="{FF2B5EF4-FFF2-40B4-BE49-F238E27FC236}">
                  <a16:creationId xmlns:a16="http://schemas.microsoft.com/office/drawing/2014/main" id="{8C01B987-261C-0388-EA04-D360A93B2B5D}"/>
                </a:ext>
              </a:extLst>
            </xdr14:cNvPr>
            <xdr14:cNvContentPartPr/>
          </xdr14:nvContentPartPr>
          <xdr14:nvPr macro=""/>
          <xdr14:xfrm>
            <a:off x="16945896" y="13797229"/>
            <a:ext cx="2395440" cy="20520"/>
          </xdr14:xfrm>
        </xdr:contentPart>
      </mc:Choice>
      <mc:Fallback xmlns="">
        <xdr:pic>
          <xdr:nvPicPr>
            <xdr:cNvPr id="7" name="Entrada de lápiz 6">
              <a:extLst>
                <a:ext uri="{FF2B5EF4-FFF2-40B4-BE49-F238E27FC236}">
                  <a16:creationId xmlns:a16="http://schemas.microsoft.com/office/drawing/2014/main" id="{8C01B987-261C-0388-EA04-D360A93B2B5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6909896" y="13726470"/>
              <a:ext cx="2467080" cy="161683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32</xdr:col>
      <xdr:colOff>288035</xdr:colOff>
      <xdr:row>72</xdr:row>
      <xdr:rowOff>91806</xdr:rowOff>
    </xdr:from>
    <xdr:to>
      <xdr:col>39</xdr:col>
      <xdr:colOff>588729</xdr:colOff>
      <xdr:row>90</xdr:row>
      <xdr:rowOff>82625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D7C796-91CF-5429-CE90-D5A327A38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739095" y="12348071"/>
          <a:ext cx="5827488" cy="3314241"/>
        </a:xfrm>
        <a:prstGeom prst="rect">
          <a:avLst/>
        </a:prstGeom>
      </xdr:spPr>
    </xdr:pic>
    <xdr:clientData/>
  </xdr:twoCellAnchor>
  <xdr:twoCellAnchor editAs="oneCell">
    <xdr:from>
      <xdr:col>39</xdr:col>
      <xdr:colOff>676313</xdr:colOff>
      <xdr:row>72</xdr:row>
      <xdr:rowOff>114759</xdr:rowOff>
    </xdr:from>
    <xdr:to>
      <xdr:col>48</xdr:col>
      <xdr:colOff>11461</xdr:colOff>
      <xdr:row>90</xdr:row>
      <xdr:rowOff>64265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EE3CB3-CFCD-CDFB-3345-2B3F910C2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654168" y="12371024"/>
          <a:ext cx="6441029" cy="3272928"/>
        </a:xfrm>
        <a:prstGeom prst="rect">
          <a:avLst/>
        </a:prstGeom>
      </xdr:spPr>
    </xdr:pic>
    <xdr:clientData/>
  </xdr:twoCellAnchor>
  <xdr:twoCellAnchor editAs="oneCell">
    <xdr:from>
      <xdr:col>48</xdr:col>
      <xdr:colOff>148423</xdr:colOff>
      <xdr:row>72</xdr:row>
      <xdr:rowOff>97926</xdr:rowOff>
    </xdr:from>
    <xdr:to>
      <xdr:col>56</xdr:col>
      <xdr:colOff>238702</xdr:colOff>
      <xdr:row>90</xdr:row>
      <xdr:rowOff>44033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60530D8-F2A3-8F9F-E67B-1EC18A899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232158" y="12354191"/>
          <a:ext cx="6406614" cy="326952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152400</xdr:colOff>
      <xdr:row>0</xdr:row>
      <xdr:rowOff>171450</xdr:rowOff>
    </xdr:from>
    <xdr:to>
      <xdr:col>19</xdr:col>
      <xdr:colOff>762000</xdr:colOff>
      <xdr:row>15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0D17F1AA-5CAC-17F8-32A4-18B070FAB7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19460" y="1714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20</xdr:col>
      <xdr:colOff>30480</xdr:colOff>
      <xdr:row>1</xdr:row>
      <xdr:rowOff>0</xdr:rowOff>
    </xdr:from>
    <xdr:to>
      <xdr:col>25</xdr:col>
      <xdr:colOff>640080</xdr:colOff>
      <xdr:row>16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AB9B5737-5D81-4501-A134-319F05FB69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52420" y="1828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25</xdr:col>
      <xdr:colOff>739140</xdr:colOff>
      <xdr:row>1</xdr:row>
      <xdr:rowOff>15240</xdr:rowOff>
    </xdr:from>
    <xdr:to>
      <xdr:col>31</xdr:col>
      <xdr:colOff>556260</xdr:colOff>
      <xdr:row>16</xdr:row>
      <xdr:rowOff>15240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9D392375-B3BD-4674-A616-505FB2081E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23480" y="1981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20</xdr:col>
      <xdr:colOff>15240</xdr:colOff>
      <xdr:row>16</xdr:row>
      <xdr:rowOff>121920</xdr:rowOff>
    </xdr:from>
    <xdr:to>
      <xdr:col>25</xdr:col>
      <xdr:colOff>624840</xdr:colOff>
      <xdr:row>31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A7A557D0-B0FF-48EC-BE98-6D00CD71EB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37180" y="3048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25</xdr:col>
      <xdr:colOff>716280</xdr:colOff>
      <xdr:row>16</xdr:row>
      <xdr:rowOff>121920</xdr:rowOff>
    </xdr:from>
    <xdr:to>
      <xdr:col>31</xdr:col>
      <xdr:colOff>533400</xdr:colOff>
      <xdr:row>31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0A5DA7EA-77E6-4E60-8718-D773D5AE01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200620" y="3048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20</xdr:col>
      <xdr:colOff>7620</xdr:colOff>
      <xdr:row>32</xdr:row>
      <xdr:rowOff>160020</xdr:rowOff>
    </xdr:from>
    <xdr:to>
      <xdr:col>25</xdr:col>
      <xdr:colOff>617220</xdr:colOff>
      <xdr:row>47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D65B9822-3CF5-4729-A158-A1504925CC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529560" y="60121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25</xdr:col>
      <xdr:colOff>708660</xdr:colOff>
      <xdr:row>32</xdr:row>
      <xdr:rowOff>106680</xdr:rowOff>
    </xdr:from>
    <xdr:to>
      <xdr:col>31</xdr:col>
      <xdr:colOff>525780</xdr:colOff>
      <xdr:row>47</xdr:row>
      <xdr:rowOff>106680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C5256B23-129F-439C-9F66-0F89A5C3DA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93000" y="59588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14</xdr:col>
      <xdr:colOff>83820</xdr:colOff>
      <xdr:row>17</xdr:row>
      <xdr:rowOff>0</xdr:rowOff>
    </xdr:from>
    <xdr:to>
      <xdr:col>18</xdr:col>
      <xdr:colOff>594360</xdr:colOff>
      <xdr:row>25</xdr:row>
      <xdr:rowOff>129540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A08A1AB5-9423-3C62-F30A-53BBFA3AD8CD}"/>
                </a:ext>
              </a:extLst>
            </xdr:cNvPr>
            <xdr:cNvSpPr txBox="1"/>
          </xdr:nvSpPr>
          <xdr:spPr>
            <a:xfrm>
              <a:off x="11666220" y="3108960"/>
              <a:ext cx="3680460" cy="159258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CL" sz="1100"/>
                <a:t>Ecuaciones: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sSub>
                              <m:sSubPr>
                                <m:ctrlP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𝜃</m:t>
                                </m:r>
                              </m:e>
                              <m:sub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</m:e>
                        </m:acc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s-MX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sSub>
                              <m:sSubPr>
                                <m:ctrlP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𝜃</m:t>
                                </m:r>
                              </m:e>
                              <m:sub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</m:e>
                        </m:acc>
                      </m:num>
                      <m:den>
                        <m:rad>
                          <m:radPr>
                            <m:degHide m:val="on"/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sSup>
                              <m:sSup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p>
                              <m:sSupPr>
                                <m:ctrlP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e>
                        </m:rad>
                      </m:den>
                    </m:f>
                  </m:oMath>
                </m:oMathPara>
              </a14:m>
              <a:endParaRPr lang="es-CL" sz="1100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𝑑𝑡</m:t>
                    </m:r>
                    <m:r>
                      <a:rPr lang="es-MX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MX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p>
                                  <m:sSupPr>
                                    <m:ctrlP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sSub>
                                      <m:sSubPr>
                                        <m:ctrlPr>
                                          <a:rPr lang="es-MX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MX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𝜎</m:t>
                                        </m:r>
                                      </m:e>
                                      <m:sub>
                                        <m:r>
                                          <a:rPr lang="es-MX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1</m:t>
                                        </m:r>
                                      </m:sub>
                                    </m:sSub>
                                  </m:e>
                                  <m:sup>
                                    <m: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sSup>
                                  <m:sSupPr>
                                    <m:ctrlP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sSub>
                                      <m:sSubPr>
                                        <m:ctrlPr>
                                          <a:rPr lang="es-MX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MX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𝜎</m:t>
                                        </m:r>
                                      </m:e>
                                      <m:sub>
                                        <m:r>
                                          <a:rPr lang="es-MX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</m:e>
                                  <m:sup>
                                    <m: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e>
                            </m:d>
                          </m:e>
                          <m:sup>
                            <m:r>
                              <a:rPr lang="es-MX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f>
                          <m:fPr>
                            <m:ctrlPr>
                              <a:rPr lang="es-MX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</m:sSup>
                          </m:num>
                          <m:den>
                            <m:sSub>
                              <m:sSubPr>
                                <m:ctrlP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𝑑𝑓</m:t>
                                </m:r>
                              </m:e>
                              <m:sub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</m:den>
                        </m:f>
                        <m: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f>
                          <m:fPr>
                            <m:ctrlPr>
                              <a:rPr lang="es-MX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</m:sSup>
                          </m:num>
                          <m:den>
                            <m:sSub>
                              <m:sSubPr>
                                <m:ctrlP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𝑑𝑓</m:t>
                                </m:r>
                              </m:e>
                              <m:sub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</m:den>
                        </m:f>
                      </m:den>
                    </m:f>
                  </m:oMath>
                </m:oMathPara>
              </a14:m>
              <a:endParaRPr lang="es-CL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𝑑𝑓</m:t>
                        </m:r>
                      </m:e>
                      <m:sub>
                        <m: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s-MX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e>
                      <m:sub>
                        <m: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s-MX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s-MX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𝑝</m:t>
                    </m:r>
                    <m:r>
                      <a:rPr lang="es-MX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;</m:t>
                    </m:r>
                    <m:sSub>
                      <m:sSubPr>
                        <m:ctrlP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𝑑𝑓</m:t>
                        </m:r>
                      </m:e>
                      <m:sub>
                        <m: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s-MX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e>
                      <m:sub>
                        <m: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s-MX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s-MX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𝑝</m:t>
                    </m:r>
                  </m:oMath>
                </m:oMathPara>
              </a14:m>
              <a:endParaRPr lang="es-CL">
                <a:effectLst/>
              </a:endParaRPr>
            </a:p>
            <a:p>
              <a:endParaRPr lang="es-MX" sz="1100" b="0">
                <a:solidFill>
                  <a:schemeClr val="dk1"/>
                </a:solidFill>
                <a:effectLst/>
                <a:ea typeface="+mn-ea"/>
                <a:cs typeface="+mn-cs"/>
              </a:endParaRPr>
            </a:p>
            <a:p>
              <a:endParaRPr lang="es-CL" sz="110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A08A1AB5-9423-3C62-F30A-53BBFA3AD8CD}"/>
                </a:ext>
              </a:extLst>
            </xdr:cNvPr>
            <xdr:cNvSpPr txBox="1"/>
          </xdr:nvSpPr>
          <xdr:spPr>
            <a:xfrm>
              <a:off x="11666220" y="3108960"/>
              <a:ext cx="3680460" cy="159258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CL" sz="1100"/>
                <a:t>Ecuaciones:</a:t>
              </a:r>
            </a:p>
            <a:p>
              <a:r>
                <a:rPr lang="es-MX" sz="1100" b="0" i="0">
                  <a:latin typeface="Cambria Math" panose="02040503050406030204" pitchFamily="18" charset="0"/>
                </a:rPr>
                <a:t>𝑡=((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𝜃_1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 ̅</a:t>
              </a:r>
              <a:r>
                <a:rPr lang="es-MX" sz="1100" b="0" i="0">
                  <a:latin typeface="Cambria Math" panose="02040503050406030204" pitchFamily="18" charset="0"/>
                </a:rPr>
                <a:t>−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(𝜃_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) ̅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)/√(〖</a:t>
              </a:r>
              <a:r>
                <a:rPr lang="es-MX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es-MX" sz="1100" b="0" i="0">
                  <a:latin typeface="Cambria Math" panose="02040503050406030204" pitchFamily="18" charset="0"/>
                </a:rPr>
                <a:t>1〗^2+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〖𝜎_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〗^2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</a:t>
              </a:r>
              <a:endParaRPr lang="es-CL" sz="1100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𝑑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𝑡=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〖𝜎_1〗^2+〖𝜎_2〗^2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)^2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/(〖𝜎_1〗^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4/〖𝑑𝑓〗_1 +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〖𝜎_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〗^4/〖𝑑𝑓〗_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)</a:t>
              </a:r>
              <a:endParaRPr lang="es-CL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〖𝑑𝑓〗_1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=𝑛_1−𝑝;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〖𝑑𝑓〗_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=𝑛_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−𝑝</a:t>
              </a:r>
              <a:endParaRPr lang="es-CL">
                <a:effectLst/>
              </a:endParaRPr>
            </a:p>
            <a:p>
              <a:endParaRPr lang="es-MX" sz="1100" b="0">
                <a:solidFill>
                  <a:schemeClr val="dk1"/>
                </a:solidFill>
                <a:effectLst/>
                <a:ea typeface="+mn-ea"/>
                <a:cs typeface="+mn-cs"/>
              </a:endParaRPr>
            </a:p>
            <a:p>
              <a:endParaRPr lang="es-CL"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320040</xdr:colOff>
      <xdr:row>1</xdr:row>
      <xdr:rowOff>19050</xdr:rowOff>
    </xdr:from>
    <xdr:to>
      <xdr:col>18</xdr:col>
      <xdr:colOff>137160</xdr:colOff>
      <xdr:row>16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E8391786-C6C1-3FAD-CAD2-718D1BBC75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89820" y="2019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18</xdr:col>
      <xdr:colOff>510540</xdr:colOff>
      <xdr:row>1</xdr:row>
      <xdr:rowOff>22860</xdr:rowOff>
    </xdr:from>
    <xdr:to>
      <xdr:col>24</xdr:col>
      <xdr:colOff>327660</xdr:colOff>
      <xdr:row>16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F76EE1C1-D712-434C-9E45-20CD0BE3B4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35200" y="20574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24</xdr:col>
      <xdr:colOff>533400</xdr:colOff>
      <xdr:row>1</xdr:row>
      <xdr:rowOff>30480</xdr:rowOff>
    </xdr:from>
    <xdr:to>
      <xdr:col>30</xdr:col>
      <xdr:colOff>350520</xdr:colOff>
      <xdr:row>16</xdr:row>
      <xdr:rowOff>30480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DD7747DF-50A1-4AD4-B54D-6107EE0CF9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712940" y="2133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12</xdr:col>
      <xdr:colOff>609600</xdr:colOff>
      <xdr:row>16</xdr:row>
      <xdr:rowOff>121920</xdr:rowOff>
    </xdr:from>
    <xdr:to>
      <xdr:col>17</xdr:col>
      <xdr:colOff>327660</xdr:colOff>
      <xdr:row>25</xdr:row>
      <xdr:rowOff>68580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97C806CF-8247-4195-91E4-3B748B7B7124}"/>
                </a:ext>
              </a:extLst>
            </xdr:cNvPr>
            <xdr:cNvSpPr txBox="1"/>
          </xdr:nvSpPr>
          <xdr:spPr>
            <a:xfrm>
              <a:off x="10279380" y="3048000"/>
              <a:ext cx="3680460" cy="159258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CL" sz="1100"/>
                <a:t>Ecuaciones:</a:t>
              </a:r>
            </a:p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latin typeface="Cambria Math" panose="02040503050406030204" pitchFamily="18" charset="0"/>
                      </a:rPr>
                      <m:t>𝑡</m:t>
                    </m:r>
                    <m:r>
                      <a:rPr lang="es-MX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acc>
                          <m:accPr>
                            <m:chr m:val="̅"/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accPr>
                          <m:e>
                            <m:sSub>
                              <m:sSubPr>
                                <m:ctrlP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𝜃</m:t>
                                </m:r>
                              </m:e>
                              <m:sub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</m:e>
                        </m:acc>
                        <m:r>
                          <a:rPr lang="es-MX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acc>
                          <m:accPr>
                            <m:chr m:val="̅"/>
                            <m:ctrlPr>
                              <a:rPr lang="es-MX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accPr>
                          <m:e>
                            <m:sSub>
                              <m:sSubPr>
                                <m:ctrlP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𝜃</m:t>
                                </m:r>
                              </m:e>
                              <m:sub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</m:e>
                        </m:acc>
                      </m:num>
                      <m:den>
                        <m:rad>
                          <m:radPr>
                            <m:degHide m:val="on"/>
                            <m:ctrlPr>
                              <a:rPr lang="es-MX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sSup>
                              <m:sSupPr>
                                <m:ctrlP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  <a:ea typeface="Cambria Math" panose="02040503050406030204" pitchFamily="18" charset="0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latin typeface="Cambria Math" panose="02040503050406030204" pitchFamily="18" charset="0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s-MX" sz="1100" b="0" i="1">
                                    <a:latin typeface="Cambria Math" panose="02040503050406030204" pitchFamily="18" charset="0"/>
                                  </a:rPr>
                                  <m:t>2</m:t>
                                </m:r>
                              </m:sup>
                            </m:sSup>
                            <m:r>
                              <a:rPr lang="es-MX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p>
                              <m:sSupPr>
                                <m:ctrlP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p>
                            </m:sSup>
                          </m:e>
                        </m:rad>
                      </m:den>
                    </m:f>
                  </m:oMath>
                </m:oMathPara>
              </a14:m>
              <a:endParaRPr lang="es-CL" sz="1100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𝑑𝑡</m:t>
                    </m:r>
                    <m:r>
                      <a:rPr lang="es-MX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p>
                          <m:sSupPr>
                            <m:ctrlPr>
                              <a:rPr lang="es-MX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d>
                              <m:dPr>
                                <m:ctrlP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dPr>
                              <m:e>
                                <m:sSup>
                                  <m:sSupPr>
                                    <m:ctrlP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sSub>
                                      <m:sSubPr>
                                        <m:ctrlPr>
                                          <a:rPr lang="es-MX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MX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𝜎</m:t>
                                        </m:r>
                                      </m:e>
                                      <m:sub>
                                        <m:r>
                                          <a:rPr lang="es-MX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1</m:t>
                                        </m:r>
                                      </m:sub>
                                    </m:sSub>
                                  </m:e>
                                  <m:sup>
                                    <m: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+</m:t>
                                </m:r>
                                <m:sSup>
                                  <m:sSupPr>
                                    <m:ctrlP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pPr>
                                  <m:e>
                                    <m:sSub>
                                      <m:sSubPr>
                                        <m:ctrlPr>
                                          <a:rPr lang="es-MX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</m:ctrlPr>
                                      </m:sSubPr>
                                      <m:e>
                                        <m:r>
                                          <a:rPr lang="es-MX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𝜎</m:t>
                                        </m:r>
                                      </m:e>
                                      <m:sub>
                                        <m:r>
                                          <a:rPr lang="es-MX" sz="1100" b="0" i="1">
                                            <a:solidFill>
                                              <a:schemeClr val="dk1"/>
                                            </a:solidFill>
                                            <a:effectLst/>
                                            <a:latin typeface="Cambria Math" panose="02040503050406030204" pitchFamily="18" charset="0"/>
                                            <a:ea typeface="+mn-ea"/>
                                            <a:cs typeface="+mn-cs"/>
                                          </a:rPr>
                                          <m:t>2</m:t>
                                        </m:r>
                                      </m:sub>
                                    </m:sSub>
                                  </m:e>
                                  <m:sup>
                                    <m: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p>
                                </m:sSup>
                              </m:e>
                            </m:d>
                          </m:e>
                          <m:sup>
                            <m:r>
                              <a:rPr lang="es-MX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</m:num>
                      <m:den>
                        <m:f>
                          <m:fPr>
                            <m:ctrlPr>
                              <a:rPr lang="es-MX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1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</m:sSup>
                          </m:num>
                          <m:den>
                            <m:sSub>
                              <m:sSubPr>
                                <m:ctrlP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𝑑𝑓</m:t>
                                </m:r>
                              </m:e>
                              <m:sub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</m:den>
                        </m:f>
                        <m: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+</m:t>
                        </m:r>
                        <m:f>
                          <m:fPr>
                            <m:ctrlPr>
                              <a:rPr lang="es-MX" sz="1100" b="0" i="1">
                                <a:solidFill>
                                  <a:schemeClr val="dk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p>
                              <m:sSupPr>
                                <m:ctrlP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pPr>
                              <m:e>
                                <m:sSub>
                                  <m:sSubPr>
                                    <m:ctrlP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</m:ctrlPr>
                                  </m:sSubPr>
                                  <m:e>
                                    <m: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lang="es-MX" sz="1100" b="0" i="1">
                                        <a:solidFill>
                                          <a:schemeClr val="dk1"/>
                                        </a:solidFill>
                                        <a:effectLst/>
                                        <a:latin typeface="Cambria Math" panose="02040503050406030204" pitchFamily="18" charset="0"/>
                                        <a:ea typeface="+mn-ea"/>
                                        <a:cs typeface="+mn-cs"/>
                                      </a:rPr>
                                      <m:t>2</m:t>
                                    </m:r>
                                  </m:sub>
                                </m:sSub>
                              </m:e>
                              <m:sup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</m:sup>
                            </m:sSup>
                          </m:num>
                          <m:den>
                            <m:sSub>
                              <m:sSubPr>
                                <m:ctrlP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𝑑𝑓</m:t>
                                </m:r>
                              </m:e>
                              <m:sub>
                                <m:r>
                                  <a:rPr lang="es-MX" sz="1100" b="0" i="1">
                                    <a:solidFill>
                                      <a:schemeClr val="dk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</m:den>
                        </m:f>
                      </m:den>
                    </m:f>
                  </m:oMath>
                </m:oMathPara>
              </a14:m>
              <a:endParaRPr lang="es-CL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𝑑𝑓</m:t>
                        </m:r>
                      </m:e>
                      <m:sub>
                        <m: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s-MX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e>
                      <m:sub>
                        <m: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</m:t>
                        </m:r>
                      </m:sub>
                    </m:sSub>
                    <m:r>
                      <a:rPr lang="es-MX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s-MX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𝑝</m:t>
                    </m:r>
                    <m:r>
                      <a:rPr lang="es-MX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;</m:t>
                    </m:r>
                    <m:sSub>
                      <m:sSubPr>
                        <m:ctrlP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𝑑𝑓</m:t>
                        </m:r>
                      </m:e>
                      <m:sub>
                        <m: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s-MX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sSub>
                      <m:sSubPr>
                        <m:ctrlP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e>
                      <m:sub>
                        <m:r>
                          <a:rPr lang="es-MX" sz="1100" b="0" i="1">
                            <a:solidFill>
                              <a:schemeClr val="dk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sub>
                    </m:sSub>
                    <m:r>
                      <a:rPr lang="es-MX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−</m:t>
                    </m:r>
                    <m:r>
                      <a:rPr lang="es-MX" sz="1100" b="0" i="1">
                        <a:solidFill>
                          <a:schemeClr val="dk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𝑝</m:t>
                    </m:r>
                  </m:oMath>
                </m:oMathPara>
              </a14:m>
              <a:endParaRPr lang="es-CL">
                <a:effectLst/>
              </a:endParaRPr>
            </a:p>
            <a:p>
              <a:endParaRPr lang="es-MX" sz="1100" b="0">
                <a:solidFill>
                  <a:schemeClr val="dk1"/>
                </a:solidFill>
                <a:effectLst/>
                <a:ea typeface="+mn-ea"/>
                <a:cs typeface="+mn-cs"/>
              </a:endParaRPr>
            </a:p>
            <a:p>
              <a:endParaRPr lang="es-CL" sz="11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97C806CF-8247-4195-91E4-3B748B7B7124}"/>
                </a:ext>
              </a:extLst>
            </xdr:cNvPr>
            <xdr:cNvSpPr txBox="1"/>
          </xdr:nvSpPr>
          <xdr:spPr>
            <a:xfrm>
              <a:off x="10279380" y="3048000"/>
              <a:ext cx="3680460" cy="159258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s-CL" sz="1100"/>
                <a:t>Ecuaciones:</a:t>
              </a:r>
            </a:p>
            <a:p>
              <a:pPr/>
              <a:r>
                <a:rPr lang="es-MX" sz="1100" b="0" i="0">
                  <a:latin typeface="Cambria Math" panose="02040503050406030204" pitchFamily="18" charset="0"/>
                </a:rPr>
                <a:t>𝑡=((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𝜃_1 ) ̅</a:t>
              </a:r>
              <a:r>
                <a:rPr lang="es-MX" sz="1100" b="0" i="0">
                  <a:latin typeface="Cambria Math" panose="02040503050406030204" pitchFamily="18" charset="0"/>
                </a:rPr>
                <a:t>−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(𝜃_2 ) ̅)/√(〖</a:t>
              </a:r>
              <a:r>
                <a:rPr lang="es-MX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𝜎_</a:t>
              </a:r>
              <a:r>
                <a:rPr lang="es-MX" sz="1100" b="0" i="0">
                  <a:latin typeface="Cambria Math" panose="02040503050406030204" pitchFamily="18" charset="0"/>
                </a:rPr>
                <a:t>1〗^2+</a:t>
              </a: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〖𝜎_2〗^2 )</a:t>
              </a:r>
              <a:endParaRPr lang="es-CL" sz="1100"/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𝑑𝑡=(〖𝜎_1〗^2+〖𝜎_2〗^2 )^2/(〖𝜎_1〗^4/〖𝑑𝑓〗_1 +〖𝜎_2〗^4/〖𝑑𝑓〗_2 )</a:t>
              </a:r>
              <a:endParaRPr lang="es-CL">
                <a:effectLst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MX" sz="11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〖𝑑𝑓〗_1=𝑛_1−𝑝;〖𝑑𝑓〗_2=𝑛_2−𝑝</a:t>
              </a:r>
              <a:endParaRPr lang="es-CL">
                <a:effectLst/>
              </a:endParaRPr>
            </a:p>
            <a:p>
              <a:endParaRPr lang="es-MX" sz="1100" b="0">
                <a:solidFill>
                  <a:schemeClr val="dk1"/>
                </a:solidFill>
                <a:effectLst/>
                <a:ea typeface="+mn-ea"/>
                <a:cs typeface="+mn-cs"/>
              </a:endParaRPr>
            </a:p>
            <a:p>
              <a:endParaRPr lang="es-CL" sz="1100"/>
            </a:p>
          </xdr:txBody>
        </xdr:sp>
      </mc:Fallback>
    </mc:AlternateContent>
    <xdr:clientData/>
  </xdr:twoCellAnchor>
  <xdr:twoCellAnchor>
    <xdr:from>
      <xdr:col>18</xdr:col>
      <xdr:colOff>525780</xdr:colOff>
      <xdr:row>16</xdr:row>
      <xdr:rowOff>160020</xdr:rowOff>
    </xdr:from>
    <xdr:to>
      <xdr:col>24</xdr:col>
      <xdr:colOff>342900</xdr:colOff>
      <xdr:row>31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AD2E00AF-FB1B-430D-9BC3-16CDD84EA8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50440" y="30861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24</xdr:col>
      <xdr:colOff>579120</xdr:colOff>
      <xdr:row>16</xdr:row>
      <xdr:rowOff>160020</xdr:rowOff>
    </xdr:from>
    <xdr:to>
      <xdr:col>30</xdr:col>
      <xdr:colOff>396240</xdr:colOff>
      <xdr:row>31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áfico 6">
              <a:extLst>
                <a:ext uri="{FF2B5EF4-FFF2-40B4-BE49-F238E27FC236}">
                  <a16:creationId xmlns:a16="http://schemas.microsoft.com/office/drawing/2014/main" id="{7EB06B60-13EA-4380-BF00-18C3313C86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758660" y="30861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18</xdr:col>
      <xdr:colOff>541020</xdr:colOff>
      <xdr:row>32</xdr:row>
      <xdr:rowOff>114300</xdr:rowOff>
    </xdr:from>
    <xdr:to>
      <xdr:col>24</xdr:col>
      <xdr:colOff>358140</xdr:colOff>
      <xdr:row>47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Gráfico 7">
              <a:extLst>
                <a:ext uri="{FF2B5EF4-FFF2-40B4-BE49-F238E27FC236}">
                  <a16:creationId xmlns:a16="http://schemas.microsoft.com/office/drawing/2014/main" id="{DFF78232-9E9B-4522-999C-C03B095DBF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965680" y="59664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24</xdr:col>
      <xdr:colOff>556260</xdr:colOff>
      <xdr:row>32</xdr:row>
      <xdr:rowOff>129540</xdr:rowOff>
    </xdr:from>
    <xdr:to>
      <xdr:col>30</xdr:col>
      <xdr:colOff>373380</xdr:colOff>
      <xdr:row>47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Gráfico 8">
              <a:extLst>
                <a:ext uri="{FF2B5EF4-FFF2-40B4-BE49-F238E27FC236}">
                  <a16:creationId xmlns:a16="http://schemas.microsoft.com/office/drawing/2014/main" id="{88F547F8-95BC-4CEF-84A6-1EAC356B926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735800" y="5981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L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3-17T12:47:28.692"/>
    </inkml:context>
    <inkml:brush xml:id="br0">
      <inkml:brushProperty name="width" value="0.2" units="cm"/>
      <inkml:brushProperty name="height" value="0.4" units="cm"/>
      <inkml:brushProperty name="color" value="#FFFC00"/>
      <inkml:brushProperty name="tip" value="rectangle"/>
      <inkml:brushProperty name="rasterOp" value="maskPen"/>
      <inkml:brushProperty name="ignorePressure" value="1"/>
    </inkml:brush>
  </inkml:definitions>
  <inkml:trace contextRef="#ctx0" brushRef="#br0">6653 57,'-32'-1,"-51"-10,17 2,-560-26,-773 37,815-3,566 1</inkml:trace>
  <inkml:trace contextRef="#ctx0" brushRef="#br0" timeOffset="2433.25">3364 21,'-152'0,"-797"14,383-9,337-6,83-9,-1 1,69 10,-15 0,-121-13,126 4,-134 6,104 4,-227-2,328 0</inkml:trace>
</inkml:ink>
</file>

<file path=xl/persons/person.xml><?xml version="1.0" encoding="utf-8"?>
<personList xmlns="http://schemas.microsoft.com/office/spreadsheetml/2018/threadedcomments" xmlns:x="http://schemas.openxmlformats.org/spreadsheetml/2006/main">
  <person displayName="María Fernanda Folch Díaz" id="{5D4D3F9D-C31C-4FEE-ADBF-F3914B8EBD59}" userId="S::mfernandafolch@uc.cl::0edf900c-c7cc-461f-97c7-8fa0d92641e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8" dT="2026-03-19T14:12:16.14" personId="{5D4D3F9D-C31C-4FEE-ADBF-F3914B8EBD59}" id="{D3BE4DB7-6357-44ED-AFF7-727C0C991779}">
    <text>MUY LENTO</text>
  </threadedComment>
  <threadedComment ref="J28" dT="2026-03-19T15:49:42.54" personId="{5D4D3F9D-C31C-4FEE-ADBF-F3914B8EBD59}" id="{C19F6259-C0C9-43B5-BDBC-3757C13DADEC}">
    <text>MUY LENTO</text>
  </threadedComment>
  <threadedComment ref="H37" dT="2026-03-20T13:46:59.09" personId="{5D4D3F9D-C31C-4FEE-ADBF-F3914B8EBD59}" id="{2A564528-094E-46C6-A98D-994CD8541A25}">
    <text>Set de datos con una bajada importante de la cantidad de azúcar, afecta optimización.</text>
  </threadedComment>
  <threadedComment ref="C71" dT="2026-03-23T16:07:45.54" personId="{5D4D3F9D-C31C-4FEE-ADBF-F3914B8EBD59}" id="{11DA70EB-2022-4F38-B7D4-B5EA26808970}">
    <text>A las 150 queda en 0.0639131566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J7" dT="2026-03-20T13:46:59.09" personId="{5D4D3F9D-C31C-4FEE-ADBF-F3914B8EBD59}" id="{FB676A63-55E8-41DC-BEAE-210FF5749F53}">
    <text>Set de datos con una bajada importante de la cantidad de azúcar, afecta optimización.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3"/>
  <sheetViews>
    <sheetView zoomScale="95" zoomScaleNormal="100" workbookViewId="0">
      <selection activeCell="K84" sqref="K84"/>
    </sheetView>
  </sheetViews>
  <sheetFormatPr baseColWidth="10" defaultColWidth="8.77734375" defaultRowHeight="14.4" x14ac:dyDescent="0.3"/>
  <cols>
    <col min="1" max="1" width="11.5546875" bestFit="1" customWidth="1"/>
    <col min="2" max="2" width="26.44140625" customWidth="1"/>
    <col min="3" max="3" width="9.33203125" customWidth="1"/>
    <col min="5" max="5" width="19.77734375" bestFit="1" customWidth="1"/>
    <col min="6" max="6" width="13" bestFit="1" customWidth="1"/>
    <col min="7" max="7" width="13.77734375" bestFit="1" customWidth="1"/>
    <col min="8" max="8" width="13.88671875" bestFit="1" customWidth="1"/>
    <col min="9" max="9" width="13.109375" customWidth="1"/>
    <col min="10" max="10" width="9.88671875" bestFit="1" customWidth="1"/>
    <col min="12" max="12" width="52.77734375" customWidth="1"/>
  </cols>
  <sheetData>
    <row r="1" spans="1:12" ht="15" thickBot="1" x14ac:dyDescent="0.35">
      <c r="A1" t="s">
        <v>0</v>
      </c>
      <c r="B1" t="s">
        <v>11</v>
      </c>
    </row>
    <row r="2" spans="1:12" x14ac:dyDescent="0.3">
      <c r="B2" s="272" t="s">
        <v>1</v>
      </c>
      <c r="C2" s="271" t="s">
        <v>2</v>
      </c>
      <c r="D2" s="271"/>
      <c r="E2" s="271"/>
      <c r="F2" s="271"/>
      <c r="G2" s="274" t="s">
        <v>12</v>
      </c>
      <c r="H2" s="274" t="s">
        <v>9</v>
      </c>
      <c r="I2" s="274" t="s">
        <v>10</v>
      </c>
      <c r="J2" s="269" t="s">
        <v>6</v>
      </c>
      <c r="L2" t="s">
        <v>14</v>
      </c>
    </row>
    <row r="3" spans="1:12" ht="15" thickBot="1" x14ac:dyDescent="0.35">
      <c r="B3" s="273"/>
      <c r="C3" s="16" t="s">
        <v>3</v>
      </c>
      <c r="D3" s="16" t="s">
        <v>4</v>
      </c>
      <c r="E3" s="7" t="s">
        <v>30</v>
      </c>
      <c r="F3" s="7" t="s">
        <v>29</v>
      </c>
      <c r="G3" s="275"/>
      <c r="H3" s="275"/>
      <c r="I3" s="275"/>
      <c r="J3" s="276"/>
      <c r="L3" t="s">
        <v>15</v>
      </c>
    </row>
    <row r="4" spans="1:12" x14ac:dyDescent="0.3">
      <c r="B4" s="8" t="s">
        <v>5</v>
      </c>
      <c r="C4" s="9">
        <v>8</v>
      </c>
      <c r="D4" s="9">
        <v>4</v>
      </c>
      <c r="E4" s="9"/>
      <c r="F4" s="9"/>
      <c r="G4" s="9" t="s">
        <v>7</v>
      </c>
      <c r="H4" s="10">
        <v>82.549381118790606</v>
      </c>
      <c r="I4" s="9"/>
      <c r="J4" s="11">
        <v>19.95</v>
      </c>
    </row>
    <row r="5" spans="1:12" x14ac:dyDescent="0.3">
      <c r="B5" s="12" t="s">
        <v>5</v>
      </c>
      <c r="C5" s="2">
        <v>8</v>
      </c>
      <c r="D5" s="2">
        <v>6</v>
      </c>
      <c r="E5" s="2"/>
      <c r="F5" s="2"/>
      <c r="G5" s="2" t="s">
        <v>7</v>
      </c>
      <c r="H5" s="3">
        <v>204.12437459632801</v>
      </c>
      <c r="I5" s="2"/>
      <c r="J5" s="13">
        <v>16.18</v>
      </c>
    </row>
    <row r="6" spans="1:12" x14ac:dyDescent="0.3">
      <c r="B6" s="12" t="s">
        <v>5</v>
      </c>
      <c r="C6" s="2">
        <v>8</v>
      </c>
      <c r="D6" s="2">
        <v>8</v>
      </c>
      <c r="E6" s="2"/>
      <c r="F6" s="2"/>
      <c r="G6" s="2" t="s">
        <v>7</v>
      </c>
      <c r="H6" s="3">
        <v>538.65830215846302</v>
      </c>
      <c r="I6" s="2"/>
      <c r="J6" s="13">
        <v>28.18</v>
      </c>
    </row>
    <row r="7" spans="1:12" x14ac:dyDescent="0.3">
      <c r="B7" s="12" t="s">
        <v>5</v>
      </c>
      <c r="C7" s="2">
        <v>14</v>
      </c>
      <c r="D7" s="2">
        <v>4</v>
      </c>
      <c r="E7" s="2"/>
      <c r="F7" s="2"/>
      <c r="G7" s="2" t="s">
        <v>7</v>
      </c>
      <c r="H7" s="3">
        <v>81.804288393525695</v>
      </c>
      <c r="I7" s="2"/>
      <c r="J7" s="13">
        <v>46.52</v>
      </c>
    </row>
    <row r="8" spans="1:12" x14ac:dyDescent="0.3">
      <c r="B8" s="12" t="s">
        <v>5</v>
      </c>
      <c r="C8" s="2">
        <v>14</v>
      </c>
      <c r="D8" s="2">
        <v>6</v>
      </c>
      <c r="E8" s="2"/>
      <c r="F8" s="2"/>
      <c r="G8" s="2" t="s">
        <v>7</v>
      </c>
      <c r="H8" s="3">
        <v>84.980454925729703</v>
      </c>
      <c r="I8" s="2"/>
      <c r="J8" s="13">
        <v>24.79</v>
      </c>
    </row>
    <row r="9" spans="1:12" x14ac:dyDescent="0.3">
      <c r="B9" s="12" t="s">
        <v>5</v>
      </c>
      <c r="C9" s="2">
        <v>14</v>
      </c>
      <c r="D9" s="2">
        <v>8</v>
      </c>
      <c r="E9" s="2"/>
      <c r="F9" s="2"/>
      <c r="G9" s="2" t="s">
        <v>7</v>
      </c>
      <c r="H9" s="4">
        <v>55.270130124821399</v>
      </c>
      <c r="I9" s="2"/>
      <c r="J9" s="13">
        <v>42.3</v>
      </c>
    </row>
    <row r="10" spans="1:12" x14ac:dyDescent="0.3">
      <c r="B10" s="12" t="s">
        <v>5</v>
      </c>
      <c r="C10" s="2">
        <v>20</v>
      </c>
      <c r="D10" s="2">
        <v>4</v>
      </c>
      <c r="E10" s="2"/>
      <c r="F10" s="2"/>
      <c r="G10" s="2" t="s">
        <v>7</v>
      </c>
      <c r="H10" s="3">
        <v>81.842917511313502</v>
      </c>
      <c r="I10" s="2"/>
      <c r="J10" s="13">
        <f>60+7.47</f>
        <v>67.47</v>
      </c>
    </row>
    <row r="11" spans="1:12" x14ac:dyDescent="0.3">
      <c r="B11" s="12" t="s">
        <v>5</v>
      </c>
      <c r="C11" s="2">
        <v>20</v>
      </c>
      <c r="D11" s="2">
        <v>6</v>
      </c>
      <c r="E11" s="2"/>
      <c r="F11" s="2"/>
      <c r="G11" s="2" t="s">
        <v>7</v>
      </c>
      <c r="H11" s="5">
        <v>63.049160766663</v>
      </c>
      <c r="I11" s="2"/>
      <c r="J11" s="13">
        <v>59.3</v>
      </c>
    </row>
    <row r="12" spans="1:12" x14ac:dyDescent="0.3">
      <c r="B12" s="12" t="s">
        <v>5</v>
      </c>
      <c r="C12" s="2">
        <v>20</v>
      </c>
      <c r="D12" s="2">
        <v>8</v>
      </c>
      <c r="E12" s="2"/>
      <c r="F12" s="2"/>
      <c r="G12" s="2" t="s">
        <v>7</v>
      </c>
      <c r="H12" s="3">
        <v>93.389411925614297</v>
      </c>
      <c r="I12" s="2"/>
      <c r="J12" s="13">
        <v>55.53</v>
      </c>
    </row>
    <row r="13" spans="1:12" x14ac:dyDescent="0.3">
      <c r="B13" s="12" t="s">
        <v>5</v>
      </c>
      <c r="C13" s="2">
        <v>8</v>
      </c>
      <c r="D13" s="2">
        <v>4</v>
      </c>
      <c r="E13" s="2"/>
      <c r="F13" s="2"/>
      <c r="G13" s="2" t="s">
        <v>8</v>
      </c>
      <c r="H13" s="3">
        <v>82.549381118790606</v>
      </c>
      <c r="I13" s="3">
        <v>82.325162791377593</v>
      </c>
      <c r="J13" s="13">
        <v>21.41</v>
      </c>
    </row>
    <row r="14" spans="1:12" x14ac:dyDescent="0.3">
      <c r="B14" s="12" t="s">
        <v>5</v>
      </c>
      <c r="C14" s="2">
        <v>8</v>
      </c>
      <c r="D14" s="2">
        <v>6</v>
      </c>
      <c r="E14" s="2"/>
      <c r="F14" s="2"/>
      <c r="G14" s="2" t="s">
        <v>8</v>
      </c>
      <c r="H14" s="3">
        <v>204.12437459632801</v>
      </c>
      <c r="I14" s="3">
        <v>204.124337016564</v>
      </c>
      <c r="J14" s="13">
        <v>17.03</v>
      </c>
    </row>
    <row r="15" spans="1:12" x14ac:dyDescent="0.3">
      <c r="B15" s="12" t="s">
        <v>5</v>
      </c>
      <c r="C15" s="2">
        <v>8</v>
      </c>
      <c r="D15" s="2">
        <v>8</v>
      </c>
      <c r="E15" s="2"/>
      <c r="F15" s="2"/>
      <c r="G15" s="2" t="s">
        <v>8</v>
      </c>
      <c r="H15" s="3">
        <v>538.65830215846302</v>
      </c>
      <c r="I15" s="3">
        <v>84.173643476015002</v>
      </c>
      <c r="J15" s="13">
        <v>31.45</v>
      </c>
    </row>
    <row r="16" spans="1:12" x14ac:dyDescent="0.3">
      <c r="B16" s="12" t="s">
        <v>5</v>
      </c>
      <c r="C16" s="2">
        <v>14</v>
      </c>
      <c r="D16" s="2">
        <v>4</v>
      </c>
      <c r="E16" s="2"/>
      <c r="F16" s="2"/>
      <c r="G16" s="2" t="s">
        <v>8</v>
      </c>
      <c r="H16" s="3">
        <v>81.804288393525695</v>
      </c>
      <c r="I16" s="3">
        <v>81.804279113154806</v>
      </c>
      <c r="J16" s="13">
        <v>41.68</v>
      </c>
    </row>
    <row r="17" spans="2:10" x14ac:dyDescent="0.3">
      <c r="B17" s="12" t="s">
        <v>5</v>
      </c>
      <c r="C17" s="2">
        <v>14</v>
      </c>
      <c r="D17" s="2">
        <v>6</v>
      </c>
      <c r="E17" s="2"/>
      <c r="F17" s="2"/>
      <c r="G17" s="2" t="s">
        <v>8</v>
      </c>
      <c r="H17" s="3">
        <v>84.980454925729703</v>
      </c>
      <c r="I17" s="3">
        <v>84.7505328845523</v>
      </c>
      <c r="J17" s="13">
        <v>25.76</v>
      </c>
    </row>
    <row r="18" spans="2:10" x14ac:dyDescent="0.3">
      <c r="B18" s="12" t="s">
        <v>5</v>
      </c>
      <c r="C18" s="2">
        <v>14</v>
      </c>
      <c r="D18" s="2">
        <v>8</v>
      </c>
      <c r="E18" s="2"/>
      <c r="F18" s="2"/>
      <c r="G18" s="2" t="s">
        <v>8</v>
      </c>
      <c r="H18" s="4">
        <v>55.270130124821399</v>
      </c>
      <c r="I18" s="3">
        <v>55.270098666267401</v>
      </c>
      <c r="J18" s="13">
        <v>38.049999999999997</v>
      </c>
    </row>
    <row r="19" spans="2:10" x14ac:dyDescent="0.3">
      <c r="B19" s="12" t="s">
        <v>5</v>
      </c>
      <c r="C19" s="2">
        <v>20</v>
      </c>
      <c r="D19" s="2">
        <v>4</v>
      </c>
      <c r="E19" s="2"/>
      <c r="F19" s="2"/>
      <c r="G19" s="2" t="s">
        <v>8</v>
      </c>
      <c r="H19" s="3">
        <v>81.842917511313502</v>
      </c>
      <c r="I19" s="3">
        <v>81.842917511313502</v>
      </c>
      <c r="J19" s="13">
        <v>48.2</v>
      </c>
    </row>
    <row r="20" spans="2:10" x14ac:dyDescent="0.3">
      <c r="B20" s="12" t="s">
        <v>5</v>
      </c>
      <c r="C20" s="2">
        <v>20</v>
      </c>
      <c r="D20" s="2">
        <v>6</v>
      </c>
      <c r="E20" s="2"/>
      <c r="F20" s="2"/>
      <c r="G20" s="2" t="s">
        <v>8</v>
      </c>
      <c r="H20" s="5">
        <v>63.049160766663</v>
      </c>
      <c r="I20" s="5">
        <v>58.249422349830901</v>
      </c>
      <c r="J20" s="13">
        <v>49.94</v>
      </c>
    </row>
    <row r="21" spans="2:10" ht="15" thickBot="1" x14ac:dyDescent="0.35">
      <c r="B21" s="22" t="s">
        <v>5</v>
      </c>
      <c r="C21" s="23">
        <v>20</v>
      </c>
      <c r="D21" s="23">
        <v>8</v>
      </c>
      <c r="E21" s="23"/>
      <c r="F21" s="23"/>
      <c r="G21" s="23" t="s">
        <v>8</v>
      </c>
      <c r="H21" s="21">
        <v>93.389411925614297</v>
      </c>
      <c r="I21" s="21">
        <v>67.115603761140093</v>
      </c>
      <c r="J21" s="24">
        <v>57.4</v>
      </c>
    </row>
    <row r="22" spans="2:10" x14ac:dyDescent="0.3">
      <c r="B22" s="8" t="s">
        <v>13</v>
      </c>
      <c r="C22" s="9">
        <v>10</v>
      </c>
      <c r="D22" s="9"/>
      <c r="E22" s="9"/>
      <c r="F22" s="9"/>
      <c r="G22" s="17" t="s">
        <v>7</v>
      </c>
      <c r="H22" s="10">
        <v>59.072205394945499</v>
      </c>
      <c r="I22" s="19"/>
      <c r="J22" s="11">
        <v>17.579999999999998</v>
      </c>
    </row>
    <row r="23" spans="2:10" x14ac:dyDescent="0.3">
      <c r="B23" s="12" t="s">
        <v>13</v>
      </c>
      <c r="C23" s="2">
        <v>20</v>
      </c>
      <c r="D23" s="2"/>
      <c r="E23" s="2"/>
      <c r="F23" s="2"/>
      <c r="G23" s="18" t="s">
        <v>7</v>
      </c>
      <c r="H23" s="3">
        <v>59.072205394945499</v>
      </c>
      <c r="I23" s="20"/>
      <c r="J23" s="13">
        <v>21.11</v>
      </c>
    </row>
    <row r="24" spans="2:10" x14ac:dyDescent="0.3">
      <c r="B24" s="12" t="s">
        <v>13</v>
      </c>
      <c r="C24" s="2">
        <v>40</v>
      </c>
      <c r="D24" s="2"/>
      <c r="E24" s="2"/>
      <c r="F24" s="2"/>
      <c r="G24" s="18" t="s">
        <v>7</v>
      </c>
      <c r="H24" s="3">
        <v>59.072205394945499</v>
      </c>
      <c r="I24" s="20"/>
      <c r="J24" s="13">
        <v>25.03</v>
      </c>
    </row>
    <row r="25" spans="2:10" x14ac:dyDescent="0.3">
      <c r="B25" s="12" t="s">
        <v>13</v>
      </c>
      <c r="C25" s="2">
        <v>60</v>
      </c>
      <c r="D25" s="2"/>
      <c r="E25" s="2"/>
      <c r="F25" s="2"/>
      <c r="G25" s="18" t="s">
        <v>7</v>
      </c>
      <c r="H25" s="3">
        <v>59.072205394945499</v>
      </c>
      <c r="I25" s="20"/>
      <c r="J25" s="13">
        <v>31.68</v>
      </c>
    </row>
    <row r="26" spans="2:10" x14ac:dyDescent="0.3">
      <c r="B26" s="12" t="s">
        <v>13</v>
      </c>
      <c r="C26" s="2">
        <v>10</v>
      </c>
      <c r="D26" s="2"/>
      <c r="E26" s="2"/>
      <c r="F26" s="2"/>
      <c r="G26" s="18" t="s">
        <v>8</v>
      </c>
      <c r="H26" s="3">
        <v>59.072205394945499</v>
      </c>
      <c r="I26" s="20">
        <v>59.063559083312597</v>
      </c>
      <c r="J26" s="13">
        <v>17.510000000000002</v>
      </c>
    </row>
    <row r="27" spans="2:10" x14ac:dyDescent="0.3">
      <c r="B27" s="12" t="s">
        <v>13</v>
      </c>
      <c r="C27" s="2">
        <v>20</v>
      </c>
      <c r="D27" s="2"/>
      <c r="E27" s="2"/>
      <c r="F27" s="2"/>
      <c r="G27" s="18" t="s">
        <v>8</v>
      </c>
      <c r="H27" s="3">
        <v>59.072205394945499</v>
      </c>
      <c r="I27" s="20">
        <v>59.063559083312597</v>
      </c>
      <c r="J27" s="13">
        <v>20.59</v>
      </c>
    </row>
    <row r="28" spans="2:10" x14ac:dyDescent="0.3">
      <c r="B28" s="12" t="s">
        <v>13</v>
      </c>
      <c r="C28" s="2">
        <v>40</v>
      </c>
      <c r="D28" s="2"/>
      <c r="E28" s="2"/>
      <c r="F28" s="2"/>
      <c r="G28" s="18" t="s">
        <v>8</v>
      </c>
      <c r="H28" s="3">
        <v>59.072205394945499</v>
      </c>
      <c r="I28" s="20">
        <v>59.063559083312597</v>
      </c>
      <c r="J28" s="13">
        <v>26.71</v>
      </c>
    </row>
    <row r="29" spans="2:10" ht="15" thickBot="1" x14ac:dyDescent="0.35">
      <c r="B29" s="22" t="s">
        <v>13</v>
      </c>
      <c r="C29" s="23">
        <v>60</v>
      </c>
      <c r="D29" s="23"/>
      <c r="E29" s="23"/>
      <c r="F29" s="23"/>
      <c r="G29" s="25" t="s">
        <v>8</v>
      </c>
      <c r="H29" s="21">
        <v>59.072205394945499</v>
      </c>
      <c r="I29" s="26">
        <v>59.063559083312597</v>
      </c>
      <c r="J29" s="24">
        <v>33.340000000000003</v>
      </c>
    </row>
    <row r="30" spans="2:10" x14ac:dyDescent="0.3">
      <c r="B30" s="8" t="s">
        <v>16</v>
      </c>
      <c r="C30" s="9"/>
      <c r="D30" s="9"/>
      <c r="E30" s="9">
        <v>10</v>
      </c>
      <c r="F30" s="9">
        <v>50</v>
      </c>
      <c r="G30" s="9" t="s">
        <v>7</v>
      </c>
      <c r="H30" s="10">
        <v>76.496085191314805</v>
      </c>
      <c r="I30" s="9"/>
      <c r="J30" s="11">
        <v>12.17</v>
      </c>
    </row>
    <row r="31" spans="2:10" x14ac:dyDescent="0.3">
      <c r="B31" s="12" t="s">
        <v>16</v>
      </c>
      <c r="C31" s="2"/>
      <c r="D31" s="2"/>
      <c r="E31" s="2">
        <v>15</v>
      </c>
      <c r="F31" s="2">
        <v>50</v>
      </c>
      <c r="G31" s="2" t="s">
        <v>7</v>
      </c>
      <c r="H31" s="3">
        <v>34.156916731388499</v>
      </c>
      <c r="I31" s="2"/>
      <c r="J31" s="13">
        <v>15.71</v>
      </c>
    </row>
    <row r="32" spans="2:10" x14ac:dyDescent="0.3">
      <c r="B32" s="12" t="s">
        <v>16</v>
      </c>
      <c r="C32" s="2"/>
      <c r="D32" s="2"/>
      <c r="E32" s="2">
        <v>20</v>
      </c>
      <c r="F32" s="2">
        <v>50</v>
      </c>
      <c r="G32" s="2" t="s">
        <v>7</v>
      </c>
      <c r="H32" s="3">
        <v>21.866985737151001</v>
      </c>
      <c r="I32" s="2"/>
      <c r="J32" s="13">
        <v>16.809999999999999</v>
      </c>
    </row>
    <row r="33" spans="1:12" x14ac:dyDescent="0.3">
      <c r="B33" s="12" t="s">
        <v>16</v>
      </c>
      <c r="C33" s="2"/>
      <c r="D33" s="2"/>
      <c r="E33" s="2">
        <v>25</v>
      </c>
      <c r="F33" s="2">
        <v>50</v>
      </c>
      <c r="G33" s="2" t="s">
        <v>7</v>
      </c>
      <c r="H33" s="3">
        <v>21.598196097453801</v>
      </c>
      <c r="I33" s="2"/>
      <c r="J33" s="13">
        <v>23.94</v>
      </c>
    </row>
    <row r="34" spans="1:12" x14ac:dyDescent="0.3">
      <c r="B34" s="12" t="s">
        <v>16</v>
      </c>
      <c r="C34" s="2"/>
      <c r="D34" s="2"/>
      <c r="E34" s="2">
        <v>10</v>
      </c>
      <c r="F34" s="2">
        <v>80</v>
      </c>
      <c r="G34" s="2" t="s">
        <v>7</v>
      </c>
      <c r="H34" s="3">
        <v>68.838314256654002</v>
      </c>
      <c r="I34" s="2"/>
      <c r="J34" s="13">
        <v>19.32</v>
      </c>
    </row>
    <row r="35" spans="1:12" x14ac:dyDescent="0.3">
      <c r="B35" s="12" t="s">
        <v>16</v>
      </c>
      <c r="C35" s="2"/>
      <c r="D35" s="2"/>
      <c r="E35" s="2">
        <v>15</v>
      </c>
      <c r="F35" s="2">
        <v>80</v>
      </c>
      <c r="G35" s="2" t="s">
        <v>7</v>
      </c>
      <c r="H35" s="3">
        <v>33.383979815760597</v>
      </c>
      <c r="I35" s="2"/>
      <c r="J35" s="13">
        <v>26.42</v>
      </c>
    </row>
    <row r="36" spans="1:12" x14ac:dyDescent="0.3">
      <c r="B36" s="12" t="s">
        <v>16</v>
      </c>
      <c r="C36" s="2"/>
      <c r="D36" s="2"/>
      <c r="E36" s="2">
        <v>20</v>
      </c>
      <c r="F36" s="2">
        <v>80</v>
      </c>
      <c r="G36" s="2" t="s">
        <v>7</v>
      </c>
      <c r="H36" s="3">
        <v>21.115469552137299</v>
      </c>
      <c r="I36" s="2"/>
      <c r="J36" s="13">
        <v>25.24</v>
      </c>
    </row>
    <row r="37" spans="1:12" x14ac:dyDescent="0.3">
      <c r="B37" s="12" t="s">
        <v>16</v>
      </c>
      <c r="C37" s="2"/>
      <c r="D37" s="2"/>
      <c r="E37" s="2">
        <v>25</v>
      </c>
      <c r="F37" s="2">
        <v>80</v>
      </c>
      <c r="G37" s="2" t="s">
        <v>7</v>
      </c>
      <c r="H37" s="3">
        <v>21.152551459206698</v>
      </c>
      <c r="I37" s="2"/>
      <c r="J37" s="13">
        <v>30.22</v>
      </c>
    </row>
    <row r="38" spans="1:12" x14ac:dyDescent="0.3">
      <c r="B38" s="12" t="s">
        <v>16</v>
      </c>
      <c r="C38" s="2"/>
      <c r="D38" s="2"/>
      <c r="E38" s="2">
        <v>25</v>
      </c>
      <c r="F38" s="2">
        <v>100</v>
      </c>
      <c r="G38" s="2" t="s">
        <v>7</v>
      </c>
      <c r="H38" s="4">
        <v>21.096195547588302</v>
      </c>
      <c r="I38" s="2"/>
      <c r="J38" s="13">
        <v>47.07</v>
      </c>
    </row>
    <row r="39" spans="1:12" x14ac:dyDescent="0.3">
      <c r="B39" s="12" t="s">
        <v>16</v>
      </c>
      <c r="C39" s="2"/>
      <c r="D39" s="2"/>
      <c r="E39" s="2">
        <v>25</v>
      </c>
      <c r="F39" s="2">
        <v>150</v>
      </c>
      <c r="G39" s="2" t="s">
        <v>7</v>
      </c>
      <c r="H39" s="3">
        <v>20.933555214239501</v>
      </c>
      <c r="I39" s="2"/>
      <c r="J39" s="13">
        <v>63.35</v>
      </c>
    </row>
    <row r="40" spans="1:12" x14ac:dyDescent="0.3">
      <c r="B40" s="12" t="s">
        <v>16</v>
      </c>
      <c r="C40" s="2"/>
      <c r="D40" s="2"/>
      <c r="E40" s="2">
        <v>25</v>
      </c>
      <c r="F40" s="2">
        <v>80</v>
      </c>
      <c r="G40" s="2" t="s">
        <v>8</v>
      </c>
      <c r="H40" s="3">
        <v>21.152551459206698</v>
      </c>
      <c r="I40" s="3">
        <v>21.151507086732401</v>
      </c>
      <c r="J40" s="13">
        <v>29.78</v>
      </c>
    </row>
    <row r="41" spans="1:12" x14ac:dyDescent="0.3">
      <c r="B41" s="12" t="s">
        <v>16</v>
      </c>
      <c r="C41" s="2"/>
      <c r="D41" s="2"/>
      <c r="E41" s="2">
        <v>25</v>
      </c>
      <c r="F41" s="2">
        <v>100</v>
      </c>
      <c r="G41" s="2" t="s">
        <v>8</v>
      </c>
      <c r="H41" s="4">
        <v>21.096195547588302</v>
      </c>
      <c r="I41" s="4">
        <v>21.090065683150002</v>
      </c>
      <c r="J41" s="13">
        <v>35.68</v>
      </c>
      <c r="L41" t="s">
        <v>17</v>
      </c>
    </row>
    <row r="42" spans="1:12" x14ac:dyDescent="0.3">
      <c r="B42" s="22" t="s">
        <v>16</v>
      </c>
      <c r="C42" s="23"/>
      <c r="D42" s="23"/>
      <c r="E42" s="23">
        <v>25</v>
      </c>
      <c r="F42" s="23">
        <v>150</v>
      </c>
      <c r="G42" s="23" t="s">
        <v>8</v>
      </c>
      <c r="H42" s="21">
        <v>20.933555214239501</v>
      </c>
      <c r="I42" s="21">
        <v>20.913852644711</v>
      </c>
      <c r="J42" s="24">
        <v>63.56</v>
      </c>
    </row>
    <row r="43" spans="1:12" ht="15" thickBot="1" x14ac:dyDescent="0.35">
      <c r="B43" s="42" t="s">
        <v>31</v>
      </c>
      <c r="C43" s="43"/>
      <c r="D43" s="43"/>
      <c r="E43" s="43">
        <v>10</v>
      </c>
      <c r="F43" s="43">
        <v>500</v>
      </c>
      <c r="G43" s="43" t="s">
        <v>7</v>
      </c>
      <c r="H43" s="44">
        <v>14.1130851162229</v>
      </c>
      <c r="I43" s="43"/>
      <c r="J43" s="45">
        <f>2*60+57.83</f>
        <v>177.82999999999998</v>
      </c>
      <c r="K43">
        <f>J43/60</f>
        <v>2.9638333333333331</v>
      </c>
    </row>
    <row r="44" spans="1:12" ht="15" thickBot="1" x14ac:dyDescent="0.35">
      <c r="B44" s="48" t="s">
        <v>32</v>
      </c>
      <c r="E44" s="49">
        <v>10</v>
      </c>
      <c r="F44" s="49">
        <v>500</v>
      </c>
      <c r="G44" s="43" t="s">
        <v>7</v>
      </c>
    </row>
    <row r="48" spans="1:12" ht="15" thickBot="1" x14ac:dyDescent="0.35">
      <c r="A48" t="s">
        <v>0</v>
      </c>
      <c r="B48" t="s">
        <v>21</v>
      </c>
    </row>
    <row r="49" spans="2:20" ht="28.8" x14ac:dyDescent="0.3">
      <c r="B49" s="32" t="s">
        <v>1</v>
      </c>
      <c r="C49" s="34" t="s">
        <v>2</v>
      </c>
      <c r="D49" s="34"/>
      <c r="E49" s="34"/>
      <c r="F49" s="34"/>
      <c r="G49" s="35" t="s">
        <v>12</v>
      </c>
      <c r="H49" s="35" t="s">
        <v>9</v>
      </c>
      <c r="I49" s="35" t="s">
        <v>10</v>
      </c>
      <c r="J49" s="37" t="s">
        <v>6</v>
      </c>
    </row>
    <row r="50" spans="2:20" ht="15" thickBot="1" x14ac:dyDescent="0.35">
      <c r="B50" s="33"/>
      <c r="C50" s="7" t="s">
        <v>3</v>
      </c>
      <c r="D50" s="7" t="s">
        <v>4</v>
      </c>
      <c r="E50" s="7" t="s">
        <v>30</v>
      </c>
      <c r="F50" s="7" t="s">
        <v>29</v>
      </c>
      <c r="G50" s="36"/>
      <c r="H50" s="36"/>
      <c r="I50" s="36"/>
      <c r="J50" s="38"/>
    </row>
    <row r="51" spans="2:20" x14ac:dyDescent="0.3">
      <c r="B51" s="8" t="s">
        <v>16</v>
      </c>
      <c r="C51" s="9"/>
      <c r="D51" s="9"/>
      <c r="E51" s="39">
        <v>25</v>
      </c>
      <c r="F51" s="39">
        <v>100</v>
      </c>
      <c r="G51" s="39" t="s">
        <v>7</v>
      </c>
      <c r="H51" s="40">
        <v>642.85640012476097</v>
      </c>
      <c r="I51" s="9"/>
      <c r="J51" s="11">
        <f>2*60+14.52</f>
        <v>134.52000000000001</v>
      </c>
      <c r="K51" s="41">
        <f>J51/60</f>
        <v>2.242</v>
      </c>
      <c r="L51" t="s">
        <v>22</v>
      </c>
    </row>
    <row r="52" spans="2:20" x14ac:dyDescent="0.3">
      <c r="B52" s="12" t="s">
        <v>16</v>
      </c>
      <c r="C52" s="2"/>
      <c r="D52" s="2"/>
      <c r="E52" s="2">
        <v>25</v>
      </c>
      <c r="F52" s="2">
        <v>120</v>
      </c>
      <c r="G52" s="2" t="s">
        <v>7</v>
      </c>
      <c r="H52" s="29">
        <v>642.66116140171596</v>
      </c>
      <c r="I52" s="2"/>
      <c r="J52" s="13">
        <f>2*60+21.53</f>
        <v>141.53</v>
      </c>
      <c r="K52" s="41">
        <f t="shared" ref="K52:K60" si="0">J52/60</f>
        <v>2.3588333333333336</v>
      </c>
      <c r="L52" t="s">
        <v>23</v>
      </c>
    </row>
    <row r="53" spans="2:20" x14ac:dyDescent="0.3">
      <c r="B53" s="12" t="s">
        <v>16</v>
      </c>
      <c r="C53" s="2"/>
      <c r="D53" s="2"/>
      <c r="E53" s="2">
        <v>25</v>
      </c>
      <c r="F53" s="2">
        <v>150</v>
      </c>
      <c r="G53" s="2" t="s">
        <v>7</v>
      </c>
      <c r="H53" s="29">
        <v>642.66116140171596</v>
      </c>
      <c r="I53" s="2"/>
      <c r="J53" s="13">
        <f>2*60+41.42</f>
        <v>161.42000000000002</v>
      </c>
      <c r="K53" s="41">
        <f t="shared" si="0"/>
        <v>2.6903333333333337</v>
      </c>
    </row>
    <row r="54" spans="2:20" x14ac:dyDescent="0.3">
      <c r="B54" s="12" t="s">
        <v>16</v>
      </c>
      <c r="C54" s="2"/>
      <c r="D54" s="2"/>
      <c r="E54" s="2">
        <v>25</v>
      </c>
      <c r="F54" s="2">
        <v>150</v>
      </c>
      <c r="G54" s="2" t="s">
        <v>8</v>
      </c>
      <c r="H54" s="29">
        <v>642.66116140171596</v>
      </c>
      <c r="I54" s="30">
        <v>642.92712592794396</v>
      </c>
      <c r="J54" s="13">
        <f>2*60+40.53</f>
        <v>160.53</v>
      </c>
      <c r="K54" s="41">
        <f t="shared" si="0"/>
        <v>2.6755</v>
      </c>
      <c r="L54" t="s">
        <v>24</v>
      </c>
    </row>
    <row r="55" spans="2:20" x14ac:dyDescent="0.3">
      <c r="B55" s="12" t="s">
        <v>16</v>
      </c>
      <c r="C55" s="2"/>
      <c r="D55" s="2"/>
      <c r="E55" s="2">
        <v>30</v>
      </c>
      <c r="F55" s="2">
        <v>150</v>
      </c>
      <c r="G55" s="2" t="s">
        <v>7</v>
      </c>
      <c r="H55" s="28">
        <v>376.02775723511297</v>
      </c>
      <c r="I55" s="2"/>
      <c r="J55" s="13">
        <f>60+36.33</f>
        <v>96.33</v>
      </c>
      <c r="K55" s="41">
        <f t="shared" si="0"/>
        <v>1.6054999999999999</v>
      </c>
    </row>
    <row r="56" spans="2:20" x14ac:dyDescent="0.3">
      <c r="B56" s="12" t="s">
        <v>16</v>
      </c>
      <c r="C56" s="2"/>
      <c r="D56" s="2"/>
      <c r="E56" s="2">
        <v>30</v>
      </c>
      <c r="F56" s="2">
        <v>200</v>
      </c>
      <c r="G56" s="2" t="s">
        <v>7</v>
      </c>
      <c r="H56" s="28">
        <v>375.67459265584</v>
      </c>
      <c r="I56" s="2"/>
      <c r="J56" s="13">
        <f>60+50.99</f>
        <v>110.99000000000001</v>
      </c>
      <c r="K56" s="41">
        <f t="shared" si="0"/>
        <v>1.8498333333333334</v>
      </c>
    </row>
    <row r="57" spans="2:20" x14ac:dyDescent="0.3">
      <c r="B57" s="12" t="s">
        <v>16</v>
      </c>
      <c r="C57" s="2"/>
      <c r="D57" s="2"/>
      <c r="E57" s="2">
        <v>35</v>
      </c>
      <c r="F57" s="2">
        <v>200</v>
      </c>
      <c r="G57" s="2" t="s">
        <v>7</v>
      </c>
      <c r="H57" s="28">
        <v>642.68328820100896</v>
      </c>
      <c r="I57" s="2"/>
      <c r="J57" s="13">
        <f>5*60+13.72</f>
        <v>313.72000000000003</v>
      </c>
      <c r="K57" s="41">
        <f t="shared" si="0"/>
        <v>5.2286666666666672</v>
      </c>
    </row>
    <row r="58" spans="2:20" x14ac:dyDescent="0.3">
      <c r="B58" s="12" t="s">
        <v>16</v>
      </c>
      <c r="C58" s="2"/>
      <c r="D58" s="2"/>
      <c r="E58" s="31">
        <v>25</v>
      </c>
      <c r="F58" s="31">
        <v>100</v>
      </c>
      <c r="G58" s="31" t="s">
        <v>7</v>
      </c>
      <c r="H58" s="28">
        <v>642.65825516787504</v>
      </c>
      <c r="I58" s="2"/>
      <c r="J58" s="13">
        <f>5*60+38.17</f>
        <v>338.17</v>
      </c>
      <c r="K58" s="41">
        <f t="shared" si="0"/>
        <v>5.636166666666667</v>
      </c>
      <c r="L58" t="s">
        <v>25</v>
      </c>
    </row>
    <row r="59" spans="2:20" x14ac:dyDescent="0.3">
      <c r="B59" s="12" t="s">
        <v>16</v>
      </c>
      <c r="C59" s="2"/>
      <c r="D59" s="2"/>
      <c r="E59" s="2">
        <v>25</v>
      </c>
      <c r="F59" s="2">
        <v>500</v>
      </c>
      <c r="G59" s="2" t="s">
        <v>7</v>
      </c>
      <c r="H59" s="28">
        <v>642.48339335654896</v>
      </c>
      <c r="I59" s="2"/>
      <c r="J59" s="13">
        <f>16*60+24.41</f>
        <v>984.41</v>
      </c>
      <c r="K59" s="41">
        <f t="shared" si="0"/>
        <v>16.406833333333331</v>
      </c>
    </row>
    <row r="60" spans="2:20" ht="15" thickBot="1" x14ac:dyDescent="0.35">
      <c r="B60" s="42" t="s">
        <v>28</v>
      </c>
      <c r="C60" s="43"/>
      <c r="D60" s="43"/>
      <c r="E60" s="43">
        <v>10</v>
      </c>
      <c r="F60" s="43">
        <v>500</v>
      </c>
      <c r="G60" s="43" t="s">
        <v>7</v>
      </c>
      <c r="H60" s="46">
        <v>98.115554496124503</v>
      </c>
      <c r="I60" s="43"/>
      <c r="J60" s="45">
        <f>16*60+20.41</f>
        <v>980.41</v>
      </c>
      <c r="K60" s="41">
        <f t="shared" si="0"/>
        <v>16.340166666666665</v>
      </c>
    </row>
    <row r="61" spans="2:20" ht="14.55" customHeight="1" x14ac:dyDescent="0.3">
      <c r="B61" s="8" t="s">
        <v>13</v>
      </c>
      <c r="C61" s="9">
        <v>10</v>
      </c>
      <c r="D61" s="9"/>
      <c r="E61" s="9"/>
      <c r="F61" s="9"/>
      <c r="G61" s="9" t="s">
        <v>7</v>
      </c>
      <c r="H61" s="10">
        <v>1627.2112119826199</v>
      </c>
      <c r="I61" s="10"/>
      <c r="J61" s="11">
        <f>60+18.43</f>
        <v>78.430000000000007</v>
      </c>
      <c r="K61" s="41">
        <f t="shared" ref="K61:K67" si="1">J61/60</f>
        <v>1.3071666666666668</v>
      </c>
    </row>
    <row r="62" spans="2:20" x14ac:dyDescent="0.3">
      <c r="B62" s="12" t="s">
        <v>13</v>
      </c>
      <c r="C62" s="2">
        <v>20</v>
      </c>
      <c r="D62" s="2"/>
      <c r="E62" s="2"/>
      <c r="F62" s="2"/>
      <c r="G62" s="2" t="s">
        <v>7</v>
      </c>
      <c r="H62" s="3">
        <v>270.86726147910599</v>
      </c>
      <c r="I62" s="3"/>
      <c r="J62" s="13">
        <f>4*60+16</f>
        <v>256</v>
      </c>
      <c r="K62" s="41">
        <f t="shared" si="1"/>
        <v>4.2666666666666666</v>
      </c>
    </row>
    <row r="63" spans="2:20" x14ac:dyDescent="0.3">
      <c r="B63" s="12" t="s">
        <v>13</v>
      </c>
      <c r="C63" s="2">
        <v>40</v>
      </c>
      <c r="D63" s="2"/>
      <c r="E63" s="2"/>
      <c r="F63" s="2"/>
      <c r="G63" s="2" t="s">
        <v>7</v>
      </c>
      <c r="H63" s="4">
        <v>80.891270066865701</v>
      </c>
      <c r="I63" s="3"/>
      <c r="J63" s="13">
        <f>6*60+32.9</f>
        <v>392.9</v>
      </c>
      <c r="K63" s="41">
        <f t="shared" si="1"/>
        <v>6.5483333333333329</v>
      </c>
    </row>
    <row r="64" spans="2:20" ht="15" thickBot="1" x14ac:dyDescent="0.35">
      <c r="B64" s="15" t="s">
        <v>13</v>
      </c>
      <c r="C64" s="6">
        <v>60</v>
      </c>
      <c r="D64" s="6"/>
      <c r="E64" s="6"/>
      <c r="F64" s="6"/>
      <c r="G64" s="6" t="s">
        <v>7</v>
      </c>
      <c r="H64" s="47">
        <v>80.891270066865701</v>
      </c>
      <c r="I64" s="14"/>
      <c r="J64" s="27">
        <f>8*60+48.35</f>
        <v>528.35</v>
      </c>
      <c r="K64" s="41">
        <f t="shared" si="1"/>
        <v>8.8058333333333341</v>
      </c>
      <c r="T64" t="s">
        <v>27</v>
      </c>
    </row>
    <row r="65" spans="1:12" x14ac:dyDescent="0.3">
      <c r="B65" s="8" t="s">
        <v>5</v>
      </c>
      <c r="C65" s="9">
        <v>14</v>
      </c>
      <c r="D65" s="9">
        <v>8</v>
      </c>
      <c r="E65" s="9"/>
      <c r="F65" s="9"/>
      <c r="G65" s="9" t="s">
        <v>7</v>
      </c>
      <c r="H65" s="10">
        <v>778.393043419641</v>
      </c>
      <c r="I65" s="9"/>
      <c r="J65" s="11">
        <f>60+33.35</f>
        <v>93.35</v>
      </c>
      <c r="K65" s="41">
        <f t="shared" si="1"/>
        <v>1.5558333333333332</v>
      </c>
    </row>
    <row r="66" spans="1:12" x14ac:dyDescent="0.3">
      <c r="B66" s="12" t="s">
        <v>5</v>
      </c>
      <c r="C66" s="2">
        <v>20</v>
      </c>
      <c r="D66" s="2">
        <v>6</v>
      </c>
      <c r="E66" s="2"/>
      <c r="F66" s="2"/>
      <c r="G66" s="2" t="s">
        <v>7</v>
      </c>
      <c r="H66" s="3">
        <v>631.09160994058198</v>
      </c>
      <c r="I66" s="2"/>
      <c r="J66" s="13">
        <f>60+13.3</f>
        <v>73.3</v>
      </c>
      <c r="K66" s="41">
        <f t="shared" si="1"/>
        <v>1.2216666666666667</v>
      </c>
    </row>
    <row r="67" spans="1:12" ht="15" thickBot="1" x14ac:dyDescent="0.35">
      <c r="B67" s="15" t="s">
        <v>5</v>
      </c>
      <c r="C67" s="6">
        <v>20</v>
      </c>
      <c r="D67" s="6">
        <v>8</v>
      </c>
      <c r="E67" s="6"/>
      <c r="F67" s="6"/>
      <c r="G67" s="6" t="s">
        <v>7</v>
      </c>
      <c r="H67" s="14">
        <v>537.62630440488795</v>
      </c>
      <c r="I67" s="6"/>
      <c r="J67" s="27">
        <f>2*60+25.47</f>
        <v>145.47</v>
      </c>
      <c r="K67" s="41">
        <f t="shared" si="1"/>
        <v>2.4245000000000001</v>
      </c>
    </row>
    <row r="70" spans="1:12" ht="15" thickBot="1" x14ac:dyDescent="0.35">
      <c r="A70" t="s">
        <v>0</v>
      </c>
      <c r="B70" t="s">
        <v>18</v>
      </c>
    </row>
    <row r="71" spans="1:12" x14ac:dyDescent="0.3">
      <c r="B71" s="272" t="s">
        <v>1</v>
      </c>
      <c r="C71" s="271" t="s">
        <v>2</v>
      </c>
      <c r="D71" s="271"/>
      <c r="E71" s="271"/>
      <c r="F71" s="271"/>
      <c r="G71" s="274" t="s">
        <v>12</v>
      </c>
      <c r="H71" s="274" t="s">
        <v>9</v>
      </c>
      <c r="I71" s="274" t="s">
        <v>10</v>
      </c>
      <c r="J71" s="269" t="s">
        <v>6</v>
      </c>
    </row>
    <row r="72" spans="1:12" ht="15" thickBot="1" x14ac:dyDescent="0.35">
      <c r="B72" s="277"/>
      <c r="C72" s="7" t="s">
        <v>3</v>
      </c>
      <c r="D72" s="7" t="s">
        <v>4</v>
      </c>
      <c r="E72" s="7" t="s">
        <v>30</v>
      </c>
      <c r="F72" s="7" t="s">
        <v>29</v>
      </c>
      <c r="G72" s="278"/>
      <c r="H72" s="278"/>
      <c r="I72" s="278"/>
      <c r="J72" s="270"/>
    </row>
    <row r="73" spans="1:12" x14ac:dyDescent="0.3">
      <c r="B73" s="8" t="s">
        <v>16</v>
      </c>
      <c r="C73" s="9"/>
      <c r="D73" s="9"/>
      <c r="E73" s="9">
        <v>25</v>
      </c>
      <c r="F73" s="9">
        <v>50</v>
      </c>
      <c r="G73" s="9" t="s">
        <v>7</v>
      </c>
      <c r="H73" s="40">
        <v>39.402122681394601</v>
      </c>
      <c r="I73" s="9"/>
      <c r="J73" s="11">
        <v>48.38</v>
      </c>
    </row>
    <row r="74" spans="1:12" x14ac:dyDescent="0.3">
      <c r="B74" s="12" t="s">
        <v>16</v>
      </c>
      <c r="C74" s="2"/>
      <c r="D74" s="2"/>
      <c r="E74" s="2">
        <v>25</v>
      </c>
      <c r="F74" s="2">
        <v>80</v>
      </c>
      <c r="G74" s="2" t="s">
        <v>7</v>
      </c>
      <c r="H74" s="28">
        <v>26.1017589545019</v>
      </c>
      <c r="I74" s="2"/>
      <c r="J74" s="13">
        <f>60+17.06</f>
        <v>77.06</v>
      </c>
    </row>
    <row r="75" spans="1:12" x14ac:dyDescent="0.3">
      <c r="B75" s="12" t="s">
        <v>16</v>
      </c>
      <c r="C75" s="2"/>
      <c r="D75" s="2"/>
      <c r="E75" s="2">
        <v>25</v>
      </c>
      <c r="F75" s="2">
        <v>100</v>
      </c>
      <c r="G75" s="2" t="s">
        <v>7</v>
      </c>
      <c r="H75" s="29">
        <v>26.036020305426099</v>
      </c>
      <c r="I75" s="2"/>
      <c r="J75" s="13">
        <f>60+32.74</f>
        <v>92.740000000000009</v>
      </c>
    </row>
    <row r="76" spans="1:12" x14ac:dyDescent="0.3">
      <c r="B76" s="12" t="s">
        <v>16</v>
      </c>
      <c r="C76" s="2"/>
      <c r="D76" s="2"/>
      <c r="E76" s="2">
        <v>25</v>
      </c>
      <c r="F76" s="2">
        <v>120</v>
      </c>
      <c r="G76" s="2" t="s">
        <v>7</v>
      </c>
      <c r="H76" s="28">
        <v>26.036020305426099</v>
      </c>
      <c r="I76" s="2"/>
      <c r="J76" s="13">
        <f>60+52.17</f>
        <v>112.17</v>
      </c>
      <c r="L76" t="s">
        <v>19</v>
      </c>
    </row>
    <row r="77" spans="1:12" x14ac:dyDescent="0.3">
      <c r="B77" s="12" t="s">
        <v>16</v>
      </c>
      <c r="C77" s="2"/>
      <c r="D77" s="2"/>
      <c r="E77" s="2">
        <v>25</v>
      </c>
      <c r="F77" s="2">
        <v>80</v>
      </c>
      <c r="G77" s="2" t="s">
        <v>8</v>
      </c>
      <c r="H77" s="28">
        <v>26.1017589545019</v>
      </c>
      <c r="I77" s="3">
        <v>26.1014646021309</v>
      </c>
      <c r="J77" s="13">
        <f>60+13.62</f>
        <v>73.62</v>
      </c>
    </row>
    <row r="78" spans="1:12" x14ac:dyDescent="0.3">
      <c r="B78" s="12" t="s">
        <v>16</v>
      </c>
      <c r="C78" s="2"/>
      <c r="D78" s="2"/>
      <c r="E78" s="2">
        <v>25</v>
      </c>
      <c r="F78" s="2">
        <v>100</v>
      </c>
      <c r="G78" s="2" t="s">
        <v>8</v>
      </c>
      <c r="H78" s="29">
        <v>26.036020305426099</v>
      </c>
      <c r="I78" s="4">
        <v>26.028892560451698</v>
      </c>
      <c r="J78" s="13">
        <f>60+33.08</f>
        <v>93.08</v>
      </c>
    </row>
    <row r="79" spans="1:12" ht="15" thickBot="1" x14ac:dyDescent="0.35">
      <c r="B79" s="42" t="s">
        <v>28</v>
      </c>
      <c r="C79" s="43"/>
      <c r="D79" s="43"/>
      <c r="E79" s="43">
        <v>10</v>
      </c>
      <c r="F79" s="43">
        <v>500</v>
      </c>
      <c r="G79" s="43" t="s">
        <v>7</v>
      </c>
      <c r="H79" s="46">
        <v>45.923361985594603</v>
      </c>
      <c r="I79" s="43"/>
      <c r="J79" s="45">
        <f>13*60+9.75</f>
        <v>789.75</v>
      </c>
      <c r="K79">
        <f>J79/60</f>
        <v>13.1625</v>
      </c>
    </row>
    <row r="82" spans="2:11" x14ac:dyDescent="0.3">
      <c r="B82" t="s">
        <v>20</v>
      </c>
      <c r="K82" s="1"/>
    </row>
    <row r="83" spans="2:11" x14ac:dyDescent="0.3">
      <c r="B83" t="s">
        <v>26</v>
      </c>
    </row>
  </sheetData>
  <mergeCells count="12">
    <mergeCell ref="J71:J72"/>
    <mergeCell ref="C2:F2"/>
    <mergeCell ref="B2:B3"/>
    <mergeCell ref="G2:G3"/>
    <mergeCell ref="H2:H3"/>
    <mergeCell ref="J2:J3"/>
    <mergeCell ref="I2:I3"/>
    <mergeCell ref="B71:B72"/>
    <mergeCell ref="C71:F71"/>
    <mergeCell ref="G71:G72"/>
    <mergeCell ref="H71:H72"/>
    <mergeCell ref="I71:I7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CEB36-15CC-49A5-922D-23CCF4F0347B}">
  <dimension ref="A1:W46"/>
  <sheetViews>
    <sheetView zoomScale="77" workbookViewId="0">
      <selection activeCell="E50" sqref="E50"/>
    </sheetView>
  </sheetViews>
  <sheetFormatPr baseColWidth="10" defaultRowHeight="14.4" x14ac:dyDescent="0.3"/>
  <cols>
    <col min="1" max="1" width="11.5546875" bestFit="1" customWidth="1"/>
    <col min="2" max="2" width="24.77734375" customWidth="1"/>
    <col min="5" max="5" width="19.21875" bestFit="1" customWidth="1"/>
    <col min="6" max="6" width="16.33203125" customWidth="1"/>
    <col min="7" max="7" width="16.88671875" bestFit="1" customWidth="1"/>
    <col min="8" max="8" width="13.6640625" bestFit="1" customWidth="1"/>
    <col min="9" max="9" width="12" bestFit="1" customWidth="1"/>
    <col min="11" max="11" width="14" customWidth="1"/>
    <col min="14" max="14" width="38.109375" bestFit="1" customWidth="1"/>
    <col min="15" max="15" width="24.109375" bestFit="1" customWidth="1"/>
    <col min="18" max="18" width="19.77734375" bestFit="1" customWidth="1"/>
    <col min="19" max="19" width="15.5546875" bestFit="1" customWidth="1"/>
    <col min="20" max="20" width="14.109375" bestFit="1" customWidth="1"/>
    <col min="22" max="22" width="12.6640625" bestFit="1" customWidth="1"/>
  </cols>
  <sheetData>
    <row r="1" spans="1:23" x14ac:dyDescent="0.3">
      <c r="A1" t="s">
        <v>0</v>
      </c>
      <c r="B1" t="s">
        <v>11</v>
      </c>
      <c r="N1" t="s">
        <v>41</v>
      </c>
    </row>
    <row r="2" spans="1:23" x14ac:dyDescent="0.3">
      <c r="B2" s="280" t="s">
        <v>1</v>
      </c>
      <c r="C2" s="281" t="s">
        <v>2</v>
      </c>
      <c r="D2" s="281"/>
      <c r="E2" s="281"/>
      <c r="F2" s="281"/>
      <c r="G2" s="280" t="s">
        <v>9</v>
      </c>
      <c r="H2" s="280" t="s">
        <v>6</v>
      </c>
      <c r="I2" s="280" t="s">
        <v>34</v>
      </c>
      <c r="N2" s="280" t="s">
        <v>40</v>
      </c>
      <c r="O2" s="286" t="s">
        <v>1</v>
      </c>
      <c r="P2" s="283" t="s">
        <v>2</v>
      </c>
      <c r="Q2" s="284"/>
      <c r="R2" s="284"/>
      <c r="S2" s="285"/>
      <c r="T2" s="278" t="s">
        <v>9</v>
      </c>
      <c r="U2" s="278" t="s">
        <v>6</v>
      </c>
      <c r="V2" s="278" t="s">
        <v>34</v>
      </c>
    </row>
    <row r="3" spans="1:23" x14ac:dyDescent="0.3">
      <c r="B3" s="280"/>
      <c r="C3" s="50" t="s">
        <v>3</v>
      </c>
      <c r="D3" s="50" t="s">
        <v>4</v>
      </c>
      <c r="E3" s="50" t="s">
        <v>30</v>
      </c>
      <c r="F3" s="50" t="s">
        <v>29</v>
      </c>
      <c r="G3" s="280"/>
      <c r="H3" s="280"/>
      <c r="I3" s="280"/>
      <c r="N3" s="280"/>
      <c r="O3" s="286"/>
      <c r="P3" s="50" t="s">
        <v>3</v>
      </c>
      <c r="Q3" s="50" t="s">
        <v>4</v>
      </c>
      <c r="R3" s="50" t="s">
        <v>30</v>
      </c>
      <c r="S3" s="50" t="s">
        <v>29</v>
      </c>
      <c r="T3" s="282"/>
      <c r="U3" s="282"/>
      <c r="V3" s="282"/>
    </row>
    <row r="4" spans="1:23" x14ac:dyDescent="0.3">
      <c r="B4" s="2" t="s">
        <v>16</v>
      </c>
      <c r="C4" s="2"/>
      <c r="D4" s="2"/>
      <c r="E4" s="2">
        <v>25</v>
      </c>
      <c r="F4" s="2">
        <v>150</v>
      </c>
      <c r="G4" s="54">
        <v>3.54059150007205E-4</v>
      </c>
      <c r="H4" s="2">
        <f>60+18.28</f>
        <v>78.28</v>
      </c>
      <c r="I4" s="51">
        <f>H4/60</f>
        <v>1.3046666666666666</v>
      </c>
      <c r="N4" s="2" t="s">
        <v>11</v>
      </c>
      <c r="O4" s="2" t="s">
        <v>16</v>
      </c>
      <c r="P4" s="2"/>
      <c r="Q4" s="2"/>
      <c r="R4" s="2">
        <v>25</v>
      </c>
      <c r="S4" s="2">
        <v>200</v>
      </c>
      <c r="T4" s="54">
        <f>G5</f>
        <v>3.5386864122503397E-4</v>
      </c>
      <c r="U4" s="2">
        <f t="shared" ref="U4:V4" si="0">H5</f>
        <v>84.3</v>
      </c>
      <c r="V4" s="2">
        <f t="shared" si="0"/>
        <v>1.405</v>
      </c>
    </row>
    <row r="5" spans="1:23" x14ac:dyDescent="0.3">
      <c r="B5" s="2" t="s">
        <v>16</v>
      </c>
      <c r="C5" s="2"/>
      <c r="D5" s="2"/>
      <c r="E5" s="2">
        <v>25</v>
      </c>
      <c r="F5" s="2">
        <v>200</v>
      </c>
      <c r="G5" s="54">
        <v>3.5386864122503397E-4</v>
      </c>
      <c r="H5" s="2">
        <f>60+24.3</f>
        <v>84.3</v>
      </c>
      <c r="I5" s="51">
        <f t="shared" ref="I5:I9" si="1">H5/60</f>
        <v>1.405</v>
      </c>
      <c r="N5" s="2"/>
      <c r="O5" s="2" t="s">
        <v>33</v>
      </c>
      <c r="P5" s="2"/>
      <c r="Q5" s="2"/>
      <c r="R5" s="2">
        <v>25</v>
      </c>
      <c r="S5" s="2" t="s">
        <v>42</v>
      </c>
      <c r="T5" s="2">
        <v>1.3251362658287199E-3</v>
      </c>
      <c r="U5" s="2">
        <f>6*60+41.95</f>
        <v>401.95</v>
      </c>
      <c r="V5" s="51">
        <f>U5/60</f>
        <v>6.6991666666666667</v>
      </c>
      <c r="W5" t="s">
        <v>43</v>
      </c>
    </row>
    <row r="6" spans="1:23" x14ac:dyDescent="0.3">
      <c r="B6" s="2"/>
      <c r="C6" s="2"/>
      <c r="D6" s="2"/>
      <c r="E6" s="2"/>
      <c r="F6" s="2"/>
      <c r="G6" s="2"/>
      <c r="H6" s="2"/>
      <c r="I6" s="51">
        <f t="shared" si="1"/>
        <v>0</v>
      </c>
      <c r="N6" s="2"/>
      <c r="O6" s="2"/>
      <c r="P6" s="2"/>
      <c r="Q6" s="2"/>
      <c r="R6" s="2"/>
      <c r="S6" s="2"/>
      <c r="T6" s="2"/>
      <c r="U6" s="2"/>
      <c r="V6" s="2"/>
    </row>
    <row r="7" spans="1:23" x14ac:dyDescent="0.3">
      <c r="B7" s="2" t="s">
        <v>33</v>
      </c>
      <c r="C7" s="2"/>
      <c r="D7" s="2"/>
      <c r="E7" s="2">
        <v>25</v>
      </c>
      <c r="F7" s="2">
        <v>150</v>
      </c>
      <c r="G7" s="2">
        <v>7.47298733256553E-4</v>
      </c>
      <c r="H7" s="2">
        <f>60+39.4</f>
        <v>99.4</v>
      </c>
      <c r="I7" s="51">
        <f t="shared" si="1"/>
        <v>1.6566666666666667</v>
      </c>
      <c r="N7" s="2" t="s">
        <v>21</v>
      </c>
      <c r="O7" s="2" t="s">
        <v>16</v>
      </c>
      <c r="P7" s="2"/>
      <c r="Q7" s="2"/>
      <c r="R7" s="2">
        <v>25</v>
      </c>
      <c r="S7" s="2">
        <v>500</v>
      </c>
      <c r="T7" s="54">
        <f>G25</f>
        <v>1.10137530548398E-2</v>
      </c>
      <c r="U7" s="2">
        <f t="shared" ref="U7:V7" si="2">H25</f>
        <v>983.38</v>
      </c>
      <c r="V7" s="58">
        <f t="shared" si="2"/>
        <v>16.389666666666667</v>
      </c>
    </row>
    <row r="8" spans="1:23" x14ac:dyDescent="0.3">
      <c r="B8" s="2" t="s">
        <v>33</v>
      </c>
      <c r="C8" s="2"/>
      <c r="D8" s="2"/>
      <c r="E8" s="2">
        <v>25</v>
      </c>
      <c r="F8" s="2">
        <v>200</v>
      </c>
      <c r="G8" s="2">
        <v>7.4539462925004598E-4</v>
      </c>
      <c r="H8" s="2">
        <f>60*2+16.43</f>
        <v>136.43</v>
      </c>
      <c r="I8" s="51">
        <f t="shared" si="1"/>
        <v>2.2738333333333336</v>
      </c>
      <c r="N8" s="2"/>
      <c r="O8" s="2" t="s">
        <v>33</v>
      </c>
      <c r="P8" s="2"/>
      <c r="Q8" s="2"/>
      <c r="R8" s="2"/>
      <c r="S8" s="2"/>
      <c r="T8" s="2"/>
      <c r="U8" s="2"/>
      <c r="V8" s="2"/>
      <c r="W8" t="s">
        <v>44</v>
      </c>
    </row>
    <row r="9" spans="1:23" x14ac:dyDescent="0.3">
      <c r="B9" s="2" t="s">
        <v>33</v>
      </c>
      <c r="C9" s="2"/>
      <c r="D9" s="2"/>
      <c r="E9" s="2">
        <v>20</v>
      </c>
      <c r="F9" s="2" t="s">
        <v>38</v>
      </c>
      <c r="G9" s="56">
        <v>7.1734287866433903E-4</v>
      </c>
      <c r="H9" s="2">
        <f>4*60+58.9</f>
        <v>298.89999999999998</v>
      </c>
      <c r="I9" s="51">
        <f t="shared" si="1"/>
        <v>4.9816666666666665</v>
      </c>
      <c r="J9" s="55" t="s">
        <v>39</v>
      </c>
      <c r="K9" s="55"/>
      <c r="N9" s="2"/>
      <c r="O9" s="2"/>
      <c r="P9" s="2"/>
      <c r="Q9" s="2"/>
      <c r="R9" s="2"/>
      <c r="S9" s="2"/>
      <c r="T9" s="2"/>
      <c r="U9" s="2"/>
      <c r="V9" s="2"/>
    </row>
    <row r="10" spans="1:23" x14ac:dyDescent="0.3">
      <c r="B10" s="2" t="s">
        <v>5</v>
      </c>
      <c r="C10" s="2">
        <v>14</v>
      </c>
      <c r="D10" s="2">
        <v>8</v>
      </c>
      <c r="E10" s="2"/>
      <c r="F10" s="2"/>
      <c r="G10" s="2">
        <v>1.0140708323287399E-3</v>
      </c>
      <c r="H10" s="2">
        <v>23.59</v>
      </c>
      <c r="I10" s="51">
        <f>H10/60</f>
        <v>0.39316666666666666</v>
      </c>
      <c r="N10" s="2" t="s">
        <v>18</v>
      </c>
      <c r="O10" s="2" t="s">
        <v>16</v>
      </c>
      <c r="P10" s="2"/>
      <c r="Q10" s="2"/>
      <c r="R10" s="2">
        <v>25</v>
      </c>
      <c r="S10" s="2">
        <v>200</v>
      </c>
      <c r="T10" s="54">
        <f>G43</f>
        <v>4.96373772906626E-4</v>
      </c>
      <c r="U10" s="2">
        <f t="shared" ref="U10:V10" si="3">H43</f>
        <v>297.94</v>
      </c>
      <c r="V10" s="51">
        <f t="shared" si="3"/>
        <v>4.9656666666666665</v>
      </c>
    </row>
    <row r="11" spans="1:23" x14ac:dyDescent="0.3">
      <c r="B11" s="2" t="s">
        <v>5</v>
      </c>
      <c r="C11" s="2">
        <v>20</v>
      </c>
      <c r="D11" s="2">
        <v>8</v>
      </c>
      <c r="E11" s="2"/>
      <c r="F11" s="2"/>
      <c r="G11" s="2">
        <v>2.6214962503612101E-3</v>
      </c>
      <c r="H11" s="2">
        <v>35.130000000000003</v>
      </c>
      <c r="I11" s="51">
        <f>H11/60</f>
        <v>0.58550000000000002</v>
      </c>
      <c r="N11" s="2"/>
      <c r="O11" s="2" t="s">
        <v>33</v>
      </c>
      <c r="P11" s="2"/>
      <c r="Q11" s="2"/>
      <c r="R11" s="2"/>
      <c r="S11" s="2"/>
      <c r="T11" s="2"/>
      <c r="U11" s="2"/>
      <c r="V11" s="2"/>
    </row>
    <row r="12" spans="1:23" x14ac:dyDescent="0.3">
      <c r="B12" s="2" t="s">
        <v>5</v>
      </c>
      <c r="C12" s="2">
        <v>50</v>
      </c>
      <c r="D12" s="2">
        <v>10</v>
      </c>
      <c r="E12" s="2"/>
      <c r="F12" s="2"/>
      <c r="G12" s="2">
        <v>7.2968812345856502E-4</v>
      </c>
      <c r="H12" s="2">
        <f>60+39.66</f>
        <v>99.66</v>
      </c>
      <c r="I12" s="51">
        <f>H12/60</f>
        <v>1.661</v>
      </c>
      <c r="N12" s="2"/>
      <c r="O12" s="2"/>
      <c r="P12" s="2"/>
      <c r="Q12" s="2"/>
      <c r="R12" s="2"/>
      <c r="S12" s="2"/>
      <c r="T12" s="2"/>
      <c r="U12" s="2"/>
      <c r="V12" s="2"/>
    </row>
    <row r="13" spans="1:23" x14ac:dyDescent="0.3">
      <c r="B13" s="2" t="s">
        <v>13</v>
      </c>
      <c r="C13" s="2">
        <v>20</v>
      </c>
      <c r="D13" s="2"/>
      <c r="E13" s="2"/>
      <c r="F13" s="2"/>
      <c r="G13" s="2">
        <v>2.9707312987521901E-2</v>
      </c>
      <c r="H13" s="2">
        <v>23.9</v>
      </c>
      <c r="I13" s="51">
        <f>H13/60</f>
        <v>0.39833333333333332</v>
      </c>
    </row>
    <row r="14" spans="1:23" x14ac:dyDescent="0.3">
      <c r="B14" s="2" t="s">
        <v>13</v>
      </c>
      <c r="C14" s="2">
        <v>50</v>
      </c>
      <c r="D14" s="2"/>
      <c r="E14" s="2"/>
      <c r="F14" s="2"/>
      <c r="G14" s="2">
        <v>3.2673059442356002E-3</v>
      </c>
      <c r="H14" s="2">
        <v>50.34</v>
      </c>
      <c r="I14" s="51">
        <f>H14/60</f>
        <v>0.83900000000000008</v>
      </c>
    </row>
    <row r="16" spans="1:23" x14ac:dyDescent="0.3">
      <c r="G16">
        <f>MIN(G4:G14)</f>
        <v>3.5386864122503397E-4</v>
      </c>
    </row>
    <row r="20" spans="1:11" x14ac:dyDescent="0.3">
      <c r="A20" t="s">
        <v>0</v>
      </c>
      <c r="B20" t="s">
        <v>21</v>
      </c>
    </row>
    <row r="21" spans="1:11" x14ac:dyDescent="0.3">
      <c r="B21" s="280" t="s">
        <v>1</v>
      </c>
      <c r="C21" s="281" t="s">
        <v>2</v>
      </c>
      <c r="D21" s="281"/>
      <c r="E21" s="281"/>
      <c r="F21" s="281"/>
      <c r="G21" s="280" t="s">
        <v>9</v>
      </c>
      <c r="H21" s="280" t="s">
        <v>6</v>
      </c>
      <c r="I21" s="280" t="s">
        <v>34</v>
      </c>
    </row>
    <row r="22" spans="1:11" x14ac:dyDescent="0.3">
      <c r="B22" s="280"/>
      <c r="C22" s="50" t="s">
        <v>3</v>
      </c>
      <c r="D22" s="50" t="s">
        <v>4</v>
      </c>
      <c r="E22" s="50" t="s">
        <v>30</v>
      </c>
      <c r="F22" s="50" t="s">
        <v>29</v>
      </c>
      <c r="G22" s="280"/>
      <c r="H22" s="280"/>
      <c r="I22" s="280"/>
    </row>
    <row r="23" spans="1:11" x14ac:dyDescent="0.3">
      <c r="B23" s="2" t="s">
        <v>16</v>
      </c>
      <c r="C23" s="2"/>
      <c r="D23" s="2"/>
      <c r="E23" s="2">
        <v>25</v>
      </c>
      <c r="F23" s="2">
        <v>150</v>
      </c>
      <c r="G23" s="57">
        <v>1.10227895476947E-2</v>
      </c>
      <c r="H23" s="18">
        <f>3*60+59.05</f>
        <v>239.05</v>
      </c>
      <c r="I23" s="51">
        <f t="shared" ref="I23:I25" si="4">H23/60</f>
        <v>3.9841666666666669</v>
      </c>
    </row>
    <row r="24" spans="1:11" x14ac:dyDescent="0.3">
      <c r="B24" s="2" t="s">
        <v>16</v>
      </c>
      <c r="C24" s="2"/>
      <c r="D24" s="2"/>
      <c r="E24" s="2">
        <v>25</v>
      </c>
      <c r="F24" s="2">
        <v>200</v>
      </c>
      <c r="G24" s="54">
        <v>1.1022084456943E-2</v>
      </c>
      <c r="H24" s="18">
        <f>5*60+36.45</f>
        <v>336.45</v>
      </c>
      <c r="I24" s="51">
        <f t="shared" si="4"/>
        <v>5.6074999999999999</v>
      </c>
    </row>
    <row r="25" spans="1:11" x14ac:dyDescent="0.3">
      <c r="B25" s="2" t="s">
        <v>16</v>
      </c>
      <c r="C25" s="2"/>
      <c r="D25" s="2"/>
      <c r="E25" s="2">
        <v>25</v>
      </c>
      <c r="F25" s="2">
        <v>500</v>
      </c>
      <c r="G25" s="54">
        <v>1.10137530548398E-2</v>
      </c>
      <c r="H25" s="2">
        <f>16*60+23.38</f>
        <v>983.38</v>
      </c>
      <c r="I25" s="51">
        <f t="shared" si="4"/>
        <v>16.389666666666667</v>
      </c>
    </row>
    <row r="26" spans="1:11" x14ac:dyDescent="0.3">
      <c r="B26" s="2"/>
      <c r="C26" s="2"/>
      <c r="D26" s="2"/>
      <c r="E26" s="2"/>
      <c r="F26" s="2"/>
      <c r="G26" s="2"/>
      <c r="H26" s="2"/>
      <c r="I26" s="2"/>
    </row>
    <row r="27" spans="1:11" x14ac:dyDescent="0.3">
      <c r="B27" s="52" t="s">
        <v>33</v>
      </c>
      <c r="C27" s="52"/>
      <c r="D27" s="52"/>
      <c r="E27" s="52">
        <v>25</v>
      </c>
      <c r="F27" s="52">
        <v>150</v>
      </c>
      <c r="G27" s="52">
        <v>5.0054474380338103E-2</v>
      </c>
      <c r="H27" s="52">
        <f>2*60+57.09</f>
        <v>177.09</v>
      </c>
      <c r="I27" s="53">
        <f t="shared" ref="I27:I34" si="5">H27/60</f>
        <v>2.9515000000000002</v>
      </c>
    </row>
    <row r="28" spans="1:11" x14ac:dyDescent="0.3">
      <c r="B28" s="52" t="s">
        <v>33</v>
      </c>
      <c r="C28" s="52"/>
      <c r="D28" s="52"/>
      <c r="E28" s="52">
        <v>25</v>
      </c>
      <c r="F28" s="52">
        <v>200</v>
      </c>
      <c r="G28" s="52">
        <v>8.3019029328971292E-3</v>
      </c>
      <c r="H28" s="52">
        <f>4*60+16.62</f>
        <v>256.62</v>
      </c>
      <c r="I28" s="53">
        <f t="shared" si="5"/>
        <v>4.2770000000000001</v>
      </c>
    </row>
    <row r="29" spans="1:11" x14ac:dyDescent="0.3">
      <c r="B29" s="52" t="s">
        <v>33</v>
      </c>
      <c r="C29" s="52"/>
      <c r="D29" s="52"/>
      <c r="E29" s="52">
        <v>20</v>
      </c>
      <c r="F29" s="2" t="s">
        <v>38</v>
      </c>
      <c r="G29" s="31">
        <v>1.34035214624097E-3</v>
      </c>
      <c r="H29" s="52">
        <f>5*60+36.08</f>
        <v>336.08</v>
      </c>
      <c r="I29" s="53">
        <f t="shared" si="5"/>
        <v>5.6013333333333328</v>
      </c>
      <c r="J29" s="55" t="s">
        <v>36</v>
      </c>
      <c r="K29" s="55"/>
    </row>
    <row r="30" spans="1:11" x14ac:dyDescent="0.3">
      <c r="B30" s="52"/>
      <c r="C30" s="52"/>
      <c r="D30" s="52"/>
      <c r="E30" s="52"/>
      <c r="F30" s="52"/>
      <c r="G30" s="52"/>
      <c r="H30" s="52"/>
      <c r="I30" s="53">
        <f t="shared" si="5"/>
        <v>0</v>
      </c>
    </row>
    <row r="31" spans="1:11" x14ac:dyDescent="0.3">
      <c r="B31" s="52"/>
      <c r="C31" s="52"/>
      <c r="D31" s="52"/>
      <c r="E31" s="52"/>
      <c r="F31" s="52"/>
      <c r="G31" s="52"/>
      <c r="H31" s="52"/>
      <c r="I31" s="53">
        <f t="shared" si="5"/>
        <v>0</v>
      </c>
    </row>
    <row r="32" spans="1:11" x14ac:dyDescent="0.3">
      <c r="B32" s="52" t="s">
        <v>13</v>
      </c>
      <c r="C32" s="52">
        <v>50</v>
      </c>
      <c r="D32" s="52"/>
      <c r="E32" s="52"/>
      <c r="F32" s="52"/>
      <c r="G32" s="52">
        <v>1.4277277173853299E-2</v>
      </c>
      <c r="H32" s="52">
        <f>60+48.03</f>
        <v>108.03</v>
      </c>
      <c r="I32" s="53">
        <f t="shared" si="5"/>
        <v>1.8005</v>
      </c>
      <c r="K32" t="s">
        <v>35</v>
      </c>
    </row>
    <row r="33" spans="1:11" x14ac:dyDescent="0.3">
      <c r="B33" s="52"/>
      <c r="C33" s="52"/>
      <c r="D33" s="52"/>
      <c r="E33" s="52"/>
      <c r="F33" s="52"/>
      <c r="G33" s="52"/>
      <c r="H33" s="52"/>
      <c r="I33" s="53">
        <f t="shared" si="5"/>
        <v>0</v>
      </c>
    </row>
    <row r="34" spans="1:11" x14ac:dyDescent="0.3">
      <c r="B34" s="52"/>
      <c r="C34" s="52"/>
      <c r="D34" s="52"/>
      <c r="E34" s="52"/>
      <c r="F34" s="52"/>
      <c r="G34" s="52"/>
      <c r="H34" s="52"/>
      <c r="I34" s="53">
        <f t="shared" si="5"/>
        <v>0</v>
      </c>
    </row>
    <row r="35" spans="1:11" x14ac:dyDescent="0.3">
      <c r="G35">
        <f>MIN(G23:G34)</f>
        <v>1.34035214624097E-3</v>
      </c>
    </row>
    <row r="39" spans="1:11" x14ac:dyDescent="0.3">
      <c r="A39" t="s">
        <v>0</v>
      </c>
      <c r="B39" t="s">
        <v>18</v>
      </c>
    </row>
    <row r="40" spans="1:11" x14ac:dyDescent="0.3">
      <c r="B40" s="280" t="s">
        <v>1</v>
      </c>
      <c r="C40" s="281" t="s">
        <v>2</v>
      </c>
      <c r="D40" s="281"/>
      <c r="E40" s="281"/>
      <c r="F40" s="281"/>
      <c r="G40" s="280" t="s">
        <v>9</v>
      </c>
      <c r="H40" s="280" t="s">
        <v>6</v>
      </c>
      <c r="I40" s="280" t="s">
        <v>34</v>
      </c>
      <c r="J40" s="279"/>
    </row>
    <row r="41" spans="1:11" x14ac:dyDescent="0.3">
      <c r="B41" s="280"/>
      <c r="C41" s="50" t="s">
        <v>3</v>
      </c>
      <c r="D41" s="50" t="s">
        <v>4</v>
      </c>
      <c r="E41" s="50" t="s">
        <v>30</v>
      </c>
      <c r="F41" s="50" t="s">
        <v>29</v>
      </c>
      <c r="G41" s="280"/>
      <c r="H41" s="280"/>
      <c r="I41" s="280"/>
      <c r="J41" s="279"/>
    </row>
    <row r="42" spans="1:11" x14ac:dyDescent="0.3">
      <c r="B42" s="2" t="s">
        <v>16</v>
      </c>
      <c r="C42" s="2"/>
      <c r="D42" s="2"/>
      <c r="E42" s="2">
        <v>25</v>
      </c>
      <c r="F42" s="2">
        <v>150</v>
      </c>
      <c r="G42" s="54">
        <v>4.9674920623337304E-4</v>
      </c>
      <c r="H42" s="18">
        <f>3*60+30.56</f>
        <v>210.56</v>
      </c>
      <c r="I42" s="51">
        <f t="shared" ref="I42:I44" si="6">H42/60</f>
        <v>3.5093333333333332</v>
      </c>
    </row>
    <row r="43" spans="1:11" x14ac:dyDescent="0.3">
      <c r="B43" s="2" t="s">
        <v>16</v>
      </c>
      <c r="C43" s="2"/>
      <c r="D43" s="2"/>
      <c r="E43" s="2">
        <v>25</v>
      </c>
      <c r="F43" s="2">
        <v>200</v>
      </c>
      <c r="G43" s="54">
        <v>4.96373772906626E-4</v>
      </c>
      <c r="H43" s="18">
        <f>4*60+57.94</f>
        <v>297.94</v>
      </c>
      <c r="I43" s="51">
        <f t="shared" si="6"/>
        <v>4.9656666666666665</v>
      </c>
    </row>
    <row r="44" spans="1:11" x14ac:dyDescent="0.3">
      <c r="B44" s="2" t="s">
        <v>33</v>
      </c>
      <c r="C44" s="2"/>
      <c r="D44" s="2"/>
      <c r="E44" s="2">
        <v>20</v>
      </c>
      <c r="F44" s="2" t="s">
        <v>38</v>
      </c>
      <c r="G44" s="56">
        <v>5.3459457337247504E-4</v>
      </c>
      <c r="H44" s="2">
        <f>11*60+36.44</f>
        <v>696.44</v>
      </c>
      <c r="I44" s="51">
        <f t="shared" si="6"/>
        <v>11.607333333333335</v>
      </c>
      <c r="J44" s="55" t="s">
        <v>37</v>
      </c>
      <c r="K44" s="55"/>
    </row>
    <row r="46" spans="1:11" x14ac:dyDescent="0.3">
      <c r="G46">
        <f>MIN(G42:G44)</f>
        <v>4.96373772906626E-4</v>
      </c>
    </row>
  </sheetData>
  <mergeCells count="22">
    <mergeCell ref="V2:V3"/>
    <mergeCell ref="U2:U3"/>
    <mergeCell ref="T2:T3"/>
    <mergeCell ref="P2:S2"/>
    <mergeCell ref="N2:N3"/>
    <mergeCell ref="O2:O3"/>
    <mergeCell ref="J40:J41"/>
    <mergeCell ref="I2:I3"/>
    <mergeCell ref="B21:B22"/>
    <mergeCell ref="C21:F21"/>
    <mergeCell ref="G21:G22"/>
    <mergeCell ref="H21:H22"/>
    <mergeCell ref="I21:I22"/>
    <mergeCell ref="B2:B3"/>
    <mergeCell ref="C2:F2"/>
    <mergeCell ref="G2:G3"/>
    <mergeCell ref="H2:H3"/>
    <mergeCell ref="B40:B41"/>
    <mergeCell ref="C40:F40"/>
    <mergeCell ref="G40:G41"/>
    <mergeCell ref="H40:H41"/>
    <mergeCell ref="I40:I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24A9F-720A-4384-9592-EDD81D7A1CFE}">
  <sheetPr filterMode="1"/>
  <dimension ref="A1:AN76"/>
  <sheetViews>
    <sheetView zoomScale="80" zoomScaleNormal="100" workbookViewId="0">
      <selection activeCell="B28" sqref="B28"/>
    </sheetView>
  </sheetViews>
  <sheetFormatPr baseColWidth="10" defaultRowHeight="14.4" x14ac:dyDescent="0.3"/>
  <cols>
    <col min="1" max="1" width="40.77734375" customWidth="1"/>
    <col min="2" max="2" width="22.77734375" customWidth="1"/>
    <col min="3" max="3" width="16.44140625" bestFit="1" customWidth="1"/>
    <col min="4" max="4" width="10.6640625" bestFit="1" customWidth="1"/>
    <col min="5" max="5" width="8.77734375" customWidth="1"/>
    <col min="6" max="7" width="6.88671875" customWidth="1"/>
    <col min="8" max="8" width="15.109375" customWidth="1"/>
    <col min="9" max="9" width="12.88671875" customWidth="1"/>
    <col min="10" max="10" width="12.77734375" customWidth="1"/>
    <col min="11" max="11" width="12" bestFit="1" customWidth="1"/>
    <col min="12" max="12" width="11.21875" bestFit="1" customWidth="1"/>
    <col min="13" max="13" width="12.21875" bestFit="1" customWidth="1"/>
    <col min="14" max="14" width="12.33203125" bestFit="1" customWidth="1"/>
    <col min="15" max="15" width="13" bestFit="1" customWidth="1"/>
    <col min="16" max="17" width="11.21875" bestFit="1" customWidth="1"/>
    <col min="18" max="19" width="12.21875" bestFit="1" customWidth="1"/>
    <col min="20" max="22" width="11.21875" bestFit="1" customWidth="1"/>
    <col min="23" max="23" width="11.88671875" customWidth="1"/>
    <col min="24" max="25" width="11.21875" bestFit="1" customWidth="1"/>
    <col min="26" max="26" width="11.109375" customWidth="1"/>
    <col min="27" max="27" width="16.5546875" bestFit="1" customWidth="1"/>
  </cols>
  <sheetData>
    <row r="1" spans="1:26" ht="13.95" customHeight="1" thickBot="1" x14ac:dyDescent="0.35">
      <c r="C1" s="94" t="s">
        <v>2</v>
      </c>
      <c r="D1" s="95"/>
      <c r="E1" s="95"/>
      <c r="F1" s="95"/>
      <c r="G1" s="96"/>
      <c r="K1" s="94" t="s">
        <v>51</v>
      </c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7"/>
      <c r="Z1" s="55" t="s">
        <v>67</v>
      </c>
    </row>
    <row r="2" spans="1:26" ht="14.55" customHeight="1" thickBot="1" x14ac:dyDescent="0.35">
      <c r="A2" s="99" t="s">
        <v>40</v>
      </c>
      <c r="B2" s="98" t="s">
        <v>45</v>
      </c>
      <c r="C2" s="71" t="s">
        <v>47</v>
      </c>
      <c r="D2" s="71" t="s">
        <v>46</v>
      </c>
      <c r="E2" s="71" t="s">
        <v>48</v>
      </c>
      <c r="F2" s="71" t="s">
        <v>49</v>
      </c>
      <c r="G2" s="71" t="s">
        <v>50</v>
      </c>
      <c r="H2" s="98" t="s">
        <v>9</v>
      </c>
      <c r="I2" s="98" t="s">
        <v>6</v>
      </c>
      <c r="J2" s="98" t="s">
        <v>34</v>
      </c>
      <c r="K2" s="72" t="s">
        <v>52</v>
      </c>
      <c r="L2" s="72" t="s">
        <v>53</v>
      </c>
      <c r="M2" s="72" t="s">
        <v>54</v>
      </c>
      <c r="N2" s="73" t="s">
        <v>55</v>
      </c>
      <c r="O2" s="73" t="s">
        <v>56</v>
      </c>
      <c r="P2" s="73" t="s">
        <v>57</v>
      </c>
      <c r="Q2" s="73" t="s">
        <v>58</v>
      </c>
      <c r="R2" s="73" t="s">
        <v>59</v>
      </c>
      <c r="S2" s="73" t="s">
        <v>60</v>
      </c>
      <c r="T2" s="72" t="s">
        <v>61</v>
      </c>
      <c r="U2" s="72" t="s">
        <v>65</v>
      </c>
      <c r="V2" s="74" t="s">
        <v>62</v>
      </c>
      <c r="W2" s="72" t="s">
        <v>63</v>
      </c>
      <c r="X2" s="75" t="s">
        <v>64</v>
      </c>
    </row>
    <row r="3" spans="1:26" hidden="1" x14ac:dyDescent="0.3">
      <c r="A3" s="8" t="s">
        <v>78</v>
      </c>
      <c r="B3" s="9" t="s">
        <v>66</v>
      </c>
      <c r="C3" s="9">
        <v>150</v>
      </c>
      <c r="D3" s="9">
        <v>20</v>
      </c>
      <c r="E3" s="9">
        <v>1.5</v>
      </c>
      <c r="F3" s="9">
        <v>1.5</v>
      </c>
      <c r="G3" s="9">
        <v>0.7</v>
      </c>
      <c r="H3" s="9">
        <v>2.9472175802249201E-4</v>
      </c>
      <c r="I3" s="9">
        <f>60+13.49</f>
        <v>73.489999999999995</v>
      </c>
      <c r="J3" s="66">
        <f>I3/60</f>
        <v>1.2248333333333332</v>
      </c>
      <c r="K3" s="67">
        <v>2.1924339239705899E-2</v>
      </c>
      <c r="L3" s="67">
        <v>5.3243124688619803</v>
      </c>
      <c r="M3" s="67">
        <v>10</v>
      </c>
      <c r="N3" s="68">
        <v>9.6469999999999993E-3</v>
      </c>
      <c r="O3" s="68">
        <v>8.5518540000000005</v>
      </c>
      <c r="P3" s="68">
        <v>7.1656500000000003</v>
      </c>
      <c r="Q3" s="68">
        <v>44.150669999999998</v>
      </c>
      <c r="R3" s="68">
        <v>42.528283999999999</v>
      </c>
      <c r="S3" s="68">
        <v>1E-4</v>
      </c>
      <c r="T3" s="67">
        <v>2.1598443591871601</v>
      </c>
      <c r="U3" s="67">
        <v>9.4242283395423598</v>
      </c>
      <c r="V3" s="68">
        <v>1.6426339999999999</v>
      </c>
      <c r="W3" s="67">
        <v>0.1</v>
      </c>
      <c r="X3" s="69">
        <v>0.66937281186906705</v>
      </c>
    </row>
    <row r="4" spans="1:26" x14ac:dyDescent="0.3">
      <c r="A4" s="12" t="s">
        <v>78</v>
      </c>
      <c r="B4" s="2" t="s">
        <v>68</v>
      </c>
      <c r="C4" s="2">
        <v>150</v>
      </c>
      <c r="D4" s="2">
        <v>20</v>
      </c>
      <c r="E4" s="2">
        <v>1.5</v>
      </c>
      <c r="F4" s="2">
        <v>1.5</v>
      </c>
      <c r="G4" s="2">
        <v>0.7</v>
      </c>
      <c r="H4" s="2">
        <v>2.3513880843272501E-2</v>
      </c>
      <c r="I4" s="2">
        <f>60+7.64</f>
        <v>67.64</v>
      </c>
      <c r="J4" s="51">
        <f t="shared" ref="J4" si="0">I4/60</f>
        <v>1.1273333333333333</v>
      </c>
      <c r="K4" s="60">
        <v>6.9239735242755502</v>
      </c>
      <c r="L4" s="60">
        <v>1.82078102654331</v>
      </c>
      <c r="M4" s="60">
        <v>9.9329324700275592</v>
      </c>
      <c r="N4" s="64">
        <v>9.6469999999999993E-3</v>
      </c>
      <c r="O4" s="64">
        <v>8.5518540000000005</v>
      </c>
      <c r="P4" s="64">
        <v>7.1656500000000003</v>
      </c>
      <c r="Q4" s="64">
        <v>44.150669999999998</v>
      </c>
      <c r="R4" s="64">
        <v>42.528283999999999</v>
      </c>
      <c r="S4" s="64">
        <v>1E-4</v>
      </c>
      <c r="T4" s="60">
        <v>2.2496431130169099</v>
      </c>
      <c r="U4" s="60">
        <v>3.90148636909132</v>
      </c>
      <c r="V4" s="64">
        <v>1.6426339999999999</v>
      </c>
      <c r="W4" s="59">
        <v>1.4863468597450999</v>
      </c>
      <c r="X4" s="70">
        <v>0.26736379732660398</v>
      </c>
    </row>
    <row r="5" spans="1:26" x14ac:dyDescent="0.3">
      <c r="A5" s="12" t="s">
        <v>78</v>
      </c>
      <c r="B5" s="166" t="s">
        <v>69</v>
      </c>
      <c r="C5" s="2">
        <v>150</v>
      </c>
      <c r="D5" s="2">
        <v>20</v>
      </c>
      <c r="E5" s="2">
        <v>1.5</v>
      </c>
      <c r="F5" s="2">
        <v>1.5</v>
      </c>
      <c r="G5" s="2">
        <v>0.7</v>
      </c>
      <c r="H5" s="2">
        <v>1.32701286472156E-3</v>
      </c>
      <c r="I5" s="2">
        <f>5*60+48.41</f>
        <v>348.40999999999997</v>
      </c>
      <c r="J5" s="93">
        <f t="shared" ref="J5:J16" si="1">I5/60</f>
        <v>5.8068333333333326</v>
      </c>
      <c r="K5" s="60">
        <v>3.0051333747301801</v>
      </c>
      <c r="L5" s="60">
        <v>5.0528684093825298</v>
      </c>
      <c r="M5" s="60">
        <v>4.8710938159898802</v>
      </c>
      <c r="N5" s="64">
        <v>9.6469999999999993E-3</v>
      </c>
      <c r="O5" s="64">
        <v>8.5518540000000005</v>
      </c>
      <c r="P5" s="64">
        <v>7.1656500000000003</v>
      </c>
      <c r="Q5" s="64">
        <v>44.150669999999998</v>
      </c>
      <c r="R5" s="64">
        <v>42.528283999999999</v>
      </c>
      <c r="S5" s="64">
        <v>1E-4</v>
      </c>
      <c r="T5" s="60">
        <v>1.06812478247408</v>
      </c>
      <c r="U5" s="60">
        <v>3.3029168292772599</v>
      </c>
      <c r="V5" s="64">
        <v>1.6426339999999999</v>
      </c>
      <c r="W5" s="59">
        <v>0.29242188148853998</v>
      </c>
      <c r="X5" s="70">
        <v>0.47648836606682399</v>
      </c>
    </row>
    <row r="6" spans="1:26" ht="15" thickBot="1" x14ac:dyDescent="0.35">
      <c r="A6" s="15" t="s">
        <v>78</v>
      </c>
      <c r="B6" s="77" t="s">
        <v>70</v>
      </c>
      <c r="C6" s="6">
        <v>150</v>
      </c>
      <c r="D6" s="6">
        <v>20</v>
      </c>
      <c r="E6" s="6">
        <v>1.5</v>
      </c>
      <c r="F6" s="6">
        <v>1.5</v>
      </c>
      <c r="G6" s="6">
        <v>0.7</v>
      </c>
      <c r="H6" s="77">
        <v>7.04873626723777E-4</v>
      </c>
      <c r="I6" s="77">
        <f>60+14.51</f>
        <v>74.510000000000005</v>
      </c>
      <c r="J6" s="85">
        <f t="shared" si="1"/>
        <v>1.2418333333333333</v>
      </c>
      <c r="K6" s="86">
        <v>0.232102232392803</v>
      </c>
      <c r="L6" s="87">
        <v>4.1297069928879102</v>
      </c>
      <c r="M6" s="87">
        <v>6.0078738386920403</v>
      </c>
      <c r="N6" s="88">
        <v>9.6469999999999993E-3</v>
      </c>
      <c r="O6" s="88">
        <v>8.5518540000000005</v>
      </c>
      <c r="P6" s="88">
        <v>7.1656500000000003</v>
      </c>
      <c r="Q6" s="88">
        <v>44.150669999999998</v>
      </c>
      <c r="R6" s="88">
        <v>42.528283999999999</v>
      </c>
      <c r="S6" s="88">
        <v>1E-4</v>
      </c>
      <c r="T6" s="87">
        <v>1.1019035329447</v>
      </c>
      <c r="U6" s="87">
        <v>2.97276558235572</v>
      </c>
      <c r="V6" s="88">
        <v>1.6426339999999999</v>
      </c>
      <c r="W6" s="86">
        <v>0.20748440650441199</v>
      </c>
      <c r="X6" s="89">
        <v>0.59401552721599604</v>
      </c>
    </row>
    <row r="7" spans="1:26" hidden="1" x14ac:dyDescent="0.3">
      <c r="A7" s="8" t="s">
        <v>78</v>
      </c>
      <c r="B7" s="9" t="s">
        <v>66</v>
      </c>
      <c r="C7" s="9">
        <v>200</v>
      </c>
      <c r="D7" s="9">
        <v>20</v>
      </c>
      <c r="E7" s="9">
        <v>1.5</v>
      </c>
      <c r="F7" s="9">
        <v>1.5</v>
      </c>
      <c r="G7" s="9">
        <v>0.7</v>
      </c>
      <c r="H7" s="9">
        <v>2.9328842498517401E-4</v>
      </c>
      <c r="I7" s="9">
        <f>60+15.12</f>
        <v>75.12</v>
      </c>
      <c r="J7" s="66">
        <f t="shared" si="1"/>
        <v>1.252</v>
      </c>
      <c r="K7" s="67">
        <v>2.1763903293888599E-2</v>
      </c>
      <c r="L7" s="67">
        <v>5.3320005646842601</v>
      </c>
      <c r="M7" s="67">
        <v>10</v>
      </c>
      <c r="N7" s="68">
        <v>9.6469999999999993E-3</v>
      </c>
      <c r="O7" s="68">
        <v>8.5518540000000005</v>
      </c>
      <c r="P7" s="68">
        <v>7.1656500000000003</v>
      </c>
      <c r="Q7" s="68">
        <v>44.150669999999998</v>
      </c>
      <c r="R7" s="68">
        <v>42.528283999999999</v>
      </c>
      <c r="S7" s="68">
        <v>1E-4</v>
      </c>
      <c r="T7" s="78">
        <v>2.7464836815839999</v>
      </c>
      <c r="U7" s="78">
        <v>9.4217689488491896</v>
      </c>
      <c r="V7" s="68">
        <v>1.6426339999999999</v>
      </c>
      <c r="W7" s="67">
        <v>0.1</v>
      </c>
      <c r="X7" s="69">
        <v>0.66954694007881499</v>
      </c>
    </row>
    <row r="8" spans="1:26" x14ac:dyDescent="0.3">
      <c r="A8" s="12" t="s">
        <v>78</v>
      </c>
      <c r="B8" s="2" t="s">
        <v>68</v>
      </c>
      <c r="C8" s="2">
        <v>200</v>
      </c>
      <c r="D8" s="2">
        <v>20</v>
      </c>
      <c r="E8" s="2">
        <v>1.5</v>
      </c>
      <c r="F8" s="2">
        <v>1.5</v>
      </c>
      <c r="G8" s="2">
        <v>0.7</v>
      </c>
      <c r="H8" s="65">
        <v>2.3513880843272501E-2</v>
      </c>
      <c r="I8" s="2">
        <f>60+31.97</f>
        <v>91.97</v>
      </c>
      <c r="J8" s="51">
        <f t="shared" si="1"/>
        <v>1.5328333333333333</v>
      </c>
      <c r="K8" s="60">
        <v>6.9239735242755502</v>
      </c>
      <c r="L8" s="60">
        <v>1.82078102654331</v>
      </c>
      <c r="M8" s="60">
        <v>9.9329324700275592</v>
      </c>
      <c r="N8" s="64">
        <v>9.6469999999999993E-3</v>
      </c>
      <c r="O8" s="64">
        <v>8.5518540000000005</v>
      </c>
      <c r="P8" s="64">
        <v>7.1656500000000003</v>
      </c>
      <c r="Q8" s="64">
        <v>44.150669999999998</v>
      </c>
      <c r="R8" s="64">
        <v>42.528283999999999</v>
      </c>
      <c r="S8" s="64">
        <v>1E-4</v>
      </c>
      <c r="T8" s="60">
        <v>2.2496431130169099</v>
      </c>
      <c r="U8" s="60">
        <v>3.90148636909132</v>
      </c>
      <c r="V8" s="64">
        <v>1.6426339999999999</v>
      </c>
      <c r="W8" s="59">
        <v>1.4863468597450999</v>
      </c>
      <c r="X8" s="70">
        <v>0.26736379732660398</v>
      </c>
    </row>
    <row r="9" spans="1:26" x14ac:dyDescent="0.3">
      <c r="A9" s="12" t="s">
        <v>78</v>
      </c>
      <c r="B9" s="166" t="s">
        <v>69</v>
      </c>
      <c r="C9" s="2">
        <v>200</v>
      </c>
      <c r="D9" s="2">
        <v>20</v>
      </c>
      <c r="E9" s="2">
        <v>1.5</v>
      </c>
      <c r="F9" s="2">
        <v>1.5</v>
      </c>
      <c r="G9" s="2">
        <v>0.7</v>
      </c>
      <c r="H9" s="2">
        <v>1.3251362658287199E-3</v>
      </c>
      <c r="I9" s="2">
        <f>60*7+25.26</f>
        <v>445.26</v>
      </c>
      <c r="J9" s="93">
        <f t="shared" si="1"/>
        <v>7.4210000000000003</v>
      </c>
      <c r="K9" s="60">
        <v>3.01506522825153</v>
      </c>
      <c r="L9" s="60">
        <v>5.05925344685207</v>
      </c>
      <c r="M9" s="59">
        <v>4.86872801688311</v>
      </c>
      <c r="N9" s="64">
        <v>9.6469999999999993E-3</v>
      </c>
      <c r="O9" s="64">
        <v>8.5518540000000005</v>
      </c>
      <c r="P9" s="64">
        <v>7.1656500000000003</v>
      </c>
      <c r="Q9" s="64">
        <v>44.150669999999998</v>
      </c>
      <c r="R9" s="64">
        <v>42.528283999999999</v>
      </c>
      <c r="S9" s="64">
        <v>1E-4</v>
      </c>
      <c r="T9" s="60">
        <v>1.06792904742284</v>
      </c>
      <c r="U9" s="60">
        <v>3.30384536377028</v>
      </c>
      <c r="V9" s="64">
        <v>1.6426339999999999</v>
      </c>
      <c r="W9" s="59">
        <v>0.29253732272668498</v>
      </c>
      <c r="X9" s="70">
        <v>0.47645758028965701</v>
      </c>
    </row>
    <row r="10" spans="1:26" ht="15" thickBot="1" x14ac:dyDescent="0.35">
      <c r="A10" s="15" t="s">
        <v>78</v>
      </c>
      <c r="B10" s="77" t="s">
        <v>70</v>
      </c>
      <c r="C10" s="6">
        <v>200</v>
      </c>
      <c r="D10" s="6">
        <v>20</v>
      </c>
      <c r="E10" s="6">
        <v>1.5</v>
      </c>
      <c r="F10" s="6">
        <v>1.5</v>
      </c>
      <c r="G10" s="6">
        <v>0.7</v>
      </c>
      <c r="H10" s="77">
        <v>7.04243140314323E-4</v>
      </c>
      <c r="I10" s="77">
        <f>60+30.12</f>
        <v>90.12</v>
      </c>
      <c r="J10" s="85">
        <f t="shared" si="1"/>
        <v>1.502</v>
      </c>
      <c r="K10" s="86">
        <v>0.23198883475251</v>
      </c>
      <c r="L10" s="86">
        <v>4.13163737355673</v>
      </c>
      <c r="M10" s="86">
        <v>6.0033822043910199</v>
      </c>
      <c r="N10" s="88">
        <v>9.6469999999999993E-3</v>
      </c>
      <c r="O10" s="88">
        <v>8.5518540000000005</v>
      </c>
      <c r="P10" s="88">
        <v>7.1656500000000003</v>
      </c>
      <c r="Q10" s="88">
        <v>44.150669999999998</v>
      </c>
      <c r="R10" s="88">
        <v>42.528283999999999</v>
      </c>
      <c r="S10" s="88">
        <v>1E-4</v>
      </c>
      <c r="T10" s="87">
        <v>1.10164214051543</v>
      </c>
      <c r="U10" s="87">
        <v>3.12238469928359</v>
      </c>
      <c r="V10" s="88">
        <v>1.6426339999999999</v>
      </c>
      <c r="W10" s="86">
        <v>0.207546998368103</v>
      </c>
      <c r="X10" s="89">
        <v>0.59565351370611197</v>
      </c>
    </row>
    <row r="11" spans="1:26" hidden="1" x14ac:dyDescent="0.3">
      <c r="A11" s="161" t="s">
        <v>78</v>
      </c>
      <c r="B11" s="162" t="s">
        <v>66</v>
      </c>
      <c r="C11" s="162">
        <v>500</v>
      </c>
      <c r="D11" s="162">
        <v>20</v>
      </c>
      <c r="E11" s="162">
        <v>1.5</v>
      </c>
      <c r="F11" s="162">
        <v>1.5</v>
      </c>
      <c r="G11" s="162">
        <v>0.7</v>
      </c>
      <c r="H11" s="162">
        <v>2.9106327802450499E-4</v>
      </c>
      <c r="I11" s="162">
        <f>3*60+9.3</f>
        <v>189.3</v>
      </c>
      <c r="J11" s="76">
        <f t="shared" si="1"/>
        <v>3.1550000000000002</v>
      </c>
      <c r="K11" s="163">
        <v>2.1502308919205501E-2</v>
      </c>
      <c r="L11" s="163">
        <v>5.3545334420611397</v>
      </c>
      <c r="M11" s="163">
        <v>10</v>
      </c>
      <c r="N11" s="164">
        <v>9.6469999999999993E-3</v>
      </c>
      <c r="O11" s="164">
        <v>8.5518540000000005</v>
      </c>
      <c r="P11" s="164">
        <v>7.1656500000000003</v>
      </c>
      <c r="Q11" s="164">
        <v>44.150669999999998</v>
      </c>
      <c r="R11" s="164">
        <v>42.528283999999999</v>
      </c>
      <c r="S11" s="164">
        <v>1E-4</v>
      </c>
      <c r="T11" s="163">
        <v>10</v>
      </c>
      <c r="U11" s="163">
        <v>9.5278443260242494</v>
      </c>
      <c r="V11" s="164">
        <v>1.6426339999999999</v>
      </c>
      <c r="W11" s="163">
        <v>0.1</v>
      </c>
      <c r="X11" s="165">
        <v>0.66792358972713495</v>
      </c>
    </row>
    <row r="12" spans="1:26" x14ac:dyDescent="0.3">
      <c r="A12" s="12" t="s">
        <v>78</v>
      </c>
      <c r="B12" s="2" t="s">
        <v>68</v>
      </c>
      <c r="C12" s="2">
        <v>500</v>
      </c>
      <c r="D12" s="2">
        <v>20</v>
      </c>
      <c r="E12" s="2">
        <v>1.5</v>
      </c>
      <c r="F12" s="2">
        <v>1.5</v>
      </c>
      <c r="G12" s="2">
        <v>0.7</v>
      </c>
      <c r="H12" s="65">
        <v>1.24794971393778E-2</v>
      </c>
      <c r="I12" s="2">
        <f>3*60+43.91</f>
        <v>223.91</v>
      </c>
      <c r="J12" s="51">
        <f t="shared" si="1"/>
        <v>3.7318333333333333</v>
      </c>
      <c r="K12" s="60">
        <v>5.0791991043726403</v>
      </c>
      <c r="L12" s="60">
        <v>3.6404145364723002</v>
      </c>
      <c r="M12" s="60">
        <v>5.9324971501398496</v>
      </c>
      <c r="N12" s="64">
        <v>9.6469999999999993E-3</v>
      </c>
      <c r="O12" s="64">
        <v>8.5518540000000005</v>
      </c>
      <c r="P12" s="64">
        <v>7.1656500000000003</v>
      </c>
      <c r="Q12" s="64">
        <v>44.150669999999998</v>
      </c>
      <c r="R12" s="64">
        <v>42.528283999999999</v>
      </c>
      <c r="S12" s="64">
        <v>1E-4</v>
      </c>
      <c r="T12" s="60">
        <v>1.6798296474043799</v>
      </c>
      <c r="U12" s="60">
        <v>3.95284452016142</v>
      </c>
      <c r="V12" s="64">
        <v>1.6426339999999999</v>
      </c>
      <c r="W12" s="59">
        <v>1.48319268692199</v>
      </c>
      <c r="X12" s="70">
        <v>0.10854293257686699</v>
      </c>
    </row>
    <row r="13" spans="1:26" x14ac:dyDescent="0.3">
      <c r="A13" s="12" t="s">
        <v>78</v>
      </c>
      <c r="B13" s="166" t="s">
        <v>69</v>
      </c>
      <c r="C13" s="2">
        <v>500</v>
      </c>
      <c r="D13" s="2">
        <v>20</v>
      </c>
      <c r="E13" s="2">
        <v>1.5</v>
      </c>
      <c r="F13" s="2">
        <v>1.5</v>
      </c>
      <c r="G13" s="2">
        <v>0.7</v>
      </c>
      <c r="H13" s="2">
        <v>1.22828604596883E-3</v>
      </c>
      <c r="I13" s="2">
        <f>20*60+26.29</f>
        <v>1226.29</v>
      </c>
      <c r="J13" s="93">
        <f t="shared" si="1"/>
        <v>20.438166666666667</v>
      </c>
      <c r="K13" s="60">
        <v>1.10577438138983</v>
      </c>
      <c r="L13" s="60">
        <v>7.8360003082510898</v>
      </c>
      <c r="M13" s="60">
        <v>1.6052788739111301</v>
      </c>
      <c r="N13" s="64">
        <v>9.6469999999999993E-3</v>
      </c>
      <c r="O13" s="64">
        <v>8.5518540000000005</v>
      </c>
      <c r="P13" s="64">
        <v>7.1656500000000003</v>
      </c>
      <c r="Q13" s="64">
        <v>44.150669999999998</v>
      </c>
      <c r="R13" s="64">
        <v>42.528283999999999</v>
      </c>
      <c r="S13" s="64">
        <v>1E-4</v>
      </c>
      <c r="T13" s="60">
        <v>1.2822673368615201</v>
      </c>
      <c r="U13" s="61">
        <v>0.65248550329617405</v>
      </c>
      <c r="V13" s="64">
        <v>1.6426339999999999</v>
      </c>
      <c r="W13" s="59">
        <v>0.51457518879894604</v>
      </c>
      <c r="X13" s="70">
        <v>0.14428420432665601</v>
      </c>
    </row>
    <row r="14" spans="1:26" x14ac:dyDescent="0.3">
      <c r="A14" s="12" t="s">
        <v>78</v>
      </c>
      <c r="B14" s="54" t="s">
        <v>70</v>
      </c>
      <c r="C14" s="2">
        <v>500</v>
      </c>
      <c r="D14" s="167">
        <v>20</v>
      </c>
      <c r="E14" s="2">
        <v>1.5</v>
      </c>
      <c r="F14" s="2">
        <v>1.5</v>
      </c>
      <c r="G14" s="2">
        <v>0.7</v>
      </c>
      <c r="H14" s="54">
        <v>7.0311620720228901E-4</v>
      </c>
      <c r="I14" s="54">
        <f>4*60+9.5</f>
        <v>249.5</v>
      </c>
      <c r="J14" s="80">
        <f t="shared" si="1"/>
        <v>4.1583333333333332</v>
      </c>
      <c r="K14" s="81">
        <v>0.230277928812854</v>
      </c>
      <c r="L14" s="82">
        <v>4.1471160732970196</v>
      </c>
      <c r="M14" s="82">
        <v>6.0025562868090301</v>
      </c>
      <c r="N14" s="84">
        <v>9.6469999999999993E-3</v>
      </c>
      <c r="O14" s="84">
        <v>8.5518540000000005</v>
      </c>
      <c r="P14" s="84">
        <v>7.1656500000000003</v>
      </c>
      <c r="Q14" s="84">
        <v>44.150669999999998</v>
      </c>
      <c r="R14" s="84">
        <v>42.528283999999999</v>
      </c>
      <c r="S14" s="84">
        <v>1E-4</v>
      </c>
      <c r="T14" s="82">
        <v>1.1015287199813399</v>
      </c>
      <c r="U14" s="82">
        <v>2.49443328688508</v>
      </c>
      <c r="V14" s="84">
        <v>1.6426339999999999</v>
      </c>
      <c r="W14" s="81">
        <v>0.20757536882927899</v>
      </c>
      <c r="X14" s="83">
        <v>0.59564622966884795</v>
      </c>
    </row>
    <row r="15" spans="1:26" ht="15" thickBot="1" x14ac:dyDescent="0.35">
      <c r="A15" s="15" t="s">
        <v>78</v>
      </c>
      <c r="B15" s="77" t="s">
        <v>70</v>
      </c>
      <c r="C15" s="6">
        <v>500</v>
      </c>
      <c r="D15" s="43">
        <v>25</v>
      </c>
      <c r="E15" s="6">
        <v>1.5</v>
      </c>
      <c r="F15" s="6">
        <v>1.5</v>
      </c>
      <c r="G15" s="6">
        <v>0.7</v>
      </c>
      <c r="H15" s="77">
        <v>6.7861314633885098E-4</v>
      </c>
      <c r="I15" s="77">
        <f>4*60+45.45</f>
        <v>285.45</v>
      </c>
      <c r="J15" s="85">
        <f t="shared" si="1"/>
        <v>4.7574999999999994</v>
      </c>
      <c r="K15" s="86">
        <v>0.65584707161238898</v>
      </c>
      <c r="L15" s="87">
        <v>1.6542627156257601</v>
      </c>
      <c r="M15" s="86">
        <v>0.935993228967127</v>
      </c>
      <c r="N15" s="88">
        <v>9.6469999999999993E-3</v>
      </c>
      <c r="O15" s="88">
        <v>8.5518540000000005</v>
      </c>
      <c r="P15" s="88">
        <v>7.1656500000000003</v>
      </c>
      <c r="Q15" s="88">
        <v>44.150669999999998</v>
      </c>
      <c r="R15" s="88">
        <v>42.528283999999999</v>
      </c>
      <c r="S15" s="88">
        <v>1E-4</v>
      </c>
      <c r="T15" s="87">
        <v>6.3300111014726497</v>
      </c>
      <c r="U15" s="86">
        <v>0.97696229125558598</v>
      </c>
      <c r="V15" s="88">
        <v>1.6426339999999999</v>
      </c>
      <c r="W15" s="86">
        <v>0.351566393361611</v>
      </c>
      <c r="X15" s="89">
        <v>0.40093322956893201</v>
      </c>
    </row>
    <row r="16" spans="1:26" hidden="1" x14ac:dyDescent="0.3">
      <c r="A16" s="8" t="s">
        <v>80</v>
      </c>
      <c r="B16" s="9" t="s">
        <v>66</v>
      </c>
      <c r="C16" s="9">
        <v>150</v>
      </c>
      <c r="D16" s="9">
        <v>20</v>
      </c>
      <c r="E16" s="9">
        <v>1.5</v>
      </c>
      <c r="F16" s="9">
        <v>1.5</v>
      </c>
      <c r="G16" s="9">
        <v>0.7</v>
      </c>
      <c r="H16" s="9">
        <v>1.11440624623557E-2</v>
      </c>
      <c r="I16" s="9">
        <f>4*60+18.28</f>
        <v>258.27999999999997</v>
      </c>
      <c r="J16" s="66">
        <f t="shared" si="1"/>
        <v>4.304666666666666</v>
      </c>
      <c r="K16" s="78">
        <v>2.3299381559274899</v>
      </c>
      <c r="L16" s="78">
        <v>5.32287018685438</v>
      </c>
      <c r="M16" s="78">
        <v>7.98243204684095</v>
      </c>
      <c r="N16" s="68">
        <v>9.6469999999999993E-3</v>
      </c>
      <c r="O16" s="68">
        <v>8.5518540000000005</v>
      </c>
      <c r="P16" s="68">
        <v>7.1656500000000003</v>
      </c>
      <c r="Q16" s="68">
        <v>44.150669999999998</v>
      </c>
      <c r="R16" s="68">
        <v>42.528283999999999</v>
      </c>
      <c r="S16" s="68">
        <v>1E-4</v>
      </c>
      <c r="T16" s="67">
        <v>0.17054697044964001</v>
      </c>
      <c r="U16" s="78">
        <v>7.0897163559782097</v>
      </c>
      <c r="V16" s="68">
        <v>1.6426339999999999</v>
      </c>
      <c r="W16" s="67">
        <v>0.47501878724573199</v>
      </c>
      <c r="X16" s="69">
        <v>0.34154452509892902</v>
      </c>
    </row>
    <row r="17" spans="1:24" x14ac:dyDescent="0.3">
      <c r="A17" s="12" t="s">
        <v>80</v>
      </c>
      <c r="B17" s="2" t="s">
        <v>68</v>
      </c>
      <c r="C17" s="2">
        <v>150</v>
      </c>
      <c r="D17" s="2">
        <v>20</v>
      </c>
      <c r="E17" s="2">
        <v>1.5</v>
      </c>
      <c r="F17" s="2">
        <v>1.5</v>
      </c>
      <c r="G17" s="2">
        <v>0.7</v>
      </c>
      <c r="H17" s="2">
        <v>3.3679725400876E-2</v>
      </c>
      <c r="I17" s="2">
        <f>2*60+53.1</f>
        <v>173.1</v>
      </c>
      <c r="J17" s="76">
        <f t="shared" ref="J17:J25" si="2">I17/60</f>
        <v>2.8849999999999998</v>
      </c>
      <c r="K17" s="60">
        <v>3.8814631810598001</v>
      </c>
      <c r="L17" s="60">
        <v>2.8667225940990999</v>
      </c>
      <c r="M17" s="60">
        <v>6.8650101407296198</v>
      </c>
      <c r="N17" s="64">
        <v>9.6469999999999993E-3</v>
      </c>
      <c r="O17" s="64">
        <v>8.5518540000000005</v>
      </c>
      <c r="P17" s="64">
        <v>7.1656500000000003</v>
      </c>
      <c r="Q17" s="64">
        <v>44.150669999999998</v>
      </c>
      <c r="R17" s="64">
        <v>42.528283999999999</v>
      </c>
      <c r="S17" s="64">
        <v>1E-4</v>
      </c>
      <c r="T17" s="60">
        <v>1.16026489040905</v>
      </c>
      <c r="U17" s="60">
        <v>5.8389022640940498</v>
      </c>
      <c r="V17" s="64">
        <v>1.6426339999999999</v>
      </c>
      <c r="W17" s="59">
        <v>0.64665747418014496</v>
      </c>
      <c r="X17" s="70">
        <v>0.204067557379424</v>
      </c>
    </row>
    <row r="18" spans="1:24" x14ac:dyDescent="0.3">
      <c r="A18" s="12" t="s">
        <v>80</v>
      </c>
      <c r="B18" s="166" t="s">
        <v>69</v>
      </c>
      <c r="C18" s="2">
        <v>150</v>
      </c>
      <c r="D18" s="2">
        <v>20</v>
      </c>
      <c r="E18" s="2">
        <v>1.5</v>
      </c>
      <c r="F18" s="2">
        <v>1.5</v>
      </c>
      <c r="G18" s="2">
        <v>0.7</v>
      </c>
      <c r="H18" s="2">
        <v>1.15359229420309E-2</v>
      </c>
      <c r="I18" s="2">
        <f>31*60+32.58</f>
        <v>1892.58</v>
      </c>
      <c r="J18" s="79">
        <f t="shared" si="2"/>
        <v>31.542999999999999</v>
      </c>
      <c r="K18" s="60">
        <v>4.66126484420837</v>
      </c>
      <c r="L18" s="60">
        <v>7.6274459060809496</v>
      </c>
      <c r="M18" s="59">
        <v>3.93887006942419</v>
      </c>
      <c r="N18" s="64">
        <v>9.6469999999999993E-3</v>
      </c>
      <c r="O18" s="64">
        <v>8.5518540000000005</v>
      </c>
      <c r="P18" s="64">
        <v>7.1656500000000003</v>
      </c>
      <c r="Q18" s="64">
        <v>44.150669999999998</v>
      </c>
      <c r="R18" s="64">
        <v>42.528283999999999</v>
      </c>
      <c r="S18" s="64">
        <v>1E-4</v>
      </c>
      <c r="T18" s="61">
        <v>0.17179967183183001</v>
      </c>
      <c r="U18" s="60">
        <v>4.8454643039093703</v>
      </c>
      <c r="V18" s="64">
        <v>1.6426339999999999</v>
      </c>
      <c r="W18" s="59">
        <v>0.71125671544458102</v>
      </c>
      <c r="X18" s="70">
        <v>0.13681289788651901</v>
      </c>
    </row>
    <row r="19" spans="1:24" x14ac:dyDescent="0.3">
      <c r="A19" s="12" t="s">
        <v>80</v>
      </c>
      <c r="B19" s="54" t="s">
        <v>70</v>
      </c>
      <c r="C19" s="2">
        <v>150</v>
      </c>
      <c r="D19" s="2">
        <v>20</v>
      </c>
      <c r="E19" s="2">
        <v>1.5</v>
      </c>
      <c r="F19" s="2">
        <v>1.5</v>
      </c>
      <c r="G19" s="2">
        <v>0.7</v>
      </c>
      <c r="H19" s="57">
        <v>1.1953798058781E-3</v>
      </c>
      <c r="I19" s="54">
        <f>5*60+28.86</f>
        <v>328.86</v>
      </c>
      <c r="J19" s="90">
        <f t="shared" si="2"/>
        <v>5.4809999999999999</v>
      </c>
      <c r="K19" s="81">
        <v>8.6968657160830798E-2</v>
      </c>
      <c r="L19" s="81">
        <v>0.37972652190723399</v>
      </c>
      <c r="M19" s="82">
        <v>1.8859295434347501</v>
      </c>
      <c r="N19" s="84">
        <v>9.6469999999999993E-3</v>
      </c>
      <c r="O19" s="84">
        <v>8.5518540000000005</v>
      </c>
      <c r="P19" s="84">
        <v>7.1656500000000003</v>
      </c>
      <c r="Q19" s="84">
        <v>44.150669999999998</v>
      </c>
      <c r="R19" s="84">
        <v>42.528283999999999</v>
      </c>
      <c r="S19" s="84">
        <v>1E-4</v>
      </c>
      <c r="T19" s="82">
        <v>9.2643799195858598</v>
      </c>
      <c r="U19" s="82">
        <v>9.9263324663812593</v>
      </c>
      <c r="V19" s="84">
        <v>1.6426339999999999</v>
      </c>
      <c r="W19" s="81">
        <v>0.14259670949258901</v>
      </c>
      <c r="X19" s="83">
        <v>0.67266227300008097</v>
      </c>
    </row>
    <row r="20" spans="1:24" hidden="1" x14ac:dyDescent="0.3">
      <c r="A20" s="12" t="s">
        <v>80</v>
      </c>
      <c r="B20" s="2" t="s">
        <v>66</v>
      </c>
      <c r="C20" s="2">
        <v>200</v>
      </c>
      <c r="D20" s="2">
        <v>20</v>
      </c>
      <c r="E20" s="2">
        <v>1.5</v>
      </c>
      <c r="F20" s="2">
        <v>1.5</v>
      </c>
      <c r="G20" s="2">
        <v>0.7</v>
      </c>
      <c r="H20" s="2">
        <v>1.1136767684926699E-2</v>
      </c>
      <c r="I20" s="2">
        <f>5*60+3.26</f>
        <v>303.26</v>
      </c>
      <c r="J20" s="76">
        <f t="shared" si="2"/>
        <v>5.0543333333333331</v>
      </c>
      <c r="K20" s="60">
        <v>2.40418844091263</v>
      </c>
      <c r="L20" s="60">
        <v>5.3229813301373197</v>
      </c>
      <c r="M20" s="60">
        <v>8.0155017949921401</v>
      </c>
      <c r="N20" s="64">
        <v>9.6469999999999993E-3</v>
      </c>
      <c r="O20" s="64">
        <v>8.5518540000000005</v>
      </c>
      <c r="P20" s="64">
        <v>7.1656500000000003</v>
      </c>
      <c r="Q20" s="64">
        <v>44.150669999999998</v>
      </c>
      <c r="R20" s="64">
        <v>42.528283999999999</v>
      </c>
      <c r="S20" s="64">
        <v>1E-4</v>
      </c>
      <c r="T20" s="61">
        <v>0.17047414015068499</v>
      </c>
      <c r="U20" s="60">
        <v>7.0922970703933199</v>
      </c>
      <c r="V20" s="64">
        <v>1.6426339999999999</v>
      </c>
      <c r="W20" s="59">
        <v>0.476047570705943</v>
      </c>
      <c r="X20" s="70">
        <v>0.34404791544767399</v>
      </c>
    </row>
    <row r="21" spans="1:24" x14ac:dyDescent="0.3">
      <c r="A21" s="12" t="s">
        <v>80</v>
      </c>
      <c r="B21" s="2" t="s">
        <v>68</v>
      </c>
      <c r="C21" s="2">
        <v>200</v>
      </c>
      <c r="D21" s="2">
        <v>20</v>
      </c>
      <c r="E21" s="2">
        <v>1.5</v>
      </c>
      <c r="F21" s="2">
        <v>1.5</v>
      </c>
      <c r="G21" s="2">
        <v>0.7</v>
      </c>
      <c r="H21" s="2">
        <v>3.3679725400876E-2</v>
      </c>
      <c r="I21" s="2">
        <f>3*60+53.73</f>
        <v>233.73</v>
      </c>
      <c r="J21" s="76">
        <f t="shared" si="2"/>
        <v>3.8954999999999997</v>
      </c>
      <c r="K21" s="60">
        <v>3.8814631810598001</v>
      </c>
      <c r="L21" s="60">
        <v>2.8667225940990999</v>
      </c>
      <c r="M21" s="60">
        <v>6.8650101407296198</v>
      </c>
      <c r="N21" s="64">
        <v>9.6469999999999993E-3</v>
      </c>
      <c r="O21" s="64">
        <v>8.5518540000000005</v>
      </c>
      <c r="P21" s="64">
        <v>7.1656500000000003</v>
      </c>
      <c r="Q21" s="64">
        <v>44.150669999999998</v>
      </c>
      <c r="R21" s="64">
        <v>42.528283999999999</v>
      </c>
      <c r="S21" s="64">
        <v>1E-4</v>
      </c>
      <c r="T21" s="60">
        <v>1.16026489040905</v>
      </c>
      <c r="U21" s="60">
        <v>5.8389022640940498</v>
      </c>
      <c r="V21" s="64">
        <v>1.6426339999999999</v>
      </c>
      <c r="W21" s="59">
        <v>0.64665747418014496</v>
      </c>
      <c r="X21" s="70">
        <v>0.204067557379424</v>
      </c>
    </row>
    <row r="22" spans="1:24" x14ac:dyDescent="0.3">
      <c r="A22" s="12" t="s">
        <v>80</v>
      </c>
      <c r="B22" s="54" t="s">
        <v>70</v>
      </c>
      <c r="C22" s="2">
        <v>200</v>
      </c>
      <c r="D22" s="2">
        <v>20</v>
      </c>
      <c r="E22" s="2">
        <v>1.5</v>
      </c>
      <c r="F22" s="2">
        <v>1.5</v>
      </c>
      <c r="G22" s="2">
        <v>0.7</v>
      </c>
      <c r="H22" s="54">
        <v>1.1445614822087899E-3</v>
      </c>
      <c r="I22" s="54">
        <f>11*60+48.17</f>
        <v>708.17</v>
      </c>
      <c r="J22" s="90">
        <f t="shared" si="2"/>
        <v>11.802833333333332</v>
      </c>
      <c r="K22" s="81">
        <v>9.7748777956490701E-2</v>
      </c>
      <c r="L22" s="81">
        <v>0.33917373382219301</v>
      </c>
      <c r="M22" s="82">
        <v>1.76771463748577</v>
      </c>
      <c r="N22" s="84">
        <v>9.6469999999999993E-3</v>
      </c>
      <c r="O22" s="84">
        <v>8.5518540000000005</v>
      </c>
      <c r="P22" s="84">
        <v>7.1656500000000003</v>
      </c>
      <c r="Q22" s="84">
        <v>44.150669999999998</v>
      </c>
      <c r="R22" s="84">
        <v>42.528283999999999</v>
      </c>
      <c r="S22" s="84">
        <v>1E-4</v>
      </c>
      <c r="T22" s="82">
        <v>9.9823011023231398</v>
      </c>
      <c r="U22" s="82">
        <v>9.8388752079463302</v>
      </c>
      <c r="V22" s="84">
        <v>1.6426339999999999</v>
      </c>
      <c r="W22" s="81">
        <v>0.144298087346836</v>
      </c>
      <c r="X22" s="83">
        <v>0.67235045686653305</v>
      </c>
    </row>
    <row r="23" spans="1:24" x14ac:dyDescent="0.3">
      <c r="A23" s="12" t="s">
        <v>80</v>
      </c>
      <c r="B23" s="2" t="s">
        <v>68</v>
      </c>
      <c r="C23" s="2">
        <v>500</v>
      </c>
      <c r="D23" s="2">
        <v>20</v>
      </c>
      <c r="E23" s="2">
        <v>1.5</v>
      </c>
      <c r="F23" s="2">
        <v>1.5</v>
      </c>
      <c r="G23" s="2">
        <v>0.7</v>
      </c>
      <c r="H23" s="2">
        <v>2.1153082388360899E-2</v>
      </c>
      <c r="I23" s="2">
        <f>11*60+34.96</f>
        <v>694.96</v>
      </c>
      <c r="J23" s="76">
        <f t="shared" si="2"/>
        <v>11.582666666666666</v>
      </c>
      <c r="K23" s="60">
        <v>4.6003553841105704</v>
      </c>
      <c r="L23" s="60">
        <v>2.9392767866460798</v>
      </c>
      <c r="M23" s="60">
        <v>1.8114258287038001</v>
      </c>
      <c r="N23" s="64">
        <v>9.6469999999999993E-3</v>
      </c>
      <c r="O23" s="64">
        <v>8.5518540000000005</v>
      </c>
      <c r="P23" s="64">
        <v>7.1656500000000003</v>
      </c>
      <c r="Q23" s="64">
        <v>44.150669999999998</v>
      </c>
      <c r="R23" s="64">
        <v>42.528283999999999</v>
      </c>
      <c r="S23" s="64">
        <v>1E-4</v>
      </c>
      <c r="T23" s="60">
        <v>2.72866349573804</v>
      </c>
      <c r="U23" s="60">
        <v>5.4387748973149801</v>
      </c>
      <c r="V23" s="64">
        <v>1.6426339999999999</v>
      </c>
      <c r="W23" s="59">
        <v>0.52946081224504704</v>
      </c>
      <c r="X23" s="70">
        <v>0.37852014574272003</v>
      </c>
    </row>
    <row r="24" spans="1:24" x14ac:dyDescent="0.3">
      <c r="A24" s="12" t="s">
        <v>80</v>
      </c>
      <c r="B24" s="54" t="s">
        <v>70</v>
      </c>
      <c r="C24" s="2">
        <v>500</v>
      </c>
      <c r="D24" s="2">
        <v>20</v>
      </c>
      <c r="E24" s="2">
        <v>1.5</v>
      </c>
      <c r="F24" s="2">
        <v>1.5</v>
      </c>
      <c r="G24" s="2">
        <v>0.7</v>
      </c>
      <c r="H24" s="54">
        <v>1.14236097186321E-3</v>
      </c>
      <c r="I24" s="54">
        <f>19*60+15.09</f>
        <v>1155.0899999999999</v>
      </c>
      <c r="J24" s="90">
        <f t="shared" si="2"/>
        <v>19.2515</v>
      </c>
      <c r="K24" s="81">
        <v>9.7556289800075593E-2</v>
      </c>
      <c r="L24" s="81">
        <v>0.33789906227527899</v>
      </c>
      <c r="M24" s="82">
        <v>1.7766564066399899</v>
      </c>
      <c r="N24" s="84">
        <v>9.6469999999999993E-3</v>
      </c>
      <c r="O24" s="84">
        <v>8.5518540000000005</v>
      </c>
      <c r="P24" s="84">
        <v>7.1656500000000003</v>
      </c>
      <c r="Q24" s="84">
        <v>44.150669999999998</v>
      </c>
      <c r="R24" s="84">
        <v>42.528283999999999</v>
      </c>
      <c r="S24" s="84">
        <v>1E-4</v>
      </c>
      <c r="T24" s="82">
        <v>9.9987954209152292</v>
      </c>
      <c r="U24" s="82">
        <v>9.9698073558070508</v>
      </c>
      <c r="V24" s="84">
        <v>1.6426339999999999</v>
      </c>
      <c r="W24" s="81">
        <v>0.144349858891552</v>
      </c>
      <c r="X24" s="83">
        <v>0.67196429289183002</v>
      </c>
    </row>
    <row r="25" spans="1:24" ht="15" thickBot="1" x14ac:dyDescent="0.35">
      <c r="A25" s="15" t="s">
        <v>80</v>
      </c>
      <c r="B25" s="77" t="s">
        <v>70</v>
      </c>
      <c r="C25" s="6">
        <v>500</v>
      </c>
      <c r="D25" s="6">
        <v>25</v>
      </c>
      <c r="E25" s="6">
        <v>1.5</v>
      </c>
      <c r="F25" s="6">
        <v>1.5</v>
      </c>
      <c r="G25" s="6">
        <v>0.7</v>
      </c>
      <c r="H25" s="77">
        <v>1.1658027202459599E-3</v>
      </c>
      <c r="I25" s="77">
        <f>30*60+57.34</f>
        <v>1857.34</v>
      </c>
      <c r="J25" s="91">
        <f t="shared" si="2"/>
        <v>30.955666666666666</v>
      </c>
      <c r="K25" s="86">
        <v>9.7800415721008199E-2</v>
      </c>
      <c r="L25" s="86">
        <v>0.71140617768074599</v>
      </c>
      <c r="M25" s="87">
        <v>1.4257677322081099</v>
      </c>
      <c r="N25" s="88">
        <v>9.6469999999999993E-3</v>
      </c>
      <c r="O25" s="88">
        <v>8.5518540000000005</v>
      </c>
      <c r="P25" s="88">
        <v>7.1656500000000003</v>
      </c>
      <c r="Q25" s="88">
        <v>44.150669999999998</v>
      </c>
      <c r="R25" s="88">
        <v>42.528283999999999</v>
      </c>
      <c r="S25" s="88">
        <v>1E-4</v>
      </c>
      <c r="T25" s="87">
        <v>9.9977821280604804</v>
      </c>
      <c r="U25" s="87">
        <v>6.5776873288542603</v>
      </c>
      <c r="V25" s="88">
        <v>1.6426339999999999</v>
      </c>
      <c r="W25" s="86">
        <v>0.28729463418919698</v>
      </c>
      <c r="X25" s="89">
        <v>0.52605879996048899</v>
      </c>
    </row>
    <row r="26" spans="1:24" hidden="1" x14ac:dyDescent="0.3">
      <c r="A26" s="8" t="s">
        <v>81</v>
      </c>
      <c r="B26" s="9" t="s">
        <v>66</v>
      </c>
      <c r="C26" s="9">
        <v>150</v>
      </c>
      <c r="D26" s="9">
        <v>20</v>
      </c>
      <c r="E26" s="9">
        <v>1.5</v>
      </c>
      <c r="F26" s="9">
        <v>1.5</v>
      </c>
      <c r="G26" s="9">
        <v>0.7</v>
      </c>
      <c r="H26" s="9">
        <v>5.3784901232232596E-4</v>
      </c>
      <c r="I26" s="9">
        <f>2*60+13.15</f>
        <v>133.15</v>
      </c>
      <c r="J26" s="66">
        <f>I26/60</f>
        <v>2.2191666666666667</v>
      </c>
      <c r="K26" s="67">
        <v>0.15796536035747399</v>
      </c>
      <c r="L26" s="78">
        <v>4.0428520216839896</v>
      </c>
      <c r="M26" s="78">
        <v>2.0987315453039099</v>
      </c>
      <c r="N26" s="68">
        <v>9.6469999999999993E-3</v>
      </c>
      <c r="O26" s="68">
        <v>8.5518540000000005</v>
      </c>
      <c r="P26" s="68">
        <v>7.1656500000000003</v>
      </c>
      <c r="Q26" s="68">
        <v>44.150669999999998</v>
      </c>
      <c r="R26" s="68">
        <v>42.528283999999999</v>
      </c>
      <c r="S26" s="68">
        <v>1E-4</v>
      </c>
      <c r="T26" s="78">
        <v>1.53299889476935</v>
      </c>
      <c r="U26" s="67">
        <v>0.1</v>
      </c>
      <c r="V26" s="68">
        <v>1.6426339999999999</v>
      </c>
      <c r="W26" s="67">
        <v>0.63770630487170998</v>
      </c>
      <c r="X26" s="69">
        <v>0.257882208313367</v>
      </c>
    </row>
    <row r="27" spans="1:24" x14ac:dyDescent="0.3">
      <c r="A27" s="12" t="s">
        <v>81</v>
      </c>
      <c r="B27" s="2" t="s">
        <v>68</v>
      </c>
      <c r="C27" s="2">
        <v>150</v>
      </c>
      <c r="D27" s="2">
        <v>20</v>
      </c>
      <c r="E27" s="2">
        <v>1.5</v>
      </c>
      <c r="F27" s="2">
        <v>1.5</v>
      </c>
      <c r="G27" s="2">
        <v>0.7</v>
      </c>
      <c r="H27" s="2">
        <v>4.1148524856419004E-3</v>
      </c>
      <c r="I27" s="2">
        <f>2*60+27.22</f>
        <v>147.22</v>
      </c>
      <c r="J27" s="51">
        <f>I27/60</f>
        <v>2.4536666666666664</v>
      </c>
      <c r="K27" s="60">
        <v>2.6203392577086202</v>
      </c>
      <c r="L27" s="60">
        <v>1.1689487871134601</v>
      </c>
      <c r="M27" s="60">
        <v>2.7977499112585198</v>
      </c>
      <c r="N27" s="64">
        <v>9.6469999999999993E-3</v>
      </c>
      <c r="O27" s="64">
        <v>8.5518540000000005</v>
      </c>
      <c r="P27" s="64">
        <v>7.1656500000000003</v>
      </c>
      <c r="Q27" s="64">
        <v>44.150669999999998</v>
      </c>
      <c r="R27" s="64">
        <v>42.528283999999999</v>
      </c>
      <c r="S27" s="64">
        <v>1E-4</v>
      </c>
      <c r="T27" s="60">
        <v>3.6733434323474299</v>
      </c>
      <c r="U27" s="60">
        <v>1.39120350584148</v>
      </c>
      <c r="V27" s="64">
        <v>1.6426339999999999</v>
      </c>
      <c r="W27" s="59">
        <v>1.00692090223985</v>
      </c>
      <c r="X27" s="70">
        <v>0.30911593462982501</v>
      </c>
    </row>
    <row r="28" spans="1:24" x14ac:dyDescent="0.3">
      <c r="A28" s="12" t="s">
        <v>81</v>
      </c>
      <c r="B28" s="166" t="s">
        <v>69</v>
      </c>
      <c r="C28" s="2">
        <v>150</v>
      </c>
      <c r="D28" s="2">
        <v>20</v>
      </c>
      <c r="E28" s="2">
        <v>1.5</v>
      </c>
      <c r="F28" s="2">
        <v>1.5</v>
      </c>
      <c r="G28" s="2">
        <v>0.7</v>
      </c>
      <c r="H28" s="2">
        <v>1.44192320669159E-3</v>
      </c>
      <c r="I28" s="2">
        <f>29*60+9.65</f>
        <v>1749.65</v>
      </c>
      <c r="J28" s="93">
        <f t="shared" ref="J28:J35" si="3">I28/60</f>
        <v>29.160833333333336</v>
      </c>
      <c r="K28" s="59">
        <v>0.45522379527423301</v>
      </c>
      <c r="L28" s="60">
        <v>2.1090735652864701</v>
      </c>
      <c r="M28" s="59">
        <v>0.60134452548395001</v>
      </c>
      <c r="N28" s="64">
        <v>9.6469999999999993E-3</v>
      </c>
      <c r="O28" s="64">
        <v>8.5518540000000005</v>
      </c>
      <c r="P28" s="64">
        <v>7.1656500000000003</v>
      </c>
      <c r="Q28" s="64">
        <v>44.150669999999998</v>
      </c>
      <c r="R28" s="64">
        <v>42.528283999999999</v>
      </c>
      <c r="S28" s="64">
        <v>1E-4</v>
      </c>
      <c r="T28" s="60">
        <v>3.1990570598648702</v>
      </c>
      <c r="U28" s="60">
        <v>9.3289686834751908</v>
      </c>
      <c r="V28" s="64">
        <v>1.6426339999999999</v>
      </c>
      <c r="W28" s="59">
        <v>0.76147206598734196</v>
      </c>
      <c r="X28" s="70">
        <v>0.14315943224626199</v>
      </c>
    </row>
    <row r="29" spans="1:24" x14ac:dyDescent="0.3">
      <c r="A29" s="12" t="s">
        <v>81</v>
      </c>
      <c r="B29" s="54" t="s">
        <v>70</v>
      </c>
      <c r="C29" s="2">
        <v>150</v>
      </c>
      <c r="D29" s="2">
        <v>20</v>
      </c>
      <c r="E29" s="2">
        <v>1.5</v>
      </c>
      <c r="F29" s="2">
        <v>1.5</v>
      </c>
      <c r="G29" s="2">
        <v>0.7</v>
      </c>
      <c r="H29" s="54">
        <v>5.5448295061802497E-4</v>
      </c>
      <c r="I29" s="54">
        <f>60+50.06</f>
        <v>110.06</v>
      </c>
      <c r="J29" s="80">
        <f t="shared" si="3"/>
        <v>1.8343333333333334</v>
      </c>
      <c r="K29" s="81">
        <v>0.18277191334128001</v>
      </c>
      <c r="L29" s="81">
        <v>0.93507902987293001</v>
      </c>
      <c r="M29" s="82">
        <v>5.9846530300535496</v>
      </c>
      <c r="N29" s="84">
        <v>9.6469999999999993E-3</v>
      </c>
      <c r="O29" s="84">
        <v>8.5518540000000005</v>
      </c>
      <c r="P29" s="84">
        <v>7.1656500000000003</v>
      </c>
      <c r="Q29" s="84">
        <v>44.150669999999998</v>
      </c>
      <c r="R29" s="84">
        <v>42.528283999999999</v>
      </c>
      <c r="S29" s="84">
        <v>1E-4</v>
      </c>
      <c r="T29" s="82">
        <v>1.63578039188719</v>
      </c>
      <c r="U29" s="82">
        <v>4.4317996594909204</v>
      </c>
      <c r="V29" s="84">
        <v>1.6426339999999999</v>
      </c>
      <c r="W29" s="81">
        <v>0.169428071211535</v>
      </c>
      <c r="X29" s="83">
        <v>0.79097187118017498</v>
      </c>
    </row>
    <row r="30" spans="1:24" hidden="1" x14ac:dyDescent="0.3">
      <c r="A30" s="12" t="s">
        <v>81</v>
      </c>
      <c r="B30" s="2" t="s">
        <v>66</v>
      </c>
      <c r="C30" s="2">
        <v>200</v>
      </c>
      <c r="D30" s="2">
        <v>20</v>
      </c>
      <c r="E30" s="2">
        <v>1.5</v>
      </c>
      <c r="F30" s="2">
        <v>1.5</v>
      </c>
      <c r="G30" s="2">
        <v>0.7</v>
      </c>
      <c r="H30" s="2">
        <v>5.3513470918326999E-4</v>
      </c>
      <c r="I30" s="2">
        <f>2*60+28.82</f>
        <v>148.82</v>
      </c>
      <c r="J30" s="51">
        <f t="shared" si="3"/>
        <v>2.4803333333333333</v>
      </c>
      <c r="K30" s="59">
        <v>0.15787142809999999</v>
      </c>
      <c r="L30" s="59">
        <v>4.0399279379999999</v>
      </c>
      <c r="M30" s="60">
        <v>2.1032253427203802</v>
      </c>
      <c r="N30" s="64">
        <v>9.6469999999999993E-3</v>
      </c>
      <c r="O30" s="64">
        <v>8.5518540000000005</v>
      </c>
      <c r="P30" s="64">
        <v>7.1656500000000003</v>
      </c>
      <c r="Q30" s="64">
        <v>44.150669999999998</v>
      </c>
      <c r="R30" s="64">
        <v>42.528283999999999</v>
      </c>
      <c r="S30" s="64">
        <v>1E-4</v>
      </c>
      <c r="T30" s="60">
        <v>1.5308576470192199</v>
      </c>
      <c r="U30" s="59">
        <v>0.1</v>
      </c>
      <c r="V30" s="64">
        <v>1.6426339999999999</v>
      </c>
      <c r="W30" s="59">
        <v>0.63979153894325302</v>
      </c>
      <c r="X30" s="70">
        <v>0.25571373554670501</v>
      </c>
    </row>
    <row r="31" spans="1:24" x14ac:dyDescent="0.3">
      <c r="A31" s="12" t="s">
        <v>81</v>
      </c>
      <c r="B31" s="2" t="s">
        <v>68</v>
      </c>
      <c r="C31" s="2">
        <v>200</v>
      </c>
      <c r="D31" s="2">
        <v>20</v>
      </c>
      <c r="E31" s="2">
        <v>1.5</v>
      </c>
      <c r="F31" s="2">
        <v>1.5</v>
      </c>
      <c r="G31" s="2">
        <v>0.7</v>
      </c>
      <c r="H31" s="2">
        <v>4.10590634113872E-3</v>
      </c>
      <c r="I31" s="2">
        <f>2*60+58.02</f>
        <v>178.02</v>
      </c>
      <c r="J31" s="51">
        <f t="shared" si="3"/>
        <v>2.9670000000000001</v>
      </c>
      <c r="K31" s="60">
        <v>2.6203392075057299</v>
      </c>
      <c r="L31" s="60">
        <v>1.1689507800277501</v>
      </c>
      <c r="M31" s="60">
        <v>2.7976688751157401</v>
      </c>
      <c r="N31" s="64">
        <v>9.6469999999999993E-3</v>
      </c>
      <c r="O31" s="64">
        <v>8.5518540000000005</v>
      </c>
      <c r="P31" s="64">
        <v>7.1656500000000003</v>
      </c>
      <c r="Q31" s="64">
        <v>44.150669999999998</v>
      </c>
      <c r="R31" s="64">
        <v>42.528283999999999</v>
      </c>
      <c r="S31" s="64">
        <v>1E-4</v>
      </c>
      <c r="T31" s="60">
        <v>3.6733722842723902</v>
      </c>
      <c r="U31" s="60">
        <v>1.3915161204550199</v>
      </c>
      <c r="V31" s="64">
        <v>1.6426339999999999</v>
      </c>
      <c r="W31" s="59">
        <v>1.0069276057424901</v>
      </c>
      <c r="X31" s="70">
        <v>0.30911590470633299</v>
      </c>
    </row>
    <row r="32" spans="1:24" x14ac:dyDescent="0.3">
      <c r="A32" s="12" t="s">
        <v>81</v>
      </c>
      <c r="B32" s="54" t="s">
        <v>70</v>
      </c>
      <c r="C32" s="2">
        <v>200</v>
      </c>
      <c r="D32" s="2">
        <v>20</v>
      </c>
      <c r="E32" s="2">
        <v>1.5</v>
      </c>
      <c r="F32" s="2">
        <v>1.5</v>
      </c>
      <c r="G32" s="2">
        <v>0.7</v>
      </c>
      <c r="H32" s="54">
        <v>5.3926815435973601E-4</v>
      </c>
      <c r="I32" s="54">
        <f>2*60+31.79</f>
        <v>151.79</v>
      </c>
      <c r="J32" s="80">
        <f t="shared" si="3"/>
        <v>2.5298333333333334</v>
      </c>
      <c r="K32" s="81">
        <v>0.200090503125988</v>
      </c>
      <c r="L32" s="81">
        <v>0.93334617005500298</v>
      </c>
      <c r="M32" s="82">
        <v>6.05992631645519</v>
      </c>
      <c r="N32" s="84">
        <v>9.6469999999999993E-3</v>
      </c>
      <c r="O32" s="84">
        <v>8.5518540000000005</v>
      </c>
      <c r="P32" s="84">
        <v>7.1656500000000003</v>
      </c>
      <c r="Q32" s="84">
        <v>44.150669999999998</v>
      </c>
      <c r="R32" s="84">
        <v>42.528283999999999</v>
      </c>
      <c r="S32" s="84">
        <v>1E-4</v>
      </c>
      <c r="T32" s="82">
        <v>1.6315342260914001</v>
      </c>
      <c r="U32" s="82">
        <v>3.8159681302494901</v>
      </c>
      <c r="V32" s="84">
        <v>1.6426339999999999</v>
      </c>
      <c r="W32" s="81">
        <v>0.174710337054786</v>
      </c>
      <c r="X32" s="83">
        <v>0.77567938513379198</v>
      </c>
    </row>
    <row r="33" spans="1:27" hidden="1" x14ac:dyDescent="0.3">
      <c r="A33" s="12" t="s">
        <v>81</v>
      </c>
      <c r="B33" s="2" t="s">
        <v>66</v>
      </c>
      <c r="C33" s="2">
        <v>500</v>
      </c>
      <c r="D33" s="2">
        <v>20</v>
      </c>
      <c r="E33" s="2">
        <v>1.5</v>
      </c>
      <c r="F33" s="2">
        <v>1.5</v>
      </c>
      <c r="G33" s="2">
        <v>0.7</v>
      </c>
      <c r="H33" s="2">
        <v>5.2679333999513503E-4</v>
      </c>
      <c r="I33" s="2">
        <f>6*60+43.62</f>
        <v>403.62</v>
      </c>
      <c r="J33" s="51">
        <f t="shared" si="3"/>
        <v>6.7270000000000003</v>
      </c>
      <c r="K33" s="59">
        <v>0.157463964667933</v>
      </c>
      <c r="L33" s="60">
        <v>4.0531198810914901</v>
      </c>
      <c r="M33" s="60">
        <v>2.0974792918972098</v>
      </c>
      <c r="N33" s="64">
        <v>9.6469999999999993E-3</v>
      </c>
      <c r="O33" s="64">
        <v>8.5518540000000005</v>
      </c>
      <c r="P33" s="64">
        <v>7.1656500000000003</v>
      </c>
      <c r="Q33" s="64">
        <v>44.150669999999998</v>
      </c>
      <c r="R33" s="64">
        <v>42.528283999999999</v>
      </c>
      <c r="S33" s="64">
        <v>1E-4</v>
      </c>
      <c r="T33" s="60">
        <v>1.52141408505271</v>
      </c>
      <c r="U33" s="59">
        <v>0.1</v>
      </c>
      <c r="V33" s="64">
        <v>1.6426339999999999</v>
      </c>
      <c r="W33" s="59">
        <v>0.64923804018372</v>
      </c>
      <c r="X33" s="70">
        <v>0.24784531385410899</v>
      </c>
    </row>
    <row r="34" spans="1:27" x14ac:dyDescent="0.3">
      <c r="A34" s="12" t="s">
        <v>81</v>
      </c>
      <c r="B34" s="2" t="s">
        <v>68</v>
      </c>
      <c r="C34" s="2">
        <v>500</v>
      </c>
      <c r="D34" s="2">
        <v>20</v>
      </c>
      <c r="E34" s="2">
        <v>1.5</v>
      </c>
      <c r="F34" s="2">
        <v>1.5</v>
      </c>
      <c r="G34" s="2">
        <v>0.7</v>
      </c>
      <c r="H34" s="2">
        <v>4.0861062734903796E-3</v>
      </c>
      <c r="I34" s="2">
        <f>60*7+58.57</f>
        <v>478.57</v>
      </c>
      <c r="J34" s="51">
        <f t="shared" si="3"/>
        <v>7.9761666666666668</v>
      </c>
      <c r="K34" s="60">
        <v>2.6203392068401099</v>
      </c>
      <c r="L34" s="60">
        <v>1.1689507251606801</v>
      </c>
      <c r="M34" s="60">
        <v>2.7976691013519499</v>
      </c>
      <c r="N34" s="64">
        <v>9.6469999999999993E-3</v>
      </c>
      <c r="O34" s="64">
        <v>8.5518540000000005</v>
      </c>
      <c r="P34" s="64">
        <v>7.1656500000000003</v>
      </c>
      <c r="Q34" s="64">
        <v>44.150669999999998</v>
      </c>
      <c r="R34" s="64">
        <v>42.528283999999999</v>
      </c>
      <c r="S34" s="64">
        <v>1E-4</v>
      </c>
      <c r="T34" s="60">
        <v>3.67337189781977</v>
      </c>
      <c r="U34" s="60">
        <v>1.3915183032071201</v>
      </c>
      <c r="V34" s="64">
        <v>1.6426339999999999</v>
      </c>
      <c r="W34" s="59">
        <v>1.0069275680676799</v>
      </c>
      <c r="X34" s="70">
        <v>0.30911590444193399</v>
      </c>
    </row>
    <row r="35" spans="1:27" x14ac:dyDescent="0.3">
      <c r="A35" s="12" t="s">
        <v>81</v>
      </c>
      <c r="B35" s="54" t="s">
        <v>70</v>
      </c>
      <c r="C35" s="2">
        <v>500</v>
      </c>
      <c r="D35" s="2">
        <v>20</v>
      </c>
      <c r="E35" s="2">
        <v>1.5</v>
      </c>
      <c r="F35" s="2">
        <v>1.5</v>
      </c>
      <c r="G35" s="2">
        <v>0.7</v>
      </c>
      <c r="H35" s="54">
        <v>5.33593973727646E-4</v>
      </c>
      <c r="I35" s="54">
        <f>6*60+4.39</f>
        <v>364.39</v>
      </c>
      <c r="J35" s="80">
        <f t="shared" si="3"/>
        <v>6.0731666666666664</v>
      </c>
      <c r="K35" s="81">
        <v>0.200782865525586</v>
      </c>
      <c r="L35" s="81">
        <v>0.93063361469372696</v>
      </c>
      <c r="M35" s="82">
        <v>6.0938949101244804</v>
      </c>
      <c r="N35" s="84">
        <v>9.6469999999999993E-3</v>
      </c>
      <c r="O35" s="84">
        <v>8.5518540000000005</v>
      </c>
      <c r="P35" s="84">
        <v>7.1656500000000003</v>
      </c>
      <c r="Q35" s="84">
        <v>44.150669999999998</v>
      </c>
      <c r="R35" s="84">
        <v>42.528283999999999</v>
      </c>
      <c r="S35" s="84">
        <v>1E-4</v>
      </c>
      <c r="T35" s="82">
        <v>1.6305970614002501</v>
      </c>
      <c r="U35" s="82">
        <v>3.9338297609874702</v>
      </c>
      <c r="V35" s="84">
        <v>1.6426339999999999</v>
      </c>
      <c r="W35" s="81">
        <v>0.17573106357227899</v>
      </c>
      <c r="X35" s="83">
        <v>0.76753466547034999</v>
      </c>
    </row>
    <row r="36" spans="1:27" ht="15" thickBot="1" x14ac:dyDescent="0.35">
      <c r="A36" s="15" t="s">
        <v>81</v>
      </c>
      <c r="B36" s="77" t="s">
        <v>70</v>
      </c>
      <c r="C36" s="6">
        <v>500</v>
      </c>
      <c r="D36" s="6">
        <v>25</v>
      </c>
      <c r="E36" s="6">
        <v>1.5</v>
      </c>
      <c r="F36" s="6">
        <v>1.5</v>
      </c>
      <c r="G36" s="6">
        <v>0.7</v>
      </c>
      <c r="H36" s="77">
        <v>4.9961670047101402E-4</v>
      </c>
      <c r="I36" s="77">
        <f>10*60+4.18</f>
        <v>604.17999999999995</v>
      </c>
      <c r="J36" s="85">
        <f>I36/60</f>
        <v>10.069666666666667</v>
      </c>
      <c r="K36" s="92">
        <v>0.123108699728849</v>
      </c>
      <c r="L36" s="87">
        <v>2.2809552057362699</v>
      </c>
      <c r="M36" s="87">
        <v>9.1416504040918696</v>
      </c>
      <c r="N36" s="88">
        <v>9.6469999999999993E-3</v>
      </c>
      <c r="O36" s="88">
        <v>8.5518540000000005</v>
      </c>
      <c r="P36" s="88">
        <v>7.1656500000000003</v>
      </c>
      <c r="Q36" s="88">
        <v>44.150669999999998</v>
      </c>
      <c r="R36" s="88">
        <v>42.528283999999999</v>
      </c>
      <c r="S36" s="88">
        <v>1E-4</v>
      </c>
      <c r="T36" s="86">
        <v>0.91524577772073001</v>
      </c>
      <c r="U36" s="87">
        <v>9.9941869830438801</v>
      </c>
      <c r="V36" s="88">
        <v>1.6426339999999999</v>
      </c>
      <c r="W36" s="86">
        <v>0.262348974530624</v>
      </c>
      <c r="X36" s="89">
        <v>0.66041250315907096</v>
      </c>
    </row>
    <row r="37" spans="1:27" x14ac:dyDescent="0.3">
      <c r="A37" s="8" t="s">
        <v>82</v>
      </c>
      <c r="B37" s="192" t="s">
        <v>70</v>
      </c>
      <c r="C37" s="9">
        <v>500</v>
      </c>
      <c r="D37" s="9">
        <v>20</v>
      </c>
      <c r="E37" s="9">
        <v>1.5</v>
      </c>
      <c r="F37" s="9">
        <v>1.5</v>
      </c>
      <c r="G37" s="9">
        <v>0.7</v>
      </c>
      <c r="H37" s="9">
        <v>1.5875438560121399E-2</v>
      </c>
      <c r="I37" s="9">
        <f>5*60+25.37</f>
        <v>325.37</v>
      </c>
      <c r="J37" s="66">
        <f>I37/60</f>
        <v>5.4228333333333332</v>
      </c>
      <c r="K37" s="78">
        <v>6.8387595127111496</v>
      </c>
      <c r="L37" s="78">
        <v>7.04778645763892</v>
      </c>
      <c r="M37" s="78">
        <v>4.3680299231263797</v>
      </c>
      <c r="N37" s="68">
        <v>9.6469999999999993E-3</v>
      </c>
      <c r="O37" s="68">
        <v>8.5518540000000005</v>
      </c>
      <c r="P37" s="68">
        <v>7.1656500000000003</v>
      </c>
      <c r="Q37" s="68">
        <v>44.150669999999998</v>
      </c>
      <c r="R37" s="68">
        <v>42.528283999999999</v>
      </c>
      <c r="S37" s="68">
        <v>1E-4</v>
      </c>
      <c r="T37" s="67">
        <v>0.22980741998853901</v>
      </c>
      <c r="U37" s="78">
        <v>9.9937451898810998</v>
      </c>
      <c r="V37" s="68">
        <v>1.6426339999999999</v>
      </c>
      <c r="W37" s="67">
        <v>0.373774434671723</v>
      </c>
      <c r="X37" s="69">
        <v>1.2400436960751999</v>
      </c>
    </row>
    <row r="38" spans="1:27" ht="15" thickBot="1" x14ac:dyDescent="0.35">
      <c r="A38" s="22" t="s">
        <v>82</v>
      </c>
      <c r="B38" s="100" t="s">
        <v>70</v>
      </c>
      <c r="C38" s="23">
        <v>500</v>
      </c>
      <c r="D38" s="23">
        <v>25</v>
      </c>
      <c r="E38" s="23">
        <v>1.5</v>
      </c>
      <c r="F38" s="23">
        <v>1.5</v>
      </c>
      <c r="G38" s="23">
        <v>0.7</v>
      </c>
      <c r="H38" s="23">
        <v>1.1921014789185501E-2</v>
      </c>
      <c r="I38" s="23">
        <f>3*60+53.26</f>
        <v>233.26</v>
      </c>
      <c r="J38" s="168">
        <f>I38/60</f>
        <v>3.8876666666666666</v>
      </c>
      <c r="K38" s="169">
        <v>3.08397015856085E-2</v>
      </c>
      <c r="L38" s="170">
        <v>3.6458765616208701</v>
      </c>
      <c r="M38" s="170">
        <v>1.70152727609385</v>
      </c>
      <c r="N38" s="118">
        <v>9.6469999999999993E-3</v>
      </c>
      <c r="O38" s="118">
        <v>8.5518540000000005</v>
      </c>
      <c r="P38" s="118">
        <v>7.1656500000000003</v>
      </c>
      <c r="Q38" s="118">
        <v>44.150669999999998</v>
      </c>
      <c r="R38" s="118">
        <v>42.528283999999999</v>
      </c>
      <c r="S38" s="118">
        <v>1E-4</v>
      </c>
      <c r="T38" s="170">
        <v>2.5919297287998302</v>
      </c>
      <c r="U38" s="170">
        <v>5.93893356374869</v>
      </c>
      <c r="V38" s="118">
        <v>1.6426339999999999</v>
      </c>
      <c r="W38" s="169">
        <v>0.30809387724799597</v>
      </c>
      <c r="X38" s="171">
        <v>1.69434897734781</v>
      </c>
    </row>
    <row r="39" spans="1:27" x14ac:dyDescent="0.3">
      <c r="A39" s="8" t="s">
        <v>83</v>
      </c>
      <c r="B39" s="192" t="s">
        <v>70</v>
      </c>
      <c r="C39" s="9">
        <v>500</v>
      </c>
      <c r="D39" s="9">
        <v>20</v>
      </c>
      <c r="E39" s="9">
        <v>1.5</v>
      </c>
      <c r="F39" s="9">
        <v>1.5</v>
      </c>
      <c r="G39" s="9">
        <v>0.7</v>
      </c>
      <c r="H39" s="9">
        <v>7.7711676070506804E-3</v>
      </c>
      <c r="I39" s="9">
        <f>60*7+4.7</f>
        <v>424.7</v>
      </c>
      <c r="J39" s="66">
        <f>I39/60</f>
        <v>7.0783333333333331</v>
      </c>
      <c r="K39" s="78">
        <v>4.1532076121817996</v>
      </c>
      <c r="L39" s="78">
        <v>3.3138359099789199</v>
      </c>
      <c r="M39" s="78">
        <v>9.9606330340841804</v>
      </c>
      <c r="N39" s="68">
        <v>9.6469999999999993E-3</v>
      </c>
      <c r="O39" s="68">
        <v>8.5518540000000005</v>
      </c>
      <c r="P39" s="68">
        <v>7.1656500000000003</v>
      </c>
      <c r="Q39" s="68">
        <v>44.150669999999998</v>
      </c>
      <c r="R39" s="68">
        <v>42.528283999999999</v>
      </c>
      <c r="S39" s="68">
        <v>1E-4</v>
      </c>
      <c r="T39" s="67">
        <v>0.60012193353711296</v>
      </c>
      <c r="U39" s="78">
        <v>9.9853204830623596</v>
      </c>
      <c r="V39" s="68">
        <v>1.6426339999999999</v>
      </c>
      <c r="W39" s="67">
        <v>0.49996408742745901</v>
      </c>
      <c r="X39" s="69">
        <v>0.783809988227268</v>
      </c>
    </row>
    <row r="40" spans="1:27" ht="15" thickBot="1" x14ac:dyDescent="0.35">
      <c r="A40" s="15" t="s">
        <v>83</v>
      </c>
      <c r="B40" s="77" t="s">
        <v>70</v>
      </c>
      <c r="C40" s="6">
        <v>500</v>
      </c>
      <c r="D40" s="6">
        <v>25</v>
      </c>
      <c r="E40" s="6">
        <v>1.5</v>
      </c>
      <c r="F40" s="6">
        <v>1.5</v>
      </c>
      <c r="G40" s="6">
        <v>0.7</v>
      </c>
      <c r="H40" s="6">
        <v>3.1862305043810898E-3</v>
      </c>
      <c r="I40" s="6">
        <f>8*60+15.77</f>
        <v>495.77</v>
      </c>
      <c r="J40" s="172">
        <f>I40/60</f>
        <v>8.262833333333333</v>
      </c>
      <c r="K40" s="173">
        <v>4.07703976497482E-2</v>
      </c>
      <c r="L40" s="174">
        <v>2.5734116439194898</v>
      </c>
      <c r="M40" s="174">
        <v>7.5970990315112497</v>
      </c>
      <c r="N40" s="130">
        <v>9.6469999999999993E-3</v>
      </c>
      <c r="O40" s="130">
        <v>8.5518540000000005</v>
      </c>
      <c r="P40" s="130">
        <v>7.1656500000000003</v>
      </c>
      <c r="Q40" s="130">
        <v>44.150669999999998</v>
      </c>
      <c r="R40" s="130">
        <v>42.528283999999999</v>
      </c>
      <c r="S40" s="130">
        <v>1E-4</v>
      </c>
      <c r="T40" s="174">
        <v>2.2740628537826</v>
      </c>
      <c r="U40" s="174">
        <v>8.9849067613867906</v>
      </c>
      <c r="V40" s="130">
        <v>1.6426339999999999</v>
      </c>
      <c r="W40" s="174">
        <v>3.9625859389703901</v>
      </c>
      <c r="X40" s="175">
        <v>0.25923234863237199</v>
      </c>
    </row>
    <row r="42" spans="1:27" x14ac:dyDescent="0.3">
      <c r="A42" s="102" t="s">
        <v>71</v>
      </c>
      <c r="C42" s="107" t="s">
        <v>2</v>
      </c>
      <c r="D42" s="108"/>
      <c r="E42" s="108"/>
      <c r="F42" s="108"/>
      <c r="G42" s="109"/>
      <c r="M42" s="107" t="s">
        <v>51</v>
      </c>
      <c r="N42" s="108"/>
      <c r="O42" s="108"/>
      <c r="P42" s="108"/>
      <c r="Q42" s="108"/>
      <c r="R42" s="108"/>
      <c r="S42" s="108"/>
      <c r="T42" s="108"/>
      <c r="U42" s="108"/>
      <c r="V42" s="108"/>
      <c r="W42" s="108"/>
      <c r="X42" s="108"/>
      <c r="Y42" s="108"/>
      <c r="Z42" s="109"/>
    </row>
    <row r="43" spans="1:27" ht="29.4" thickBot="1" x14ac:dyDescent="0.35">
      <c r="A43" s="177" t="s">
        <v>40</v>
      </c>
      <c r="B43" s="177" t="s">
        <v>45</v>
      </c>
      <c r="C43" s="178" t="s">
        <v>47</v>
      </c>
      <c r="D43" s="178" t="s">
        <v>46</v>
      </c>
      <c r="E43" s="178" t="s">
        <v>48</v>
      </c>
      <c r="F43" s="178" t="s">
        <v>49</v>
      </c>
      <c r="G43" s="178" t="s">
        <v>50</v>
      </c>
      <c r="H43" s="36" t="s">
        <v>73</v>
      </c>
      <c r="I43" s="36" t="s">
        <v>72</v>
      </c>
      <c r="J43" s="178" t="s">
        <v>77</v>
      </c>
      <c r="K43" s="36" t="s">
        <v>6</v>
      </c>
      <c r="L43" s="36" t="s">
        <v>34</v>
      </c>
      <c r="M43" s="179" t="s">
        <v>52</v>
      </c>
      <c r="N43" s="179" t="s">
        <v>53</v>
      </c>
      <c r="O43" s="179" t="s">
        <v>54</v>
      </c>
      <c r="P43" s="180" t="s">
        <v>55</v>
      </c>
      <c r="Q43" s="180" t="s">
        <v>56</v>
      </c>
      <c r="R43" s="180" t="s">
        <v>57</v>
      </c>
      <c r="S43" s="180" t="s">
        <v>58</v>
      </c>
      <c r="T43" s="180" t="s">
        <v>59</v>
      </c>
      <c r="U43" s="180" t="s">
        <v>60</v>
      </c>
      <c r="V43" s="179" t="s">
        <v>61</v>
      </c>
      <c r="W43" s="179" t="s">
        <v>65</v>
      </c>
      <c r="X43" s="181" t="s">
        <v>62</v>
      </c>
      <c r="Y43" s="179" t="s">
        <v>63</v>
      </c>
      <c r="Z43" s="179" t="s">
        <v>64</v>
      </c>
    </row>
    <row r="44" spans="1:27" x14ac:dyDescent="0.3">
      <c r="A44" s="8" t="s">
        <v>78</v>
      </c>
      <c r="B44" s="9" t="s">
        <v>70</v>
      </c>
      <c r="C44" s="9">
        <v>500</v>
      </c>
      <c r="D44" s="9">
        <v>20</v>
      </c>
      <c r="E44" s="9">
        <v>1.5</v>
      </c>
      <c r="F44" s="9">
        <v>1.5</v>
      </c>
      <c r="G44" s="9">
        <v>0.7</v>
      </c>
      <c r="H44" s="9">
        <v>7.3130405761186797E-4</v>
      </c>
      <c r="I44" s="9">
        <v>7.3200580000000004E-4</v>
      </c>
      <c r="J44" s="123">
        <f>I44-H44</f>
        <v>7.0174238813206728E-7</v>
      </c>
      <c r="K44" s="9">
        <f>3*60+57.43</f>
        <v>237.43</v>
      </c>
      <c r="L44" s="182">
        <f t="shared" ref="L44:L53" si="4">K44/60</f>
        <v>3.9571666666666667</v>
      </c>
      <c r="M44" s="9">
        <v>0.71311985409555101</v>
      </c>
      <c r="N44" s="9">
        <v>0.97877756252509795</v>
      </c>
      <c r="O44" s="40">
        <v>1.3865332065107401</v>
      </c>
      <c r="P44" s="68">
        <v>9.6469999999999993E-3</v>
      </c>
      <c r="Q44" s="68">
        <v>8.5518540000000005</v>
      </c>
      <c r="R44" s="68">
        <v>7.1656500000000003</v>
      </c>
      <c r="S44" s="68">
        <v>44.150669999999998</v>
      </c>
      <c r="T44" s="68">
        <v>42.528283999999999</v>
      </c>
      <c r="U44" s="68">
        <v>1E-4</v>
      </c>
      <c r="V44" s="40">
        <v>5.9542007177374403</v>
      </c>
      <c r="W44" s="40">
        <v>1.79638194253926</v>
      </c>
      <c r="X44" s="68">
        <v>1.6426339999999999</v>
      </c>
      <c r="Y44" s="126">
        <v>0.21458009771973999</v>
      </c>
      <c r="Z44" s="183">
        <v>0.59413672634577797</v>
      </c>
      <c r="AA44" t="s">
        <v>75</v>
      </c>
    </row>
    <row r="45" spans="1:27" ht="15" thickBot="1" x14ac:dyDescent="0.35">
      <c r="A45" s="15" t="s">
        <v>79</v>
      </c>
      <c r="B45" s="77" t="s">
        <v>70</v>
      </c>
      <c r="C45" s="6">
        <v>500</v>
      </c>
      <c r="D45" s="77">
        <v>25</v>
      </c>
      <c r="E45" s="6">
        <v>1.5</v>
      </c>
      <c r="F45" s="6">
        <v>1.5</v>
      </c>
      <c r="G45" s="6">
        <v>0.7</v>
      </c>
      <c r="H45" s="77">
        <v>6.3087397942353002E-4</v>
      </c>
      <c r="I45" s="184">
        <v>6.3270030000000003E-4</v>
      </c>
      <c r="J45" s="185">
        <f t="shared" ref="J45:J53" si="5">I45-H45</f>
        <v>1.8263205764700117E-6</v>
      </c>
      <c r="K45" s="77">
        <f>4*60+39.46</f>
        <v>279.45999999999998</v>
      </c>
      <c r="L45" s="186">
        <f t="shared" si="4"/>
        <v>4.6576666666666666</v>
      </c>
      <c r="M45" s="77">
        <v>0.48672783224284399</v>
      </c>
      <c r="N45" s="187">
        <v>3.6571481746471499</v>
      </c>
      <c r="O45" s="188">
        <v>0.634492783081814</v>
      </c>
      <c r="P45" s="88">
        <v>9.6469999999999993E-3</v>
      </c>
      <c r="Q45" s="88">
        <v>8.5518540000000005</v>
      </c>
      <c r="R45" s="88">
        <v>7.1656500000000003</v>
      </c>
      <c r="S45" s="88">
        <v>44.150669999999998</v>
      </c>
      <c r="T45" s="88">
        <v>42.528283999999999</v>
      </c>
      <c r="U45" s="88">
        <v>1E-4</v>
      </c>
      <c r="V45" s="188">
        <v>4.5572075522255302</v>
      </c>
      <c r="W45" s="77">
        <v>0.76824067703459098</v>
      </c>
      <c r="X45" s="88">
        <v>1.6426339999999999</v>
      </c>
      <c r="Y45" s="77">
        <v>0.50370776136467399</v>
      </c>
      <c r="Z45" s="189">
        <v>0.18674851086279001</v>
      </c>
      <c r="AA45" s="176" t="s">
        <v>76</v>
      </c>
    </row>
    <row r="46" spans="1:27" x14ac:dyDescent="0.3">
      <c r="A46" s="8" t="s">
        <v>80</v>
      </c>
      <c r="B46" s="9" t="s">
        <v>70</v>
      </c>
      <c r="C46" s="9">
        <v>500</v>
      </c>
      <c r="D46" s="9">
        <v>20</v>
      </c>
      <c r="E46" s="9">
        <v>1.5</v>
      </c>
      <c r="F46" s="9">
        <v>1.5</v>
      </c>
      <c r="G46" s="9">
        <v>0.7</v>
      </c>
      <c r="H46" s="9">
        <v>1.18379409388758E-3</v>
      </c>
      <c r="I46" s="9">
        <v>1.1842928E-3</v>
      </c>
      <c r="J46" s="123">
        <f t="shared" si="5"/>
        <v>4.9870611242008867E-7</v>
      </c>
      <c r="K46" s="9">
        <f>17*60+34.77</f>
        <v>1054.77</v>
      </c>
      <c r="L46" s="9">
        <f t="shared" si="4"/>
        <v>17.579499999999999</v>
      </c>
      <c r="M46" s="9">
        <v>9.6058530808813505E-2</v>
      </c>
      <c r="N46" s="125">
        <v>1.00355114415525</v>
      </c>
      <c r="O46" s="40">
        <v>1.1892168711854501</v>
      </c>
      <c r="P46" s="68">
        <v>9.6469999999999993E-3</v>
      </c>
      <c r="Q46" s="68">
        <v>8.5518540000000005</v>
      </c>
      <c r="R46" s="68">
        <v>7.1656500000000003</v>
      </c>
      <c r="S46" s="68">
        <v>44.150669999999998</v>
      </c>
      <c r="T46" s="68">
        <v>42.528283999999999</v>
      </c>
      <c r="U46" s="68">
        <v>1E-4</v>
      </c>
      <c r="V46" s="40">
        <v>9.9969037747824796</v>
      </c>
      <c r="W46" s="40">
        <v>9.8338183658809708</v>
      </c>
      <c r="X46" s="68">
        <v>1.6426339999999999</v>
      </c>
      <c r="Y46" s="9">
        <v>0.379470687638299</v>
      </c>
      <c r="Z46" s="183">
        <v>0.431561441158336</v>
      </c>
      <c r="AA46" t="s">
        <v>74</v>
      </c>
    </row>
    <row r="47" spans="1:27" ht="15" thickBot="1" x14ac:dyDescent="0.35">
      <c r="A47" s="15" t="s">
        <v>80</v>
      </c>
      <c r="B47" s="6" t="s">
        <v>70</v>
      </c>
      <c r="C47" s="6">
        <v>500</v>
      </c>
      <c r="D47" s="6">
        <v>25</v>
      </c>
      <c r="E47" s="6">
        <v>1.5</v>
      </c>
      <c r="F47" s="6">
        <v>1.5</v>
      </c>
      <c r="G47" s="6">
        <v>0.7</v>
      </c>
      <c r="H47" s="6"/>
      <c r="I47" s="6"/>
      <c r="J47" s="127">
        <f t="shared" si="5"/>
        <v>0</v>
      </c>
      <c r="K47" s="6"/>
      <c r="L47" s="6">
        <f t="shared" si="4"/>
        <v>0</v>
      </c>
      <c r="M47" s="6"/>
      <c r="N47" s="6"/>
      <c r="O47" s="131"/>
      <c r="P47" s="130">
        <v>9.6469999999999993E-3</v>
      </c>
      <c r="Q47" s="130">
        <v>8.5518540000000005</v>
      </c>
      <c r="R47" s="130">
        <v>7.1656500000000003</v>
      </c>
      <c r="S47" s="130">
        <v>44.150669999999998</v>
      </c>
      <c r="T47" s="130">
        <v>42.528283999999999</v>
      </c>
      <c r="U47" s="130">
        <v>1E-4</v>
      </c>
      <c r="V47" s="6"/>
      <c r="W47" s="6"/>
      <c r="X47" s="130">
        <v>1.6426339999999999</v>
      </c>
      <c r="Y47" s="6"/>
      <c r="Z47" s="150"/>
    </row>
    <row r="48" spans="1:27" x14ac:dyDescent="0.3">
      <c r="A48" s="8" t="s">
        <v>81</v>
      </c>
      <c r="B48" s="192" t="s">
        <v>70</v>
      </c>
      <c r="C48" s="9">
        <v>500</v>
      </c>
      <c r="D48" s="192">
        <v>20</v>
      </c>
      <c r="E48" s="9">
        <v>1.5</v>
      </c>
      <c r="F48" s="9">
        <v>1.5</v>
      </c>
      <c r="G48" s="9">
        <v>0.7</v>
      </c>
      <c r="H48" s="192">
        <v>5.2869056794817596E-4</v>
      </c>
      <c r="I48" s="192">
        <v>5.2928410000000002E-4</v>
      </c>
      <c r="J48" s="193">
        <f t="shared" si="5"/>
        <v>5.9353205182405191E-7</v>
      </c>
      <c r="K48" s="192">
        <f>7*60+44.06</f>
        <v>464.06</v>
      </c>
      <c r="L48" s="194">
        <f t="shared" si="4"/>
        <v>7.7343333333333337</v>
      </c>
      <c r="M48" s="192">
        <v>0.176326055422725</v>
      </c>
      <c r="N48" s="192">
        <v>0.88799887600918403</v>
      </c>
      <c r="O48" s="195">
        <v>7.5416513057680996</v>
      </c>
      <c r="P48" s="196">
        <v>9.6469999999999993E-3</v>
      </c>
      <c r="Q48" s="196">
        <v>8.5518540000000005</v>
      </c>
      <c r="R48" s="196">
        <v>7.1656500000000003</v>
      </c>
      <c r="S48" s="196">
        <v>44.150669999999998</v>
      </c>
      <c r="T48" s="196">
        <v>42.528283999999999</v>
      </c>
      <c r="U48" s="196">
        <v>1E-4</v>
      </c>
      <c r="V48" s="195">
        <v>1.34913658400692</v>
      </c>
      <c r="W48" s="195">
        <v>3.96599331480795</v>
      </c>
      <c r="X48" s="196">
        <v>1.6426339999999999</v>
      </c>
      <c r="Y48" s="192">
        <v>0.141621811801041</v>
      </c>
      <c r="Z48" s="197">
        <v>0.80770986194676198</v>
      </c>
      <c r="AA48" s="176" t="s">
        <v>74</v>
      </c>
    </row>
    <row r="49" spans="1:27" ht="15" thickBot="1" x14ac:dyDescent="0.35">
      <c r="A49" s="15" t="s">
        <v>81</v>
      </c>
      <c r="B49" s="6" t="s">
        <v>70</v>
      </c>
      <c r="C49" s="6">
        <v>500</v>
      </c>
      <c r="D49" s="6">
        <v>25</v>
      </c>
      <c r="E49" s="6">
        <v>1.5</v>
      </c>
      <c r="F49" s="6">
        <v>1.5</v>
      </c>
      <c r="G49" s="6">
        <v>0.7</v>
      </c>
      <c r="H49" s="6">
        <v>5.3039626225131402E-4</v>
      </c>
      <c r="I49" s="6">
        <v>5.3090359999999998E-4</v>
      </c>
      <c r="J49" s="127">
        <f t="shared" si="5"/>
        <v>5.0733774868596659E-7</v>
      </c>
      <c r="K49" s="6">
        <f>9*60+40.34</f>
        <v>580.34</v>
      </c>
      <c r="L49" s="190">
        <f t="shared" si="4"/>
        <v>9.6723333333333343</v>
      </c>
      <c r="M49" s="6">
        <v>0.17718497294877</v>
      </c>
      <c r="N49" s="6">
        <v>0.92223920885894795</v>
      </c>
      <c r="O49" s="131">
        <v>7.0713621413710097</v>
      </c>
      <c r="P49" s="130">
        <v>9.6469999999999993E-3</v>
      </c>
      <c r="Q49" s="130">
        <v>8.5518540000000005</v>
      </c>
      <c r="R49" s="130">
        <v>7.1656500000000003</v>
      </c>
      <c r="S49" s="130">
        <v>44.150669999999998</v>
      </c>
      <c r="T49" s="130">
        <v>42.528283999999999</v>
      </c>
      <c r="U49" s="130">
        <v>1E-4</v>
      </c>
      <c r="V49" s="131">
        <v>1.4303486515279999</v>
      </c>
      <c r="W49" s="131">
        <v>9.7516013582037004</v>
      </c>
      <c r="X49" s="130">
        <v>1.6426339999999999</v>
      </c>
      <c r="Y49" s="6">
        <v>0.154660141680833</v>
      </c>
      <c r="Z49" s="150">
        <v>0.79017303845450004</v>
      </c>
      <c r="AA49" t="s">
        <v>74</v>
      </c>
    </row>
    <row r="50" spans="1:27" x14ac:dyDescent="0.3">
      <c r="A50" s="8" t="s">
        <v>82</v>
      </c>
      <c r="B50" s="9" t="s">
        <v>70</v>
      </c>
      <c r="C50" s="9">
        <v>500</v>
      </c>
      <c r="D50" s="9">
        <v>20</v>
      </c>
      <c r="E50" s="9">
        <v>1.5</v>
      </c>
      <c r="F50" s="9">
        <v>1.5</v>
      </c>
      <c r="G50" s="9">
        <v>0.7</v>
      </c>
      <c r="H50" s="191">
        <v>1.2186779840844099E-2</v>
      </c>
      <c r="I50" s="9">
        <v>1.2267101799999999E-2</v>
      </c>
      <c r="J50" s="123">
        <f t="shared" si="5"/>
        <v>8.0321959155900055E-5</v>
      </c>
      <c r="K50" s="9">
        <f>2*60+50.53</f>
        <v>170.53</v>
      </c>
      <c r="L50" s="182">
        <f t="shared" si="4"/>
        <v>2.8421666666666665</v>
      </c>
      <c r="M50" s="9">
        <v>2.6013227357739199E-2</v>
      </c>
      <c r="N50" s="125">
        <v>3.9447538907017599</v>
      </c>
      <c r="O50" s="40">
        <v>2.3960064769424201</v>
      </c>
      <c r="P50" s="68">
        <v>9.6469999999999993E-3</v>
      </c>
      <c r="Q50" s="68">
        <v>8.5518540000000005</v>
      </c>
      <c r="R50" s="68">
        <v>7.1656500000000003</v>
      </c>
      <c r="S50" s="68">
        <v>44.150669999999998</v>
      </c>
      <c r="T50" s="68">
        <v>42.528283999999999</v>
      </c>
      <c r="U50" s="68">
        <v>1E-4</v>
      </c>
      <c r="V50" s="40">
        <v>1.68095463963179</v>
      </c>
      <c r="W50" s="9">
        <v>0.100021136316761</v>
      </c>
      <c r="X50" s="68">
        <v>1.6426339999999999</v>
      </c>
      <c r="Y50" s="9">
        <v>0.29741864537122398</v>
      </c>
      <c r="Z50" s="183">
        <v>1.75870071592455</v>
      </c>
      <c r="AA50" t="s">
        <v>74</v>
      </c>
    </row>
    <row r="51" spans="1:27" ht="15" thickBot="1" x14ac:dyDescent="0.35">
      <c r="A51" s="15" t="s">
        <v>82</v>
      </c>
      <c r="B51" s="77" t="s">
        <v>70</v>
      </c>
      <c r="C51" s="6">
        <v>500</v>
      </c>
      <c r="D51" s="77">
        <v>25</v>
      </c>
      <c r="E51" s="6">
        <v>1.5</v>
      </c>
      <c r="F51" s="6">
        <v>1.5</v>
      </c>
      <c r="G51" s="6">
        <v>0.7</v>
      </c>
      <c r="H51" s="77">
        <v>1.18414649883664E-2</v>
      </c>
      <c r="I51" s="77">
        <v>1.18467407E-2</v>
      </c>
      <c r="J51" s="185">
        <f t="shared" si="5"/>
        <v>5.2757116336000359E-6</v>
      </c>
      <c r="K51" s="77">
        <f>3*60+29.15</f>
        <v>209.15</v>
      </c>
      <c r="L51" s="186">
        <f t="shared" si="4"/>
        <v>3.4858333333333333</v>
      </c>
      <c r="M51" s="77">
        <v>3.3605784285897403E-2</v>
      </c>
      <c r="N51" s="187">
        <v>2.3946894101176999</v>
      </c>
      <c r="O51" s="188">
        <v>1.7960724825543599</v>
      </c>
      <c r="P51" s="88">
        <v>9.6469999999999993E-3</v>
      </c>
      <c r="Q51" s="88">
        <v>8.5518540000000005</v>
      </c>
      <c r="R51" s="88">
        <v>7.1656500000000003</v>
      </c>
      <c r="S51" s="88">
        <v>44.150669999999998</v>
      </c>
      <c r="T51" s="88">
        <v>42.528283999999999</v>
      </c>
      <c r="U51" s="88">
        <v>1E-4</v>
      </c>
      <c r="V51" s="188">
        <v>3.1568408377157899</v>
      </c>
      <c r="W51" s="188">
        <v>9.5221624650693801</v>
      </c>
      <c r="X51" s="88">
        <v>1.6426339999999999</v>
      </c>
      <c r="Y51" s="77">
        <v>0.22908727669366399</v>
      </c>
      <c r="Z51" s="189">
        <v>2.16891404109316</v>
      </c>
      <c r="AA51" s="176" t="s">
        <v>74</v>
      </c>
    </row>
    <row r="52" spans="1:27" x14ac:dyDescent="0.3">
      <c r="A52" s="8" t="s">
        <v>83</v>
      </c>
      <c r="B52" s="9" t="s">
        <v>70</v>
      </c>
      <c r="C52" s="9">
        <v>500</v>
      </c>
      <c r="D52" s="9">
        <v>20</v>
      </c>
      <c r="E52" s="9">
        <v>1.5</v>
      </c>
      <c r="F52" s="9">
        <v>1.5</v>
      </c>
      <c r="G52" s="9">
        <v>0.7</v>
      </c>
      <c r="H52" s="9">
        <v>4.3715973132067197E-3</v>
      </c>
      <c r="I52" s="191">
        <v>4.3750465000000002E-3</v>
      </c>
      <c r="J52" s="123">
        <f t="shared" si="5"/>
        <v>3.4491867932804829E-6</v>
      </c>
      <c r="K52" s="9">
        <f>4*60+50.31</f>
        <v>290.31</v>
      </c>
      <c r="L52" s="9">
        <f>K52/60</f>
        <v>4.8384999999999998</v>
      </c>
      <c r="M52" s="9">
        <v>3.8416896218145098E-2</v>
      </c>
      <c r="N52" s="125">
        <v>1.83506257887516</v>
      </c>
      <c r="O52" s="40">
        <v>9.7284510170015306</v>
      </c>
      <c r="P52" s="68">
        <v>9.6469999999999993E-3</v>
      </c>
      <c r="Q52" s="68">
        <v>8.5518540000000005</v>
      </c>
      <c r="R52" s="68">
        <v>7.1656500000000003</v>
      </c>
      <c r="S52" s="68">
        <v>44.150669999999998</v>
      </c>
      <c r="T52" s="68">
        <v>42.528283999999999</v>
      </c>
      <c r="U52" s="68">
        <v>1E-4</v>
      </c>
      <c r="V52" s="40">
        <v>1.13543446135009</v>
      </c>
      <c r="W52" s="9">
        <v>0.10023331704901201</v>
      </c>
      <c r="X52" s="68">
        <v>1.6426339999999999</v>
      </c>
      <c r="Y52" s="9">
        <v>0.41009410802541102</v>
      </c>
      <c r="Z52" s="183">
        <v>0.72353345265294899</v>
      </c>
      <c r="AA52" t="s">
        <v>74</v>
      </c>
    </row>
    <row r="53" spans="1:27" ht="15" thickBot="1" x14ac:dyDescent="0.35">
      <c r="A53" s="15" t="s">
        <v>83</v>
      </c>
      <c r="B53" s="77" t="s">
        <v>70</v>
      </c>
      <c r="C53" s="6">
        <v>500</v>
      </c>
      <c r="D53" s="77">
        <v>25</v>
      </c>
      <c r="E53" s="6">
        <v>1.5</v>
      </c>
      <c r="F53" s="6">
        <v>1.5</v>
      </c>
      <c r="G53" s="6">
        <v>0.7</v>
      </c>
      <c r="H53" s="77">
        <v>2.0817824594437902E-3</v>
      </c>
      <c r="I53" s="77">
        <v>2.1050231000000002E-3</v>
      </c>
      <c r="J53" s="185">
        <f t="shared" si="5"/>
        <v>2.3240640556209963E-5</v>
      </c>
      <c r="K53" s="77">
        <f>60*6+38.02</f>
        <v>398.02</v>
      </c>
      <c r="L53" s="186">
        <f t="shared" si="4"/>
        <v>6.6336666666666666</v>
      </c>
      <c r="M53" s="184">
        <v>7.0883156158820002E-2</v>
      </c>
      <c r="N53" s="187">
        <v>1.3884046304384801</v>
      </c>
      <c r="O53" s="198">
        <v>0.66052612892409401</v>
      </c>
      <c r="P53" s="88">
        <v>9.6469999999999993E-3</v>
      </c>
      <c r="Q53" s="88">
        <v>8.5518540000000005</v>
      </c>
      <c r="R53" s="88">
        <v>7.1656500000000003</v>
      </c>
      <c r="S53" s="88">
        <v>44.150669999999998</v>
      </c>
      <c r="T53" s="88">
        <v>42.528283999999999</v>
      </c>
      <c r="U53" s="88">
        <v>1E-4</v>
      </c>
      <c r="V53" s="188">
        <v>9.9999946114827694</v>
      </c>
      <c r="W53" s="77">
        <v>0.10002807809142999</v>
      </c>
      <c r="X53" s="88">
        <v>1.6426339999999999</v>
      </c>
      <c r="Y53" s="198">
        <v>0.501431897649114</v>
      </c>
      <c r="Z53" s="199">
        <v>2.8485587129522201</v>
      </c>
      <c r="AA53" s="176" t="s">
        <v>74</v>
      </c>
    </row>
    <row r="54" spans="1:27" x14ac:dyDescent="0.3">
      <c r="J54" s="202">
        <f>J53/H53</f>
        <v>1.1163818030448478E-2</v>
      </c>
    </row>
    <row r="55" spans="1:27" x14ac:dyDescent="0.3">
      <c r="H55" s="111"/>
    </row>
    <row r="56" spans="1:27" x14ac:dyDescent="0.3">
      <c r="A56" s="200" t="s">
        <v>89</v>
      </c>
    </row>
    <row r="57" spans="1:27" ht="28.8" x14ac:dyDescent="0.3">
      <c r="A57" s="103" t="s">
        <v>40</v>
      </c>
      <c r="B57" s="103" t="s">
        <v>45</v>
      </c>
      <c r="C57" s="63" t="s">
        <v>47</v>
      </c>
      <c r="D57" s="63" t="s">
        <v>46</v>
      </c>
      <c r="E57" s="63" t="s">
        <v>48</v>
      </c>
      <c r="F57" s="63" t="s">
        <v>49</v>
      </c>
      <c r="G57" s="63" t="s">
        <v>50</v>
      </c>
      <c r="H57" s="62" t="s">
        <v>73</v>
      </c>
      <c r="I57" s="62" t="s">
        <v>72</v>
      </c>
      <c r="J57" s="63" t="s">
        <v>77</v>
      </c>
      <c r="K57" s="62" t="s">
        <v>6</v>
      </c>
      <c r="L57" s="62" t="s">
        <v>34</v>
      </c>
      <c r="M57" s="104" t="s">
        <v>52</v>
      </c>
      <c r="N57" s="104" t="s">
        <v>53</v>
      </c>
      <c r="O57" s="104" t="s">
        <v>54</v>
      </c>
      <c r="P57" s="105" t="s">
        <v>55</v>
      </c>
      <c r="Q57" s="105" t="s">
        <v>56</v>
      </c>
      <c r="R57" s="105" t="s">
        <v>57</v>
      </c>
      <c r="S57" s="105" t="s">
        <v>58</v>
      </c>
      <c r="T57" s="105" t="s">
        <v>59</v>
      </c>
      <c r="U57" s="105" t="s">
        <v>60</v>
      </c>
      <c r="V57" s="104" t="s">
        <v>61</v>
      </c>
      <c r="W57" s="104" t="s">
        <v>65</v>
      </c>
      <c r="X57" s="106" t="s">
        <v>62</v>
      </c>
      <c r="Y57" s="104" t="s">
        <v>63</v>
      </c>
      <c r="Z57" s="104" t="s">
        <v>64</v>
      </c>
    </row>
    <row r="58" spans="1:27" x14ac:dyDescent="0.3">
      <c r="A58" s="2" t="s">
        <v>84</v>
      </c>
      <c r="B58" s="2" t="s">
        <v>70</v>
      </c>
      <c r="C58" s="2">
        <v>150</v>
      </c>
      <c r="D58" s="2">
        <v>25</v>
      </c>
      <c r="E58" s="2">
        <v>1.5</v>
      </c>
      <c r="F58" s="2">
        <v>1.5</v>
      </c>
      <c r="G58" s="2">
        <v>0.7</v>
      </c>
      <c r="H58" s="2">
        <v>4.87329077088842E-2</v>
      </c>
      <c r="I58" s="2">
        <v>4.9039682699999997E-2</v>
      </c>
      <c r="J58" s="112">
        <f>I58-H58</f>
        <v>3.0677499111579631E-4</v>
      </c>
      <c r="K58" s="2">
        <f>6*60+0.2</f>
        <v>360.2</v>
      </c>
      <c r="L58" s="58">
        <f>K58/60</f>
        <v>6.003333333333333</v>
      </c>
      <c r="M58" s="2">
        <v>0.980798586830258</v>
      </c>
      <c r="N58" s="2">
        <v>2.5966634102193902E-2</v>
      </c>
      <c r="O58" s="110">
        <v>3.3097402849131501</v>
      </c>
      <c r="P58" s="64">
        <v>9.6469999999999993E-3</v>
      </c>
      <c r="Q58" s="64">
        <v>8.5518540000000005</v>
      </c>
      <c r="R58" s="64">
        <v>7.1656500000000003</v>
      </c>
      <c r="S58" s="64">
        <v>44.150669999999998</v>
      </c>
      <c r="T58" s="64">
        <v>42.528283999999999</v>
      </c>
      <c r="U58" s="64">
        <v>1E-4</v>
      </c>
      <c r="V58" s="28">
        <v>9.7387331519789306</v>
      </c>
      <c r="W58" s="101">
        <v>0.100047490541616</v>
      </c>
      <c r="X58" s="64">
        <v>1.6426339999999999</v>
      </c>
      <c r="Y58" s="101">
        <v>0.10000059727015199</v>
      </c>
      <c r="Z58" s="2">
        <v>0.60281221326777501</v>
      </c>
      <c r="AA58" t="s">
        <v>85</v>
      </c>
    </row>
    <row r="59" spans="1:27" x14ac:dyDescent="0.3">
      <c r="A59" s="2" t="s">
        <v>84</v>
      </c>
      <c r="B59" s="2" t="s">
        <v>70</v>
      </c>
      <c r="C59" s="2">
        <v>150</v>
      </c>
      <c r="D59" s="2">
        <v>30</v>
      </c>
      <c r="E59" s="2">
        <v>1.5</v>
      </c>
      <c r="F59" s="2">
        <v>1.5</v>
      </c>
      <c r="G59" s="2">
        <v>0.7</v>
      </c>
      <c r="H59" s="2">
        <v>4.86321476193372E-2</v>
      </c>
      <c r="I59" s="2">
        <v>4.8650623400000002E-2</v>
      </c>
      <c r="J59" s="112">
        <f>I59-H59</f>
        <v>1.8475780662802199E-5</v>
      </c>
      <c r="K59" s="2">
        <f>6*60+57.2</f>
        <v>417.2</v>
      </c>
      <c r="L59" s="58">
        <f>K59/60</f>
        <v>6.9533333333333331</v>
      </c>
      <c r="M59" s="2">
        <v>0.99967153784110796</v>
      </c>
      <c r="N59" s="2">
        <v>2.36479550493932E-2</v>
      </c>
      <c r="O59" s="110">
        <v>3.32329813728738</v>
      </c>
      <c r="P59" s="64">
        <v>9.6469999999999993E-3</v>
      </c>
      <c r="Q59" s="64">
        <v>8.5518540000000005</v>
      </c>
      <c r="R59" s="64">
        <v>7.1656500000000003</v>
      </c>
      <c r="S59" s="64">
        <v>44.150669999999998</v>
      </c>
      <c r="T59" s="64">
        <v>42.528283999999999</v>
      </c>
      <c r="U59" s="64">
        <v>1E-4</v>
      </c>
      <c r="V59" s="28">
        <v>9.9838490599421696</v>
      </c>
      <c r="W59" s="101">
        <v>0.1</v>
      </c>
      <c r="X59" s="64">
        <v>1.6426339999999999</v>
      </c>
      <c r="Y59" s="101">
        <v>0.100000000025409</v>
      </c>
      <c r="Z59" s="2">
        <v>0.60407616941624798</v>
      </c>
      <c r="AA59" t="s">
        <v>86</v>
      </c>
    </row>
    <row r="60" spans="1:27" x14ac:dyDescent="0.3">
      <c r="A60" s="2" t="s">
        <v>84</v>
      </c>
      <c r="B60" s="2" t="s">
        <v>70</v>
      </c>
      <c r="C60" s="2">
        <v>150</v>
      </c>
      <c r="D60" s="2">
        <v>35</v>
      </c>
      <c r="E60" s="2">
        <v>1.5</v>
      </c>
      <c r="F60" s="2">
        <v>1.5</v>
      </c>
      <c r="G60" s="2">
        <v>0.7</v>
      </c>
      <c r="H60" s="2">
        <v>4.8568963691057801E-2</v>
      </c>
      <c r="I60" s="2">
        <v>4.8701657900000001E-2</v>
      </c>
      <c r="J60" s="112">
        <f>I60-H60</f>
        <v>1.3269420894219952E-4</v>
      </c>
      <c r="K60" s="2">
        <f>23*60+39.85</f>
        <v>1419.85</v>
      </c>
      <c r="L60" s="58">
        <f>K60/60</f>
        <v>23.664166666666667</v>
      </c>
      <c r="M60" s="2">
        <v>0.57793646837170898</v>
      </c>
      <c r="N60" s="65">
        <v>2.32336495165886E-2</v>
      </c>
      <c r="O60" s="110">
        <v>3.6262574625547099</v>
      </c>
      <c r="P60" s="64">
        <v>9.6469999999999993E-3</v>
      </c>
      <c r="Q60" s="64">
        <v>8.5518540000000005</v>
      </c>
      <c r="R60" s="64">
        <v>7.1656500000000003</v>
      </c>
      <c r="S60" s="64">
        <v>44.150669999999998</v>
      </c>
      <c r="T60" s="64">
        <v>42.528283999999999</v>
      </c>
      <c r="U60" s="64">
        <v>1E-4</v>
      </c>
      <c r="V60" s="28">
        <v>9.99948428627056</v>
      </c>
      <c r="W60" s="101">
        <v>0.100437568664921</v>
      </c>
      <c r="X60" s="64">
        <v>1.6426339999999999</v>
      </c>
      <c r="Y60" s="101">
        <v>0.100008054025823</v>
      </c>
      <c r="Z60" s="101">
        <v>0.60548500013348405</v>
      </c>
      <c r="AA60" t="s">
        <v>87</v>
      </c>
    </row>
    <row r="61" spans="1:27" x14ac:dyDescent="0.3">
      <c r="A61" s="2" t="s">
        <v>84</v>
      </c>
      <c r="B61" s="2" t="s">
        <v>70</v>
      </c>
      <c r="C61" s="2">
        <v>200</v>
      </c>
      <c r="D61" s="2">
        <v>25</v>
      </c>
      <c r="E61" s="2">
        <v>1.5</v>
      </c>
      <c r="F61" s="2">
        <v>1.5</v>
      </c>
      <c r="G61" s="2">
        <v>0.7</v>
      </c>
      <c r="H61" s="2">
        <v>4.87329077088842E-2</v>
      </c>
      <c r="I61" s="2">
        <v>4.9039682699999997E-2</v>
      </c>
      <c r="J61" s="112">
        <f>I61-H61</f>
        <v>3.0677499111579631E-4</v>
      </c>
      <c r="K61" s="2">
        <f>6*60+2.35</f>
        <v>362.35</v>
      </c>
      <c r="L61" s="58">
        <f>K61/60</f>
        <v>6.0391666666666675</v>
      </c>
      <c r="M61" s="2">
        <v>0.980798586830258</v>
      </c>
      <c r="N61" s="2">
        <v>2.5966634102193902E-2</v>
      </c>
      <c r="O61" s="110">
        <v>3.3097402849131501</v>
      </c>
      <c r="P61" s="64">
        <v>9.6469999999999993E-3</v>
      </c>
      <c r="Q61" s="64">
        <v>8.5518540000000005</v>
      </c>
      <c r="R61" s="64">
        <v>7.1656500000000003</v>
      </c>
      <c r="S61" s="64">
        <v>44.150669999999998</v>
      </c>
      <c r="T61" s="64">
        <v>42.528283999999999</v>
      </c>
      <c r="U61" s="64">
        <v>1E-4</v>
      </c>
      <c r="V61" s="28">
        <v>9.7387331519789306</v>
      </c>
      <c r="W61" s="28">
        <v>0.100047490541616</v>
      </c>
      <c r="X61" s="64">
        <v>1.6426339999999999</v>
      </c>
      <c r="Y61" s="101">
        <v>0.10000059727015199</v>
      </c>
      <c r="Z61" s="2">
        <v>0.60281221326777501</v>
      </c>
      <c r="AA61" t="s">
        <v>88</v>
      </c>
    </row>
    <row r="62" spans="1:27" x14ac:dyDescent="0.3">
      <c r="A62" s="2"/>
      <c r="B62" s="2"/>
      <c r="C62" s="2"/>
      <c r="D62" s="2"/>
      <c r="E62" s="2"/>
      <c r="F62" s="2"/>
      <c r="G62" s="2"/>
      <c r="H62" s="2"/>
      <c r="I62" s="2"/>
      <c r="J62" s="112"/>
      <c r="K62" s="2"/>
      <c r="L62" s="58"/>
      <c r="M62" s="2"/>
      <c r="N62" s="2"/>
      <c r="O62" s="28"/>
      <c r="P62" s="64"/>
      <c r="Q62" s="64"/>
      <c r="R62" s="64"/>
      <c r="S62" s="64"/>
      <c r="T62" s="64"/>
      <c r="U62" s="64"/>
      <c r="V62" s="28"/>
      <c r="W62" s="101"/>
      <c r="X62" s="64"/>
      <c r="Y62" s="101"/>
      <c r="Z62" s="2"/>
    </row>
    <row r="63" spans="1:27" ht="15" thickBot="1" x14ac:dyDescent="0.35">
      <c r="A63" s="102" t="s">
        <v>99</v>
      </c>
      <c r="J63" s="122"/>
      <c r="L63" s="113"/>
      <c r="N63" s="119"/>
      <c r="O63" s="114"/>
      <c r="P63" s="115"/>
      <c r="Q63" s="115"/>
      <c r="R63" s="115"/>
      <c r="S63" s="115"/>
      <c r="T63" s="115"/>
      <c r="U63" s="115"/>
      <c r="V63" s="114"/>
      <c r="W63" s="120"/>
      <c r="X63" s="115"/>
      <c r="Y63" s="120"/>
      <c r="Z63" s="120"/>
    </row>
    <row r="64" spans="1:27" x14ac:dyDescent="0.3">
      <c r="A64" s="8" t="s">
        <v>84</v>
      </c>
      <c r="B64" s="9" t="s">
        <v>70</v>
      </c>
      <c r="C64" s="9">
        <v>150</v>
      </c>
      <c r="D64" s="9">
        <v>25</v>
      </c>
      <c r="E64" s="9">
        <v>1.5</v>
      </c>
      <c r="F64" s="9">
        <v>1.5</v>
      </c>
      <c r="G64" s="9">
        <v>0.7</v>
      </c>
      <c r="H64" s="9">
        <v>4.9757388485222799E-2</v>
      </c>
      <c r="I64" s="9">
        <v>5.0519913899999998E-2</v>
      </c>
      <c r="J64" s="123">
        <f t="shared" ref="J64:J72" si="6">I64-H64</f>
        <v>7.6252541477719871E-4</v>
      </c>
      <c r="K64" s="9">
        <f>4*60+14.21</f>
        <v>254.21</v>
      </c>
      <c r="L64" s="124">
        <f>K64/60</f>
        <v>4.2368333333333332</v>
      </c>
      <c r="M64" s="9">
        <v>0.98314572261796096</v>
      </c>
      <c r="N64" s="9">
        <v>3.5024445824980002E-2</v>
      </c>
      <c r="O64" s="125">
        <v>3.5881302712263499</v>
      </c>
      <c r="P64" s="68">
        <v>9.6469999999999993E-3</v>
      </c>
      <c r="Q64" s="68">
        <v>8.5518540000000005</v>
      </c>
      <c r="R64" s="68">
        <v>7.1656500000000003</v>
      </c>
      <c r="S64" s="68">
        <v>44.150669999999998</v>
      </c>
      <c r="T64" s="68">
        <v>42.528283999999999</v>
      </c>
      <c r="U64" s="68">
        <v>1E-4</v>
      </c>
      <c r="V64" s="40">
        <v>8.6721493153566307</v>
      </c>
      <c r="W64" s="126">
        <v>0.10417503558309101</v>
      </c>
      <c r="X64" s="68">
        <v>1.6426339999999999</v>
      </c>
      <c r="Y64" s="126">
        <v>0.10000057313923</v>
      </c>
      <c r="Z64" s="11">
        <v>0.58865145685569398</v>
      </c>
    </row>
    <row r="65" spans="1:40" ht="15" thickBot="1" x14ac:dyDescent="0.35">
      <c r="A65" s="15" t="s">
        <v>84</v>
      </c>
      <c r="B65" s="6" t="s">
        <v>70</v>
      </c>
      <c r="C65" s="6">
        <v>500</v>
      </c>
      <c r="D65" s="6">
        <v>30</v>
      </c>
      <c r="E65" s="6">
        <v>1.5</v>
      </c>
      <c r="F65" s="6">
        <v>1.5</v>
      </c>
      <c r="G65" s="6">
        <v>0.7</v>
      </c>
      <c r="H65" s="6">
        <v>4.86096776282368E-2</v>
      </c>
      <c r="I65" s="6">
        <v>4.8625886399999999E-2</v>
      </c>
      <c r="J65" s="127">
        <f t="shared" si="6"/>
        <v>1.6208771763198682E-5</v>
      </c>
      <c r="K65" s="6">
        <f>27*60+29.55</f>
        <v>1649.55</v>
      </c>
      <c r="L65" s="128">
        <f>K65/60</f>
        <v>27.4925</v>
      </c>
      <c r="M65" s="6">
        <v>0.99957234777708304</v>
      </c>
      <c r="N65" s="6">
        <v>2.3163766991902202E-2</v>
      </c>
      <c r="O65" s="129">
        <v>3.29923635610551</v>
      </c>
      <c r="P65" s="130">
        <v>9.6469999999999993E-3</v>
      </c>
      <c r="Q65" s="130">
        <v>8.5518540000000005</v>
      </c>
      <c r="R65" s="130">
        <v>7.1656500000000003</v>
      </c>
      <c r="S65" s="130">
        <v>44.150669999999998</v>
      </c>
      <c r="T65" s="130">
        <v>42.528283999999999</v>
      </c>
      <c r="U65" s="130">
        <v>1E-4</v>
      </c>
      <c r="V65" s="131">
        <v>9.9972663447445704</v>
      </c>
      <c r="W65" s="132">
        <v>0.100000000090539</v>
      </c>
      <c r="X65" s="130">
        <v>1.6426339999999999</v>
      </c>
      <c r="Y65" s="132">
        <v>0.100000006250139</v>
      </c>
      <c r="Z65" s="27">
        <v>0.60441501530156505</v>
      </c>
      <c r="AA65" t="s">
        <v>90</v>
      </c>
    </row>
    <row r="66" spans="1:40" x14ac:dyDescent="0.3">
      <c r="A66" s="133" t="s">
        <v>91</v>
      </c>
      <c r="B66" s="9" t="s">
        <v>70</v>
      </c>
      <c r="C66" s="134">
        <v>250</v>
      </c>
      <c r="D66" s="135">
        <v>25</v>
      </c>
      <c r="E66" s="135">
        <v>1.5</v>
      </c>
      <c r="F66" s="135">
        <v>1.5</v>
      </c>
      <c r="G66" s="135">
        <v>0.7</v>
      </c>
      <c r="H66" s="136">
        <v>1.0941606788290301E-2</v>
      </c>
      <c r="I66" s="137">
        <v>1.09464625E-2</v>
      </c>
      <c r="J66" s="138">
        <f t="shared" si="6"/>
        <v>4.8557117096996449E-6</v>
      </c>
      <c r="K66" s="139">
        <f>8*60+29.23</f>
        <v>509.23</v>
      </c>
      <c r="L66" s="124">
        <f t="shared" ref="L66:L73" si="7">K66/60</f>
        <v>8.487166666666667</v>
      </c>
      <c r="M66" s="140">
        <v>0.126723869822745</v>
      </c>
      <c r="N66" s="140">
        <v>0.56581090043080495</v>
      </c>
      <c r="O66" s="140">
        <v>4.2486742164571396</v>
      </c>
      <c r="P66" s="141">
        <v>9.6469999999999993E-3</v>
      </c>
      <c r="Q66" s="141">
        <v>8.5518540000000005</v>
      </c>
      <c r="R66" s="141">
        <v>7.1656500000000003</v>
      </c>
      <c r="S66" s="141">
        <v>44.150669999999998</v>
      </c>
      <c r="T66" s="141">
        <v>42.528283999999999</v>
      </c>
      <c r="U66" s="141">
        <v>1E-4</v>
      </c>
      <c r="V66" s="142">
        <v>4.7263917738272099</v>
      </c>
      <c r="W66" s="142">
        <v>7.5649822186646096</v>
      </c>
      <c r="X66" s="141">
        <v>1.6426339999999999</v>
      </c>
      <c r="Y66" s="143">
        <v>0.50138242666149901</v>
      </c>
      <c r="Z66" s="144">
        <v>0.55498187269851296</v>
      </c>
      <c r="AA66" t="s">
        <v>93</v>
      </c>
    </row>
    <row r="67" spans="1:40" x14ac:dyDescent="0.3">
      <c r="A67" s="145" t="s">
        <v>91</v>
      </c>
      <c r="B67" s="2" t="s">
        <v>70</v>
      </c>
      <c r="C67" s="2">
        <v>150</v>
      </c>
      <c r="D67" s="2">
        <v>30</v>
      </c>
      <c r="E67" s="121">
        <v>1.5</v>
      </c>
      <c r="F67" s="121">
        <v>1.5</v>
      </c>
      <c r="G67" s="121">
        <v>0.7</v>
      </c>
      <c r="H67" s="2">
        <v>1.2905236356884E-2</v>
      </c>
      <c r="I67" s="65">
        <v>1.37483993E-2</v>
      </c>
      <c r="J67" s="112">
        <f t="shared" si="6"/>
        <v>8.4316294311599996E-4</v>
      </c>
      <c r="K67" s="2">
        <f>5*60+47.86</f>
        <v>347.86</v>
      </c>
      <c r="L67" s="58">
        <f t="shared" si="7"/>
        <v>5.7976666666666672</v>
      </c>
      <c r="M67" s="2">
        <v>0.82589326391643003</v>
      </c>
      <c r="N67" s="2">
        <v>0.95259869612654302</v>
      </c>
      <c r="O67" s="110">
        <v>2.1213786816560201</v>
      </c>
      <c r="P67" s="64">
        <v>9.6469999999999993E-3</v>
      </c>
      <c r="Q67" s="64">
        <v>8.5518540000000005</v>
      </c>
      <c r="R67" s="64">
        <v>7.1656500000000003</v>
      </c>
      <c r="S67" s="64">
        <v>44.150669999999998</v>
      </c>
      <c r="T67" s="64">
        <v>42.528283999999999</v>
      </c>
      <c r="U67" s="64">
        <v>1E-4</v>
      </c>
      <c r="V67" s="28">
        <v>4.1214747066825801</v>
      </c>
      <c r="W67" s="28">
        <v>4.1732846064020102</v>
      </c>
      <c r="X67" s="64">
        <v>1.6426339999999999</v>
      </c>
      <c r="Y67" s="101">
        <v>0.80892296863891699</v>
      </c>
      <c r="Z67" s="146">
        <v>0.38249640430177301</v>
      </c>
    </row>
    <row r="68" spans="1:40" x14ac:dyDescent="0.3">
      <c r="A68" s="145" t="s">
        <v>91</v>
      </c>
      <c r="B68" s="2" t="s">
        <v>70</v>
      </c>
      <c r="C68" s="2">
        <v>150</v>
      </c>
      <c r="D68" s="2">
        <v>35</v>
      </c>
      <c r="E68" s="121">
        <v>1.5</v>
      </c>
      <c r="F68" s="121">
        <v>1.5</v>
      </c>
      <c r="G68" s="121">
        <v>0.7</v>
      </c>
      <c r="H68" s="2">
        <v>1.21853633187935E-2</v>
      </c>
      <c r="I68" s="65">
        <v>1.2915101E-2</v>
      </c>
      <c r="J68" s="112">
        <f t="shared" si="6"/>
        <v>7.2973768120650033E-4</v>
      </c>
      <c r="K68" s="2">
        <f>11*60+52.95</f>
        <v>712.95</v>
      </c>
      <c r="L68" s="58">
        <f t="shared" si="7"/>
        <v>11.8825</v>
      </c>
      <c r="M68" s="2">
        <v>9.7779336059749103E-2</v>
      </c>
      <c r="N68" s="110">
        <v>3.3964046283862701</v>
      </c>
      <c r="O68" s="110">
        <v>3.1986257418816502</v>
      </c>
      <c r="P68" s="64">
        <v>9.6469999999999993E-3</v>
      </c>
      <c r="Q68" s="64">
        <v>8.5518540000000005</v>
      </c>
      <c r="R68" s="64">
        <v>7.1656500000000003</v>
      </c>
      <c r="S68" s="64">
        <v>44.150669999999998</v>
      </c>
      <c r="T68" s="64">
        <v>42.528283999999999</v>
      </c>
      <c r="U68" s="64">
        <v>1E-4</v>
      </c>
      <c r="V68" s="28">
        <v>1.66983879407937</v>
      </c>
      <c r="W68" s="101">
        <v>0.50862819996643305</v>
      </c>
      <c r="X68" s="64">
        <v>1.6426339999999999</v>
      </c>
      <c r="Y68" s="28">
        <v>1.12416317388138</v>
      </c>
      <c r="Z68" s="13">
        <v>0.20831858587111801</v>
      </c>
      <c r="AA68" t="s">
        <v>93</v>
      </c>
    </row>
    <row r="69" spans="1:40" ht="15" thickBot="1" x14ac:dyDescent="0.35">
      <c r="A69" s="147" t="s">
        <v>91</v>
      </c>
      <c r="B69" s="6" t="s">
        <v>70</v>
      </c>
      <c r="C69" s="6">
        <v>250</v>
      </c>
      <c r="D69" s="6">
        <v>35</v>
      </c>
      <c r="E69" s="148">
        <v>1.5</v>
      </c>
      <c r="F69" s="148">
        <v>1.5</v>
      </c>
      <c r="G69" s="148">
        <v>0.7</v>
      </c>
      <c r="H69" s="6">
        <v>1.18050139807695E-2</v>
      </c>
      <c r="I69" s="149">
        <v>1.21137704E-2</v>
      </c>
      <c r="J69" s="127">
        <f t="shared" si="6"/>
        <v>3.0875641923049958E-4</v>
      </c>
      <c r="K69" s="6">
        <f>17*60+11.69</f>
        <v>1031.69</v>
      </c>
      <c r="L69" s="128">
        <f t="shared" si="7"/>
        <v>17.194833333333335</v>
      </c>
      <c r="M69" s="6">
        <v>9.9115669438360907E-2</v>
      </c>
      <c r="N69" s="129">
        <v>3.3509508682909699</v>
      </c>
      <c r="O69" s="129">
        <v>2.7170038326028298</v>
      </c>
      <c r="P69" s="130">
        <v>9.6469999999999993E-3</v>
      </c>
      <c r="Q69" s="130">
        <v>8.5518540000000005</v>
      </c>
      <c r="R69" s="130">
        <v>7.1656500000000003</v>
      </c>
      <c r="S69" s="130">
        <v>44.150669999999998</v>
      </c>
      <c r="T69" s="130">
        <v>42.528283999999999</v>
      </c>
      <c r="U69" s="130">
        <v>1E-4</v>
      </c>
      <c r="V69" s="131">
        <v>1.7661755977768401</v>
      </c>
      <c r="W69" s="132">
        <v>0.10134125565490699</v>
      </c>
      <c r="X69" s="130">
        <v>1.6426339999999999</v>
      </c>
      <c r="Y69" s="131">
        <v>1.16110597738818</v>
      </c>
      <c r="Z69" s="150">
        <v>0.19150649645641199</v>
      </c>
      <c r="AA69" t="s">
        <v>92</v>
      </c>
    </row>
    <row r="70" spans="1:40" x14ac:dyDescent="0.3">
      <c r="A70" s="133" t="s">
        <v>94</v>
      </c>
      <c r="B70" s="9" t="s">
        <v>70</v>
      </c>
      <c r="C70" s="9">
        <v>250</v>
      </c>
      <c r="D70" s="151">
        <v>25</v>
      </c>
      <c r="E70" s="135">
        <v>1.5</v>
      </c>
      <c r="F70" s="135">
        <v>1.5</v>
      </c>
      <c r="G70" s="135">
        <v>0.7</v>
      </c>
      <c r="H70" s="151">
        <v>7.4612788357881404E-2</v>
      </c>
      <c r="I70" s="151">
        <v>7.4860219899999997E-2</v>
      </c>
      <c r="J70" s="138">
        <f t="shared" si="6"/>
        <v>2.4743154211859242E-4</v>
      </c>
      <c r="K70" s="9">
        <f>9*60+36.47</f>
        <v>576.47</v>
      </c>
      <c r="L70" s="124">
        <f t="shared" si="7"/>
        <v>9.6078333333333337</v>
      </c>
      <c r="M70" s="151">
        <v>0.423548778938587</v>
      </c>
      <c r="N70" s="152">
        <v>2.3727812719179702</v>
      </c>
      <c r="O70" s="152">
        <v>3.3329323384786802</v>
      </c>
      <c r="P70" s="141">
        <v>9.6469999999999993E-3</v>
      </c>
      <c r="Q70" s="141">
        <v>8.5518540000000005</v>
      </c>
      <c r="R70" s="141">
        <v>7.1656500000000003</v>
      </c>
      <c r="S70" s="141">
        <v>44.150669999999998</v>
      </c>
      <c r="T70" s="141">
        <v>42.528283999999999</v>
      </c>
      <c r="U70" s="141">
        <v>1E-4</v>
      </c>
      <c r="V70" s="153">
        <v>2.01815840525181</v>
      </c>
      <c r="W70" s="153">
        <v>8.3155894734089202</v>
      </c>
      <c r="X70" s="141">
        <v>1.6426339999999999</v>
      </c>
      <c r="Y70" s="151">
        <v>0.35775413390197602</v>
      </c>
      <c r="Z70" s="154">
        <v>0.74978469044798102</v>
      </c>
    </row>
    <row r="71" spans="1:40" x14ac:dyDescent="0.3">
      <c r="A71" s="145" t="s">
        <v>94</v>
      </c>
      <c r="B71" s="2" t="s">
        <v>70</v>
      </c>
      <c r="C71" s="2">
        <v>250</v>
      </c>
      <c r="D71" s="2">
        <v>35</v>
      </c>
      <c r="E71" s="121">
        <v>1.5</v>
      </c>
      <c r="F71" s="121">
        <v>1.5</v>
      </c>
      <c r="G71" s="121">
        <v>0.7</v>
      </c>
      <c r="H71" s="2">
        <v>6.38930240763248E-2</v>
      </c>
      <c r="I71" s="2">
        <v>6.3973061600000006E-2</v>
      </c>
      <c r="J71" s="112">
        <f t="shared" si="6"/>
        <v>8.0037523675205446E-5</v>
      </c>
      <c r="K71" s="2">
        <f>18*60+5.81</f>
        <v>1085.81</v>
      </c>
      <c r="L71" s="58">
        <f t="shared" si="7"/>
        <v>18.096833333333333</v>
      </c>
      <c r="M71" s="2">
        <v>0.67415177171217799</v>
      </c>
      <c r="N71" s="110">
        <v>4.2053855062792502</v>
      </c>
      <c r="O71" s="110">
        <v>4.4342133510960497</v>
      </c>
      <c r="P71" s="64">
        <v>9.6469999999999993E-3</v>
      </c>
      <c r="Q71" s="64">
        <v>8.5518540000000005</v>
      </c>
      <c r="R71" s="64">
        <v>7.1656500000000003</v>
      </c>
      <c r="S71" s="64">
        <v>44.150669999999998</v>
      </c>
      <c r="T71" s="64">
        <v>42.528283999999999</v>
      </c>
      <c r="U71" s="64">
        <v>1E-4</v>
      </c>
      <c r="V71" s="28">
        <v>1.23078480384748</v>
      </c>
      <c r="W71" s="101">
        <v>0.86256510577217005</v>
      </c>
      <c r="X71" s="64">
        <v>1.6426339999999999</v>
      </c>
      <c r="Y71" s="28">
        <v>1.30960908901402</v>
      </c>
      <c r="Z71" s="13">
        <v>0.16593010833617799</v>
      </c>
      <c r="AN71" t="s">
        <v>100</v>
      </c>
    </row>
    <row r="72" spans="1:40" x14ac:dyDescent="0.3">
      <c r="A72" s="145" t="s">
        <v>94</v>
      </c>
      <c r="B72" s="2" t="s">
        <v>70</v>
      </c>
      <c r="C72" s="2">
        <v>250</v>
      </c>
      <c r="D72" s="2">
        <v>40</v>
      </c>
      <c r="E72" s="121">
        <v>1.5</v>
      </c>
      <c r="F72" s="121">
        <v>1.5</v>
      </c>
      <c r="G72" s="121">
        <v>0.7</v>
      </c>
      <c r="H72" s="2">
        <v>7.6911180766807793E-2</v>
      </c>
      <c r="I72" s="2">
        <v>7.7052996900000004E-2</v>
      </c>
      <c r="J72" s="112">
        <f t="shared" si="6"/>
        <v>1.418161331922102E-4</v>
      </c>
      <c r="K72" s="2">
        <f>19*60+23.27</f>
        <v>1163.27</v>
      </c>
      <c r="L72" s="58">
        <f t="shared" si="7"/>
        <v>19.387833333333333</v>
      </c>
      <c r="M72" s="2">
        <v>0.32687627504218603</v>
      </c>
      <c r="N72" s="110">
        <v>6.54119491359761</v>
      </c>
      <c r="O72" s="110">
        <v>5.5698525966983699</v>
      </c>
      <c r="P72" s="64">
        <v>9.6469999999999993E-3</v>
      </c>
      <c r="Q72" s="64">
        <v>8.5518540000000005</v>
      </c>
      <c r="R72" s="64">
        <v>7.1656500000000003</v>
      </c>
      <c r="S72" s="64">
        <v>44.150669999999998</v>
      </c>
      <c r="T72" s="64">
        <v>42.528283999999999</v>
      </c>
      <c r="U72" s="64">
        <v>1E-4</v>
      </c>
      <c r="V72" s="2">
        <v>0.68805110713303497</v>
      </c>
      <c r="W72" s="28">
        <v>9.6277961666910894</v>
      </c>
      <c r="X72" s="64">
        <v>1.6426339999999999</v>
      </c>
      <c r="Y72" s="2">
        <v>0.44059372775405897</v>
      </c>
      <c r="Z72" s="146">
        <v>0.59791509872276505</v>
      </c>
    </row>
    <row r="73" spans="1:40" ht="15" thickBot="1" x14ac:dyDescent="0.35">
      <c r="A73" s="155" t="s">
        <v>94</v>
      </c>
      <c r="B73" s="23" t="s">
        <v>70</v>
      </c>
      <c r="C73" s="23">
        <v>500</v>
      </c>
      <c r="D73" s="23">
        <v>25</v>
      </c>
      <c r="E73" s="156">
        <v>1.5</v>
      </c>
      <c r="F73" s="156">
        <v>1.5</v>
      </c>
      <c r="G73" s="156">
        <v>0.7</v>
      </c>
      <c r="H73" s="23">
        <v>7.4498259124675698E-2</v>
      </c>
      <c r="I73" s="23">
        <v>7.4621482700000005E-2</v>
      </c>
      <c r="J73" s="157">
        <f t="shared" ref="J73" si="8">I73-H73</f>
        <v>1.2322357532430772E-4</v>
      </c>
      <c r="K73" s="23">
        <f>20*60+7.7</f>
        <v>1207.7</v>
      </c>
      <c r="L73" s="116">
        <f t="shared" si="7"/>
        <v>20.128333333333334</v>
      </c>
      <c r="M73" s="23">
        <v>0.42365125232315798</v>
      </c>
      <c r="N73" s="158">
        <v>2.3775555493640099</v>
      </c>
      <c r="O73" s="158">
        <v>3.3209558051354802</v>
      </c>
      <c r="P73" s="118">
        <v>9.6469999999999993E-3</v>
      </c>
      <c r="Q73" s="118">
        <v>8.5518540000000005</v>
      </c>
      <c r="R73" s="118">
        <v>7.1656500000000003</v>
      </c>
      <c r="S73" s="118">
        <v>44.150669999999998</v>
      </c>
      <c r="T73" s="118">
        <v>42.528283999999999</v>
      </c>
      <c r="U73" s="118">
        <v>1E-4</v>
      </c>
      <c r="V73" s="117">
        <v>2.0185228382512799</v>
      </c>
      <c r="W73" s="117">
        <v>6.89790512168232</v>
      </c>
      <c r="X73" s="118">
        <v>1.6426339999999999</v>
      </c>
      <c r="Y73" s="23">
        <v>0.35905686145256999</v>
      </c>
      <c r="Z73" s="159">
        <v>0.75388497805615995</v>
      </c>
    </row>
    <row r="74" spans="1:40" x14ac:dyDescent="0.3">
      <c r="A74" s="8" t="s">
        <v>95</v>
      </c>
      <c r="B74" s="9" t="s">
        <v>70</v>
      </c>
      <c r="C74" s="9">
        <v>250</v>
      </c>
      <c r="D74" s="9">
        <v>25</v>
      </c>
      <c r="E74" s="134">
        <v>1.5</v>
      </c>
      <c r="F74" s="134">
        <v>1.5</v>
      </c>
      <c r="G74" s="134">
        <v>0.7</v>
      </c>
      <c r="H74" s="9">
        <v>5.7854404773215601E-2</v>
      </c>
      <c r="I74" s="9">
        <v>6.1498636699999998E-2</v>
      </c>
      <c r="J74" s="123">
        <f>I74-H74</f>
        <v>3.644231926784397E-3</v>
      </c>
      <c r="K74" s="9">
        <f>9*60+52.49</f>
        <v>592.49</v>
      </c>
      <c r="L74" s="124">
        <f>K74/60</f>
        <v>9.8748333333333331</v>
      </c>
      <c r="M74" s="9">
        <v>0.312458764532629</v>
      </c>
      <c r="N74" s="9">
        <v>0.72497855313110005</v>
      </c>
      <c r="O74" s="9">
        <v>0.62330218333472898</v>
      </c>
      <c r="P74" s="68">
        <v>9.6469999999999993E-3</v>
      </c>
      <c r="Q74" s="68">
        <v>8.5518540000000005</v>
      </c>
      <c r="R74" s="68">
        <v>7.1656500000000003</v>
      </c>
      <c r="S74" s="68">
        <v>44.150669999999998</v>
      </c>
      <c r="T74" s="68">
        <v>42.528283999999999</v>
      </c>
      <c r="U74" s="68">
        <v>1E-4</v>
      </c>
      <c r="V74" s="40">
        <v>7.1321761183518104</v>
      </c>
      <c r="W74" s="40">
        <v>4.1648940188610002</v>
      </c>
      <c r="X74" s="68">
        <v>1.6426339999999999</v>
      </c>
      <c r="Y74" s="9">
        <v>0.49248791544667497</v>
      </c>
      <c r="Z74" s="11">
        <v>0.49590975027626899</v>
      </c>
      <c r="AA74" t="s">
        <v>97</v>
      </c>
    </row>
    <row r="75" spans="1:40" x14ac:dyDescent="0.3">
      <c r="A75" s="12" t="s">
        <v>95</v>
      </c>
      <c r="B75" s="2" t="s">
        <v>70</v>
      </c>
      <c r="C75" s="2">
        <v>500</v>
      </c>
      <c r="D75" s="2">
        <v>25</v>
      </c>
      <c r="E75" s="121">
        <v>1.5</v>
      </c>
      <c r="F75" s="121">
        <v>1.5</v>
      </c>
      <c r="G75" s="121">
        <v>0.7</v>
      </c>
      <c r="H75" s="2">
        <v>5.4221252299128803E-2</v>
      </c>
      <c r="I75" s="2">
        <v>5.4333129899999999E-2</v>
      </c>
      <c r="J75" s="112">
        <f>I75-H75</f>
        <v>1.1187760087119636E-4</v>
      </c>
      <c r="K75" s="2">
        <f>19*60+22.73</f>
        <v>1162.73</v>
      </c>
      <c r="L75" s="58">
        <f>K75/60</f>
        <v>19.378833333333333</v>
      </c>
      <c r="M75" s="54">
        <v>0.31385390835253002</v>
      </c>
      <c r="N75" s="54">
        <v>0.61721429217758805</v>
      </c>
      <c r="O75" s="54">
        <v>0.72805648092406505</v>
      </c>
      <c r="P75" s="84">
        <v>9.6469999999999993E-3</v>
      </c>
      <c r="Q75" s="84">
        <v>8.5518540000000005</v>
      </c>
      <c r="R75" s="84">
        <v>7.1656500000000003</v>
      </c>
      <c r="S75" s="84">
        <v>44.150669999999998</v>
      </c>
      <c r="T75" s="84">
        <v>42.528283999999999</v>
      </c>
      <c r="U75" s="84">
        <v>1E-4</v>
      </c>
      <c r="V75" s="29">
        <v>7.3850625622264401</v>
      </c>
      <c r="W75" s="29">
        <v>2.4464110643787498</v>
      </c>
      <c r="X75" s="84">
        <v>1.6426339999999999</v>
      </c>
      <c r="Y75" s="54">
        <v>0.522686622722078</v>
      </c>
      <c r="Z75" s="160">
        <v>0.43853774231979298</v>
      </c>
      <c r="AA75" t="s">
        <v>96</v>
      </c>
    </row>
    <row r="76" spans="1:40" ht="15" thickBot="1" x14ac:dyDescent="0.35">
      <c r="A76" s="15" t="s">
        <v>95</v>
      </c>
      <c r="B76" s="6" t="s">
        <v>70</v>
      </c>
      <c r="C76" s="6">
        <v>750</v>
      </c>
      <c r="D76" s="6">
        <v>25</v>
      </c>
      <c r="E76" s="148">
        <v>1.5</v>
      </c>
      <c r="F76" s="148">
        <v>1.5</v>
      </c>
      <c r="G76" s="148">
        <v>0.7</v>
      </c>
      <c r="H76" s="6">
        <v>5.4082267616961097E-2</v>
      </c>
      <c r="I76" s="6">
        <v>5.4139683100000002E-2</v>
      </c>
      <c r="J76" s="127">
        <f>I76-H76</f>
        <v>5.7415483038905646E-5</v>
      </c>
      <c r="K76" s="6">
        <f>31*60+47.63</f>
        <v>1907.63</v>
      </c>
      <c r="L76" s="128">
        <f>K76/60</f>
        <v>31.793833333333335</v>
      </c>
      <c r="M76" s="77">
        <v>0.31388846346792598</v>
      </c>
      <c r="N76" s="77">
        <v>0.61635005087943595</v>
      </c>
      <c r="O76" s="77">
        <v>0.72789513475921996</v>
      </c>
      <c r="P76" s="88">
        <v>9.6469999999999993E-3</v>
      </c>
      <c r="Q76" s="88">
        <v>8.5518540000000005</v>
      </c>
      <c r="R76" s="88">
        <v>7.1656500000000003</v>
      </c>
      <c r="S76" s="88">
        <v>44.150669999999998</v>
      </c>
      <c r="T76" s="88">
        <v>42.528283999999999</v>
      </c>
      <c r="U76" s="88">
        <v>1E-4</v>
      </c>
      <c r="V76" s="188">
        <v>7.3806411115769004</v>
      </c>
      <c r="W76" s="198">
        <v>0.74569628521836895</v>
      </c>
      <c r="X76" s="88">
        <v>1.6426339999999999</v>
      </c>
      <c r="Y76" s="77">
        <v>0.53036791771936598</v>
      </c>
      <c r="Z76" s="201">
        <v>0.43723322247144197</v>
      </c>
      <c r="AA76" t="s">
        <v>98</v>
      </c>
    </row>
  </sheetData>
  <autoFilter ref="A2:X40" xr:uid="{3F024A9F-720A-4384-9592-EDD81D7A1CFE}">
    <filterColumn colId="1">
      <filters>
        <filter val="PSO_mealpy"/>
        <filter val="PSO_pymoo"/>
        <filter val="PSO_pyswarms"/>
      </filters>
    </filterColumn>
  </autoFilter>
  <phoneticPr fontId="6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F89D-8B7A-4AB2-AE43-BA5F7D049F38}">
  <dimension ref="A1:AE20"/>
  <sheetViews>
    <sheetView topLeftCell="A11" workbookViewId="0">
      <selection activeCell="A20" sqref="A20"/>
    </sheetView>
  </sheetViews>
  <sheetFormatPr baseColWidth="10" defaultRowHeight="14.4" x14ac:dyDescent="0.3"/>
  <cols>
    <col min="1" max="1" width="40.33203125" bestFit="1" customWidth="1"/>
    <col min="8" max="8" width="12" bestFit="1" customWidth="1"/>
  </cols>
  <sheetData>
    <row r="1" spans="1:31" ht="15" thickBot="1" x14ac:dyDescent="0.35">
      <c r="A1" s="102" t="s">
        <v>101</v>
      </c>
      <c r="C1" s="94" t="s">
        <v>2</v>
      </c>
      <c r="D1" s="95"/>
      <c r="E1" s="95"/>
      <c r="F1" s="95"/>
      <c r="G1" s="96"/>
      <c r="M1" s="94" t="s">
        <v>51</v>
      </c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7"/>
      <c r="AB1" s="55" t="s">
        <v>67</v>
      </c>
    </row>
    <row r="2" spans="1:31" ht="29.4" thickBot="1" x14ac:dyDescent="0.35">
      <c r="A2" s="99" t="s">
        <v>40</v>
      </c>
      <c r="B2" s="98" t="s">
        <v>45</v>
      </c>
      <c r="C2" s="71" t="s">
        <v>47</v>
      </c>
      <c r="D2" s="71" t="s">
        <v>46</v>
      </c>
      <c r="E2" s="71" t="s">
        <v>48</v>
      </c>
      <c r="F2" s="71" t="s">
        <v>49</v>
      </c>
      <c r="G2" s="71" t="s">
        <v>50</v>
      </c>
      <c r="J2" s="98" t="s">
        <v>9</v>
      </c>
      <c r="K2" s="98" t="s">
        <v>6</v>
      </c>
      <c r="L2" s="98" t="s">
        <v>34</v>
      </c>
      <c r="M2" s="72" t="s">
        <v>52</v>
      </c>
      <c r="N2" s="72" t="s">
        <v>53</v>
      </c>
      <c r="O2" s="72" t="s">
        <v>54</v>
      </c>
      <c r="P2" s="73" t="s">
        <v>55</v>
      </c>
      <c r="Q2" s="73" t="s">
        <v>56</v>
      </c>
      <c r="R2" s="73" t="s">
        <v>57</v>
      </c>
      <c r="S2" s="73" t="s">
        <v>58</v>
      </c>
      <c r="T2" s="73" t="s">
        <v>59</v>
      </c>
      <c r="U2" s="73" t="s">
        <v>60</v>
      </c>
      <c r="V2" s="72" t="s">
        <v>61</v>
      </c>
      <c r="W2" s="72" t="s">
        <v>65</v>
      </c>
      <c r="X2" s="74" t="s">
        <v>62</v>
      </c>
      <c r="Y2" s="72" t="s">
        <v>63</v>
      </c>
      <c r="Z2" s="75" t="s">
        <v>64</v>
      </c>
    </row>
    <row r="3" spans="1:31" x14ac:dyDescent="0.3">
      <c r="A3" s="12" t="s">
        <v>81</v>
      </c>
      <c r="B3" s="2" t="s">
        <v>70</v>
      </c>
      <c r="C3" s="2">
        <v>150</v>
      </c>
      <c r="D3" s="2">
        <v>20</v>
      </c>
      <c r="E3" s="2">
        <v>1.5</v>
      </c>
      <c r="F3" s="2">
        <v>1.5</v>
      </c>
      <c r="G3" s="2">
        <v>0.7</v>
      </c>
      <c r="J3" s="54">
        <v>5.5448295061802497E-4</v>
      </c>
      <c r="K3" s="54">
        <v>110.06</v>
      </c>
      <c r="L3" s="80">
        <v>1.8343333333333334</v>
      </c>
      <c r="M3" s="81">
        <v>0.18277191334128001</v>
      </c>
      <c r="N3" s="81">
        <v>0.93507902987293001</v>
      </c>
      <c r="O3" s="82">
        <v>5.9846530300535496</v>
      </c>
      <c r="P3" s="84">
        <v>9.6469999999999993E-3</v>
      </c>
      <c r="Q3" s="84">
        <v>8.5518540000000005</v>
      </c>
      <c r="R3" s="84">
        <v>7.1656500000000003</v>
      </c>
      <c r="S3" s="84">
        <v>44.150669999999998</v>
      </c>
      <c r="T3" s="84">
        <v>42.528283999999999</v>
      </c>
      <c r="U3" s="84">
        <v>1E-4</v>
      </c>
      <c r="V3" s="82">
        <v>1.63578039188719</v>
      </c>
      <c r="W3" s="82">
        <v>4.4317996594909204</v>
      </c>
      <c r="X3" s="84">
        <v>1.6426339999999999</v>
      </c>
      <c r="Y3" s="81">
        <v>0.169428071211535</v>
      </c>
      <c r="Z3" s="83">
        <v>0.79097187118017498</v>
      </c>
    </row>
    <row r="4" spans="1:31" x14ac:dyDescent="0.3">
      <c r="A4" s="12" t="s">
        <v>81</v>
      </c>
      <c r="B4" s="2" t="s">
        <v>70</v>
      </c>
      <c r="C4" s="2">
        <v>200</v>
      </c>
      <c r="D4" s="2">
        <v>20</v>
      </c>
      <c r="E4" s="2">
        <v>1.5</v>
      </c>
      <c r="F4" s="2">
        <v>1.5</v>
      </c>
      <c r="G4" s="2">
        <v>0.7</v>
      </c>
      <c r="J4" s="54">
        <v>5.3926815435973601E-4</v>
      </c>
      <c r="K4" s="54">
        <v>151.79</v>
      </c>
      <c r="L4" s="80">
        <v>2.5298333333333334</v>
      </c>
      <c r="M4" s="81">
        <v>0.200090503125988</v>
      </c>
      <c r="N4" s="81">
        <v>0.93334617005500298</v>
      </c>
      <c r="O4" s="82">
        <v>6.05992631645519</v>
      </c>
      <c r="P4" s="84">
        <v>9.6469999999999993E-3</v>
      </c>
      <c r="Q4" s="84">
        <v>8.5518540000000005</v>
      </c>
      <c r="R4" s="84">
        <v>7.1656500000000003</v>
      </c>
      <c r="S4" s="84">
        <v>44.150669999999998</v>
      </c>
      <c r="T4" s="84">
        <v>42.528283999999999</v>
      </c>
      <c r="U4" s="84">
        <v>1E-4</v>
      </c>
      <c r="V4" s="82">
        <v>1.6315342260914001</v>
      </c>
      <c r="W4" s="82">
        <v>3.8159681302494901</v>
      </c>
      <c r="X4" s="84">
        <v>1.6426339999999999</v>
      </c>
      <c r="Y4" s="81">
        <v>0.174710337054786</v>
      </c>
      <c r="Z4" s="83">
        <v>0.77567938513379198</v>
      </c>
    </row>
    <row r="5" spans="1:31" x14ac:dyDescent="0.3">
      <c r="A5" s="12" t="s">
        <v>81</v>
      </c>
      <c r="B5" s="2" t="s">
        <v>70</v>
      </c>
      <c r="C5" s="2">
        <v>500</v>
      </c>
      <c r="D5" s="2">
        <v>20</v>
      </c>
      <c r="E5" s="2">
        <v>1.5</v>
      </c>
      <c r="F5" s="2">
        <v>1.5</v>
      </c>
      <c r="G5" s="2">
        <v>0.7</v>
      </c>
      <c r="J5" s="54">
        <v>5.33593973727646E-4</v>
      </c>
      <c r="K5" s="54">
        <v>364.39</v>
      </c>
      <c r="L5" s="80">
        <v>6.0731666666666664</v>
      </c>
      <c r="M5" s="81">
        <v>0.200782865525586</v>
      </c>
      <c r="N5" s="81">
        <v>0.93063361469372696</v>
      </c>
      <c r="O5" s="82">
        <v>6.0938949101244804</v>
      </c>
      <c r="P5" s="84">
        <v>9.6469999999999993E-3</v>
      </c>
      <c r="Q5" s="84">
        <v>8.5518540000000005</v>
      </c>
      <c r="R5" s="84">
        <v>7.1656500000000003</v>
      </c>
      <c r="S5" s="84">
        <v>44.150669999999998</v>
      </c>
      <c r="T5" s="84">
        <v>42.528283999999999</v>
      </c>
      <c r="U5" s="84">
        <v>1E-4</v>
      </c>
      <c r="V5" s="82">
        <v>1.6305970614002501</v>
      </c>
      <c r="W5" s="82">
        <v>3.9338297609874702</v>
      </c>
      <c r="X5" s="84">
        <v>1.6426339999999999</v>
      </c>
      <c r="Y5" s="81">
        <v>0.17573106357227899</v>
      </c>
      <c r="Z5" s="83">
        <v>0.76753466547034999</v>
      </c>
    </row>
    <row r="6" spans="1:31" ht="15" thickBot="1" x14ac:dyDescent="0.35">
      <c r="A6" s="15" t="s">
        <v>81</v>
      </c>
      <c r="B6" s="6" t="s">
        <v>70</v>
      </c>
      <c r="C6" s="6">
        <v>500</v>
      </c>
      <c r="D6" s="6">
        <v>25</v>
      </c>
      <c r="E6" s="6">
        <v>1.5</v>
      </c>
      <c r="F6" s="6">
        <v>1.5</v>
      </c>
      <c r="G6" s="6">
        <v>0.7</v>
      </c>
      <c r="J6" s="77">
        <v>4.9961670047101402E-4</v>
      </c>
      <c r="K6" s="77">
        <v>604.17999999999995</v>
      </c>
      <c r="L6" s="85">
        <v>10.069666666666667</v>
      </c>
      <c r="M6" s="92">
        <v>0.123108699728849</v>
      </c>
      <c r="N6" s="87">
        <v>2.2809552057362699</v>
      </c>
      <c r="O6" s="87">
        <v>9.1416504040918696</v>
      </c>
      <c r="P6" s="88">
        <v>9.6469999999999993E-3</v>
      </c>
      <c r="Q6" s="88">
        <v>8.5518540000000005</v>
      </c>
      <c r="R6" s="88">
        <v>7.1656500000000003</v>
      </c>
      <c r="S6" s="88">
        <v>44.150669999999998</v>
      </c>
      <c r="T6" s="88">
        <v>42.528283999999999</v>
      </c>
      <c r="U6" s="88">
        <v>1E-4</v>
      </c>
      <c r="V6" s="86">
        <v>0.91524577772073001</v>
      </c>
      <c r="W6" s="87">
        <v>9.9941869830438801</v>
      </c>
      <c r="X6" s="88">
        <v>1.6426339999999999</v>
      </c>
      <c r="Y6" s="86">
        <v>0.262348974530624</v>
      </c>
      <c r="Z6" s="89">
        <v>0.66041250315907096</v>
      </c>
    </row>
    <row r="7" spans="1:31" x14ac:dyDescent="0.3">
      <c r="A7" s="8" t="s">
        <v>82</v>
      </c>
      <c r="B7" s="9" t="s">
        <v>70</v>
      </c>
      <c r="C7" s="9">
        <v>500</v>
      </c>
      <c r="D7" s="9">
        <v>20</v>
      </c>
      <c r="E7" s="9">
        <v>1.5</v>
      </c>
      <c r="F7" s="9">
        <v>1.5</v>
      </c>
      <c r="G7" s="9">
        <v>0.7</v>
      </c>
      <c r="J7" s="9">
        <v>1.5875438560121399E-2</v>
      </c>
      <c r="K7" s="9">
        <f>5*60+25.37</f>
        <v>325.37</v>
      </c>
      <c r="L7" s="66">
        <f>K7/60</f>
        <v>5.4228333333333332</v>
      </c>
      <c r="M7" s="78">
        <v>6.8387595127111496</v>
      </c>
      <c r="N7" s="78">
        <v>7.04778645763892</v>
      </c>
      <c r="O7" s="78">
        <v>4.3680299231263797</v>
      </c>
      <c r="P7" s="68">
        <v>9.6469999999999993E-3</v>
      </c>
      <c r="Q7" s="68">
        <v>8.5518540000000005</v>
      </c>
      <c r="R7" s="68">
        <v>7.1656500000000003</v>
      </c>
      <c r="S7" s="68">
        <v>44.150669999999998</v>
      </c>
      <c r="T7" s="68">
        <v>42.528283999999999</v>
      </c>
      <c r="U7" s="68">
        <v>1E-4</v>
      </c>
      <c r="V7" s="67">
        <v>0.22980741998853901</v>
      </c>
      <c r="W7" s="78">
        <v>9.9937451898810998</v>
      </c>
      <c r="X7" s="68">
        <v>1.6426339999999999</v>
      </c>
      <c r="Y7" s="67">
        <v>0.373774434671723</v>
      </c>
      <c r="Z7" s="69">
        <v>1.2400436960751999</v>
      </c>
    </row>
    <row r="8" spans="1:31" ht="15" thickBot="1" x14ac:dyDescent="0.35">
      <c r="A8" s="22" t="s">
        <v>82</v>
      </c>
      <c r="B8" s="23" t="s">
        <v>70</v>
      </c>
      <c r="C8" s="23">
        <v>500</v>
      </c>
      <c r="D8" s="23">
        <v>25</v>
      </c>
      <c r="E8" s="23">
        <v>1.5</v>
      </c>
      <c r="F8" s="23">
        <v>1.5</v>
      </c>
      <c r="G8" s="23">
        <v>0.7</v>
      </c>
      <c r="J8" s="23">
        <v>1.1921014789185501E-2</v>
      </c>
      <c r="K8" s="23">
        <f>3*60+53.26</f>
        <v>233.26</v>
      </c>
      <c r="L8" s="168">
        <f>K8/60</f>
        <v>3.8876666666666666</v>
      </c>
      <c r="M8" s="169">
        <v>3.08397015856085E-2</v>
      </c>
      <c r="N8" s="170">
        <v>3.6458765616208701</v>
      </c>
      <c r="O8" s="170">
        <v>1.70152727609385</v>
      </c>
      <c r="P8" s="118">
        <v>9.6469999999999993E-3</v>
      </c>
      <c r="Q8" s="118">
        <v>8.5518540000000005</v>
      </c>
      <c r="R8" s="118">
        <v>7.1656500000000003</v>
      </c>
      <c r="S8" s="118">
        <v>44.150669999999998</v>
      </c>
      <c r="T8" s="118">
        <v>42.528283999999999</v>
      </c>
      <c r="U8" s="118">
        <v>1E-4</v>
      </c>
      <c r="V8" s="170">
        <v>2.5919297287998302</v>
      </c>
      <c r="W8" s="170">
        <v>5.93893356374869</v>
      </c>
      <c r="X8" s="118">
        <v>1.6426339999999999</v>
      </c>
      <c r="Y8" s="169">
        <v>0.30809387724799597</v>
      </c>
      <c r="Z8" s="171">
        <v>1.69434897734781</v>
      </c>
    </row>
    <row r="9" spans="1:31" x14ac:dyDescent="0.3">
      <c r="A9" s="8" t="s">
        <v>83</v>
      </c>
      <c r="B9" s="9" t="s">
        <v>70</v>
      </c>
      <c r="C9" s="9">
        <v>500</v>
      </c>
      <c r="D9" s="9">
        <v>20</v>
      </c>
      <c r="E9" s="9">
        <v>1.5</v>
      </c>
      <c r="F9" s="9">
        <v>1.5</v>
      </c>
      <c r="G9" s="9">
        <v>0.7</v>
      </c>
      <c r="J9" s="9">
        <v>7.7711676070506804E-3</v>
      </c>
      <c r="K9" s="9">
        <f>60*7+4.7</f>
        <v>424.7</v>
      </c>
      <c r="L9" s="66">
        <f>K9/60</f>
        <v>7.0783333333333331</v>
      </c>
      <c r="M9" s="78">
        <v>4.1532076121817996</v>
      </c>
      <c r="N9" s="78">
        <v>3.3138359099789199</v>
      </c>
      <c r="O9" s="78">
        <v>9.9606330340841804</v>
      </c>
      <c r="P9" s="68">
        <v>9.6469999999999993E-3</v>
      </c>
      <c r="Q9" s="68">
        <v>8.5518540000000005</v>
      </c>
      <c r="R9" s="68">
        <v>7.1656500000000003</v>
      </c>
      <c r="S9" s="68">
        <v>44.150669999999998</v>
      </c>
      <c r="T9" s="68">
        <v>42.528283999999999</v>
      </c>
      <c r="U9" s="68">
        <v>1E-4</v>
      </c>
      <c r="V9" s="67">
        <v>0.60012193353711296</v>
      </c>
      <c r="W9" s="78">
        <v>9.9853204830623596</v>
      </c>
      <c r="X9" s="68">
        <v>1.6426339999999999</v>
      </c>
      <c r="Y9" s="67">
        <v>0.49996408742745901</v>
      </c>
      <c r="Z9" s="69">
        <v>0.783809988227268</v>
      </c>
    </row>
    <row r="10" spans="1:31" ht="15" thickBot="1" x14ac:dyDescent="0.35">
      <c r="A10" s="15" t="s">
        <v>83</v>
      </c>
      <c r="B10" s="6" t="s">
        <v>70</v>
      </c>
      <c r="C10" s="6">
        <v>500</v>
      </c>
      <c r="D10" s="6">
        <v>25</v>
      </c>
      <c r="E10" s="6">
        <v>1.5</v>
      </c>
      <c r="F10" s="6">
        <v>1.5</v>
      </c>
      <c r="G10" s="6">
        <v>0.7</v>
      </c>
      <c r="J10" s="6">
        <v>3.1862305043810898E-3</v>
      </c>
      <c r="K10" s="6">
        <f>8*60+15.77</f>
        <v>495.77</v>
      </c>
      <c r="L10" s="172">
        <f>K10/60</f>
        <v>8.262833333333333</v>
      </c>
      <c r="M10" s="173">
        <v>4.07703976497482E-2</v>
      </c>
      <c r="N10" s="174">
        <v>2.5734116439194898</v>
      </c>
      <c r="O10" s="174">
        <v>7.5970990315112497</v>
      </c>
      <c r="P10" s="130">
        <v>9.6469999999999993E-3</v>
      </c>
      <c r="Q10" s="130">
        <v>8.5518540000000005</v>
      </c>
      <c r="R10" s="130">
        <v>7.1656500000000003</v>
      </c>
      <c r="S10" s="130">
        <v>44.150669999999998</v>
      </c>
      <c r="T10" s="130">
        <v>42.528283999999999</v>
      </c>
      <c r="U10" s="130">
        <v>1E-4</v>
      </c>
      <c r="V10" s="174">
        <v>2.2740628537826</v>
      </c>
      <c r="W10" s="174">
        <v>8.9849067613867906</v>
      </c>
      <c r="X10" s="130">
        <v>1.6426339999999999</v>
      </c>
      <c r="Y10" s="174">
        <v>3.9625859389703901</v>
      </c>
      <c r="Z10" s="175">
        <v>0.25923234863237199</v>
      </c>
    </row>
    <row r="13" spans="1:31" x14ac:dyDescent="0.3">
      <c r="A13" s="102" t="s">
        <v>102</v>
      </c>
    </row>
    <row r="14" spans="1:31" ht="29.4" thickBot="1" x14ac:dyDescent="0.35">
      <c r="A14" s="177" t="s">
        <v>40</v>
      </c>
      <c r="B14" s="177" t="s">
        <v>45</v>
      </c>
      <c r="C14" s="178" t="s">
        <v>47</v>
      </c>
      <c r="D14" s="178" t="s">
        <v>46</v>
      </c>
      <c r="E14" s="178" t="s">
        <v>48</v>
      </c>
      <c r="F14" s="178" t="s">
        <v>49</v>
      </c>
      <c r="G14" s="178" t="s">
        <v>50</v>
      </c>
      <c r="H14" s="177" t="s">
        <v>104</v>
      </c>
      <c r="I14" s="177" t="s">
        <v>9</v>
      </c>
      <c r="J14" s="177" t="s">
        <v>6</v>
      </c>
      <c r="K14" s="177" t="s">
        <v>34</v>
      </c>
      <c r="L14" s="177" t="s">
        <v>103</v>
      </c>
      <c r="M14" s="179" t="s">
        <v>52</v>
      </c>
      <c r="N14" s="179" t="s">
        <v>53</v>
      </c>
      <c r="O14" s="179" t="s">
        <v>54</v>
      </c>
      <c r="P14" s="180" t="s">
        <v>55</v>
      </c>
      <c r="Q14" s="180" t="s">
        <v>56</v>
      </c>
      <c r="R14" s="180" t="s">
        <v>57</v>
      </c>
      <c r="S14" s="180" t="s">
        <v>58</v>
      </c>
      <c r="T14" s="180" t="s">
        <v>59</v>
      </c>
      <c r="U14" s="180" t="s">
        <v>60</v>
      </c>
      <c r="V14" s="179" t="s">
        <v>61</v>
      </c>
      <c r="W14" s="179" t="s">
        <v>65</v>
      </c>
      <c r="X14" s="181" t="s">
        <v>62</v>
      </c>
      <c r="Y14" s="179" t="s">
        <v>63</v>
      </c>
      <c r="Z14" s="179" t="s">
        <v>64</v>
      </c>
    </row>
    <row r="15" spans="1:31" x14ac:dyDescent="0.3">
      <c r="A15" s="8" t="s">
        <v>81</v>
      </c>
      <c r="B15" s="9" t="s">
        <v>70</v>
      </c>
      <c r="C15" s="9">
        <v>1000</v>
      </c>
      <c r="D15" s="9">
        <v>25</v>
      </c>
      <c r="E15" s="9">
        <v>1.5</v>
      </c>
      <c r="F15" s="9">
        <v>1.5</v>
      </c>
      <c r="G15" s="9">
        <v>0.7</v>
      </c>
      <c r="H15" s="203">
        <v>0.05</v>
      </c>
      <c r="I15" s="126">
        <v>5.55195432457993E-4</v>
      </c>
      <c r="J15" s="9">
        <f>60*2+39.03</f>
        <v>159.03</v>
      </c>
      <c r="K15" s="66">
        <f>J15/60</f>
        <v>2.6505000000000001</v>
      </c>
      <c r="L15" s="9">
        <v>120</v>
      </c>
      <c r="M15" s="9">
        <v>0.17148699370661699</v>
      </c>
      <c r="N15" s="126">
        <v>0.93707999896975003</v>
      </c>
      <c r="O15" s="40">
        <v>6.80158187028744</v>
      </c>
      <c r="P15" s="68">
        <v>9.6469999999999993E-3</v>
      </c>
      <c r="Q15" s="68">
        <v>8.5518540000000005</v>
      </c>
      <c r="R15" s="68">
        <v>7.1656500000000003</v>
      </c>
      <c r="S15" s="68">
        <v>44.150669999999998</v>
      </c>
      <c r="T15" s="68">
        <v>42.528283999999999</v>
      </c>
      <c r="U15" s="68">
        <v>1E-4</v>
      </c>
      <c r="V15" s="40">
        <v>1.4270934796395001</v>
      </c>
      <c r="W15" s="40">
        <v>9.4254001304004191</v>
      </c>
      <c r="X15" s="68">
        <v>1.6426339999999999</v>
      </c>
      <c r="Y15" s="9">
        <v>0.14841027220081099</v>
      </c>
      <c r="Z15" s="11">
        <v>0.83068676382901196</v>
      </c>
      <c r="AA15" t="s">
        <v>105</v>
      </c>
      <c r="AE15" t="s">
        <v>107</v>
      </c>
    </row>
    <row r="16" spans="1:31" ht="15" thickBot="1" x14ac:dyDescent="0.35">
      <c r="A16" s="15" t="s">
        <v>81</v>
      </c>
      <c r="B16" s="6" t="s">
        <v>70</v>
      </c>
      <c r="C16" s="6">
        <v>1000</v>
      </c>
      <c r="D16" s="6">
        <v>25</v>
      </c>
      <c r="E16" s="6">
        <v>1.5</v>
      </c>
      <c r="F16" s="6">
        <v>1.5</v>
      </c>
      <c r="G16" s="6">
        <v>0.7</v>
      </c>
      <c r="H16" s="204">
        <v>0.01</v>
      </c>
      <c r="I16" s="6">
        <v>5.3728371690244599E-4</v>
      </c>
      <c r="J16" s="6">
        <f>3*60+57.5</f>
        <v>237.5</v>
      </c>
      <c r="K16" s="172">
        <f>J16/60</f>
        <v>3.9583333333333335</v>
      </c>
      <c r="L16" s="6">
        <v>187</v>
      </c>
      <c r="M16" s="6">
        <v>0.17572710819101101</v>
      </c>
      <c r="N16" s="6">
        <v>0.92101837173550205</v>
      </c>
      <c r="O16" s="131">
        <v>7.00299601712093</v>
      </c>
      <c r="P16" s="130">
        <v>9.6469999999999993E-3</v>
      </c>
      <c r="Q16" s="130">
        <v>8.5518540000000005</v>
      </c>
      <c r="R16" s="130">
        <v>7.1656500000000003</v>
      </c>
      <c r="S16" s="130">
        <v>44.150669999999998</v>
      </c>
      <c r="T16" s="130">
        <v>42.528283999999999</v>
      </c>
      <c r="U16" s="130">
        <v>1E-4</v>
      </c>
      <c r="V16" s="131">
        <v>1.4245541826203501</v>
      </c>
      <c r="W16" s="131">
        <v>8.4950237560708608</v>
      </c>
      <c r="X16" s="130">
        <v>1.6426339999999999</v>
      </c>
      <c r="Y16" s="6">
        <v>0.151063418330069</v>
      </c>
      <c r="Z16" s="150">
        <v>0.80636650349953598</v>
      </c>
      <c r="AA16" t="s">
        <v>106</v>
      </c>
    </row>
    <row r="17" spans="1:27" x14ac:dyDescent="0.3">
      <c r="A17" s="8" t="s">
        <v>82</v>
      </c>
      <c r="B17" s="9" t="s">
        <v>70</v>
      </c>
      <c r="C17" s="9">
        <v>1000</v>
      </c>
      <c r="D17" s="9">
        <v>25</v>
      </c>
      <c r="E17" s="9">
        <v>1.5</v>
      </c>
      <c r="F17" s="9">
        <v>1.5</v>
      </c>
      <c r="G17" s="9">
        <v>0.7</v>
      </c>
      <c r="H17" s="203">
        <v>0.05</v>
      </c>
      <c r="I17" s="9">
        <v>1.2027692073878901E-2</v>
      </c>
      <c r="J17" s="9">
        <v>25.73</v>
      </c>
      <c r="K17" s="66">
        <f t="shared" ref="K17:K18" si="0">J17/60</f>
        <v>0.42883333333333334</v>
      </c>
      <c r="L17" s="9">
        <v>54</v>
      </c>
      <c r="M17" s="9">
        <v>3.0258688925107802E-2</v>
      </c>
      <c r="N17" s="40">
        <v>2.8780009556191799</v>
      </c>
      <c r="O17" s="40">
        <v>2.3917163972983602</v>
      </c>
      <c r="P17" s="68">
        <v>9.6469999999999993E-3</v>
      </c>
      <c r="Q17" s="68">
        <v>8.5518540000000005</v>
      </c>
      <c r="R17" s="68">
        <v>7.1656500000000003</v>
      </c>
      <c r="S17" s="68">
        <v>44.150669999999998</v>
      </c>
      <c r="T17" s="68">
        <v>42.528283999999999</v>
      </c>
      <c r="U17" s="68">
        <v>1E-4</v>
      </c>
      <c r="V17" s="40">
        <v>1.9838817605854999</v>
      </c>
      <c r="W17" s="40">
        <v>8.1319685899103398</v>
      </c>
      <c r="X17" s="68">
        <v>1.6426339999999999</v>
      </c>
      <c r="Y17" s="9">
        <v>0.44018479275910699</v>
      </c>
      <c r="Z17" s="183">
        <v>2.0233553465868201</v>
      </c>
      <c r="AA17" t="s">
        <v>106</v>
      </c>
    </row>
    <row r="18" spans="1:27" ht="15" thickBot="1" x14ac:dyDescent="0.35">
      <c r="A18" s="22" t="s">
        <v>82</v>
      </c>
      <c r="B18" s="23" t="s">
        <v>70</v>
      </c>
      <c r="C18" s="23">
        <v>1000</v>
      </c>
      <c r="D18" s="23">
        <v>25</v>
      </c>
      <c r="E18" s="23">
        <v>1.5</v>
      </c>
      <c r="F18" s="23">
        <v>1.5</v>
      </c>
      <c r="G18" s="23">
        <v>0.7</v>
      </c>
      <c r="H18" s="205">
        <v>0.01</v>
      </c>
      <c r="I18" s="23">
        <v>1.1976391588584099E-2</v>
      </c>
      <c r="J18" s="23">
        <f>45.17</f>
        <v>45.17</v>
      </c>
      <c r="K18" s="168">
        <f t="shared" si="0"/>
        <v>0.75283333333333335</v>
      </c>
      <c r="L18" s="23">
        <v>97</v>
      </c>
      <c r="M18" s="23">
        <v>2.93395878836912E-2</v>
      </c>
      <c r="N18" s="117">
        <v>2.77993378358271</v>
      </c>
      <c r="O18" s="117">
        <v>2.3513550514641102</v>
      </c>
      <c r="P18" s="118">
        <v>9.6469999999999993E-3</v>
      </c>
      <c r="Q18" s="118">
        <v>8.5518540000000005</v>
      </c>
      <c r="R18" s="118">
        <v>7.1656500000000003</v>
      </c>
      <c r="S18" s="118">
        <v>44.150669999999998</v>
      </c>
      <c r="T18" s="118">
        <v>42.528283999999999</v>
      </c>
      <c r="U18" s="118">
        <v>1E-4</v>
      </c>
      <c r="V18" s="117">
        <v>2.1385471670560201</v>
      </c>
      <c r="W18" s="117">
        <v>8.4758062049886203</v>
      </c>
      <c r="X18" s="118">
        <v>1.6426339999999999</v>
      </c>
      <c r="Y18" s="23">
        <v>0.234028577704191</v>
      </c>
      <c r="Z18" s="159">
        <v>2.0751152127812298</v>
      </c>
      <c r="AA18" t="s">
        <v>106</v>
      </c>
    </row>
    <row r="19" spans="1:27" x14ac:dyDescent="0.3">
      <c r="A19" s="8" t="s">
        <v>83</v>
      </c>
      <c r="B19" s="9" t="s">
        <v>70</v>
      </c>
      <c r="C19" s="9">
        <v>1000</v>
      </c>
      <c r="D19" s="9">
        <v>25</v>
      </c>
      <c r="E19" s="9">
        <v>1.5</v>
      </c>
      <c r="F19" s="9">
        <v>1.5</v>
      </c>
      <c r="G19" s="9">
        <v>0.7</v>
      </c>
      <c r="H19" s="203">
        <v>0.05</v>
      </c>
      <c r="I19" s="9">
        <v>3.0301450294592802E-3</v>
      </c>
      <c r="J19" s="9">
        <f>60+10.12</f>
        <v>70.12</v>
      </c>
      <c r="K19" s="66">
        <f>J19/60</f>
        <v>1.1686666666666667</v>
      </c>
      <c r="L19" s="9">
        <v>98</v>
      </c>
      <c r="M19" s="9">
        <v>4.92734086261623E-2</v>
      </c>
      <c r="N19" s="40">
        <v>2.72874389969224</v>
      </c>
      <c r="O19" s="40">
        <v>1.62701115657096</v>
      </c>
      <c r="P19" s="68">
        <v>9.6469999999999993E-3</v>
      </c>
      <c r="Q19" s="68">
        <v>8.5518540000000005</v>
      </c>
      <c r="R19" s="68">
        <v>7.1656500000000003</v>
      </c>
      <c r="S19" s="68">
        <v>44.150669999999998</v>
      </c>
      <c r="T19" s="68">
        <v>42.528283999999999</v>
      </c>
      <c r="U19" s="68">
        <v>1E-4</v>
      </c>
      <c r="V19" s="40">
        <v>3.7377995511353301</v>
      </c>
      <c r="W19" s="40">
        <v>6.2328719380524999</v>
      </c>
      <c r="X19" s="68">
        <v>1.6426339999999999</v>
      </c>
      <c r="Y19" s="40">
        <v>0.435712826871338</v>
      </c>
      <c r="Z19" s="206">
        <v>2.1271801326680002</v>
      </c>
      <c r="AA19" t="s">
        <v>108</v>
      </c>
    </row>
    <row r="20" spans="1:27" ht="15" thickBot="1" x14ac:dyDescent="0.35">
      <c r="A20" s="15" t="s">
        <v>83</v>
      </c>
      <c r="B20" s="6" t="s">
        <v>70</v>
      </c>
      <c r="C20" s="6">
        <v>1000</v>
      </c>
      <c r="D20" s="6">
        <v>25</v>
      </c>
      <c r="E20" s="6">
        <v>1.5</v>
      </c>
      <c r="F20" s="6">
        <v>1.5</v>
      </c>
      <c r="G20" s="6">
        <v>0.7</v>
      </c>
      <c r="H20" s="204">
        <v>0.01</v>
      </c>
      <c r="I20" s="132">
        <v>2.13150469935204E-3</v>
      </c>
      <c r="J20" s="6">
        <f>60*4+6.69</f>
        <v>246.69</v>
      </c>
      <c r="K20" s="172">
        <f>J20/60</f>
        <v>4.1115000000000004</v>
      </c>
      <c r="L20" s="6">
        <v>335</v>
      </c>
      <c r="M20" s="6">
        <v>7.12607548997016E-2</v>
      </c>
      <c r="N20" s="131">
        <v>1.40274742445062</v>
      </c>
      <c r="O20" s="6">
        <v>0.65975582595110804</v>
      </c>
      <c r="P20" s="130">
        <v>9.6469999999999993E-3</v>
      </c>
      <c r="Q20" s="130">
        <v>8.5518540000000005</v>
      </c>
      <c r="R20" s="130">
        <v>7.1656500000000003</v>
      </c>
      <c r="S20" s="130">
        <v>44.150669999999998</v>
      </c>
      <c r="T20" s="130">
        <v>42.528283999999999</v>
      </c>
      <c r="U20" s="130">
        <v>1E-4</v>
      </c>
      <c r="V20" s="131">
        <v>9.9998221800693603</v>
      </c>
      <c r="W20" s="131">
        <v>6.70277178666311</v>
      </c>
      <c r="X20" s="130">
        <v>1.6426339999999999</v>
      </c>
      <c r="Y20" s="6">
        <v>0.42560517238199902</v>
      </c>
      <c r="Z20" s="207">
        <v>2.7412487804322798</v>
      </c>
      <c r="AA20" t="s">
        <v>92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E0A3D-09D8-49EB-98BB-1A19629C4812}">
  <dimension ref="A1:AG73"/>
  <sheetViews>
    <sheetView zoomScale="80" zoomScaleNormal="80" workbookViewId="0">
      <selection sqref="A1:A17"/>
    </sheetView>
  </sheetViews>
  <sheetFormatPr baseColWidth="10" defaultRowHeight="14.4" x14ac:dyDescent="0.3"/>
  <cols>
    <col min="1" max="1" width="49.88671875" customWidth="1"/>
    <col min="2" max="2" width="14.77734375" customWidth="1"/>
    <col min="3" max="3" width="19.21875" customWidth="1"/>
    <col min="4" max="4" width="13" customWidth="1"/>
    <col min="8" max="8" width="22.109375" customWidth="1"/>
    <col min="10" max="10" width="16.33203125" customWidth="1"/>
    <col min="13" max="13" width="13.33203125" customWidth="1"/>
    <col min="14" max="15" width="13.33203125" bestFit="1" customWidth="1"/>
    <col min="16" max="16" width="12.44140625" bestFit="1" customWidth="1"/>
    <col min="18" max="18" width="13" customWidth="1"/>
    <col min="21" max="21" width="12.44140625" bestFit="1" customWidth="1"/>
    <col min="23" max="24" width="12.44140625" bestFit="1" customWidth="1"/>
    <col min="26" max="27" width="12.44140625" bestFit="1" customWidth="1"/>
  </cols>
  <sheetData>
    <row r="1" spans="1:33" ht="36" customHeight="1" thickBot="1" x14ac:dyDescent="0.35">
      <c r="A1" s="248" t="s">
        <v>132</v>
      </c>
      <c r="B1" s="227" t="s">
        <v>45</v>
      </c>
      <c r="C1" s="225" t="s">
        <v>109</v>
      </c>
      <c r="D1" s="227" t="s">
        <v>150</v>
      </c>
      <c r="E1" s="227" t="s">
        <v>157</v>
      </c>
      <c r="F1" s="227" t="s">
        <v>158</v>
      </c>
      <c r="G1" s="227" t="s">
        <v>159</v>
      </c>
      <c r="H1" s="227" t="s">
        <v>160</v>
      </c>
      <c r="I1" s="225" t="s">
        <v>47</v>
      </c>
      <c r="J1" s="225" t="s">
        <v>46</v>
      </c>
      <c r="K1" s="225" t="s">
        <v>48</v>
      </c>
      <c r="L1" s="225" t="s">
        <v>49</v>
      </c>
      <c r="M1" s="225" t="s">
        <v>50</v>
      </c>
      <c r="N1" s="227" t="s">
        <v>104</v>
      </c>
      <c r="O1" s="227" t="s">
        <v>9</v>
      </c>
      <c r="P1" s="227" t="s">
        <v>6</v>
      </c>
      <c r="Q1" s="227" t="s">
        <v>34</v>
      </c>
      <c r="R1" s="227" t="s">
        <v>113</v>
      </c>
      <c r="S1" s="249" t="s">
        <v>52</v>
      </c>
      <c r="T1" s="249" t="s">
        <v>53</v>
      </c>
      <c r="U1" s="249" t="s">
        <v>54</v>
      </c>
      <c r="V1" s="250" t="s">
        <v>55</v>
      </c>
      <c r="W1" s="250" t="s">
        <v>56</v>
      </c>
      <c r="X1" s="250" t="s">
        <v>57</v>
      </c>
      <c r="Y1" s="250" t="s">
        <v>58</v>
      </c>
      <c r="Z1" s="250" t="s">
        <v>59</v>
      </c>
      <c r="AA1" s="250" t="s">
        <v>60</v>
      </c>
      <c r="AB1" s="249" t="s">
        <v>61</v>
      </c>
      <c r="AC1" s="249" t="s">
        <v>65</v>
      </c>
      <c r="AD1" s="251" t="s">
        <v>62</v>
      </c>
      <c r="AE1" s="249" t="s">
        <v>63</v>
      </c>
      <c r="AF1" s="252" t="s">
        <v>64</v>
      </c>
    </row>
    <row r="2" spans="1:33" x14ac:dyDescent="0.3">
      <c r="A2" s="8" t="s">
        <v>112</v>
      </c>
      <c r="B2" s="9" t="s">
        <v>70</v>
      </c>
      <c r="C2" s="9" t="s">
        <v>110</v>
      </c>
      <c r="D2" s="9" t="s">
        <v>151</v>
      </c>
      <c r="E2" s="9">
        <v>3.703E-2</v>
      </c>
      <c r="F2" s="9">
        <v>0.12959000000000001</v>
      </c>
      <c r="G2" s="236">
        <v>121.17482</v>
      </c>
      <c r="H2" s="9">
        <v>62</v>
      </c>
      <c r="I2" s="9">
        <v>1000</v>
      </c>
      <c r="J2" s="9">
        <v>25</v>
      </c>
      <c r="K2" s="9">
        <v>1.5</v>
      </c>
      <c r="L2" s="9">
        <v>1.5</v>
      </c>
      <c r="M2" s="9">
        <v>0.7</v>
      </c>
      <c r="N2" s="212">
        <v>0.01</v>
      </c>
      <c r="O2" s="9">
        <v>9.1703383080884396E-4</v>
      </c>
      <c r="P2" s="9">
        <f>12*60+42.48</f>
        <v>762.48</v>
      </c>
      <c r="Q2" s="66">
        <f t="shared" ref="Q2:Q10" si="0">P2/60</f>
        <v>12.708</v>
      </c>
      <c r="R2" s="9">
        <v>1001</v>
      </c>
      <c r="S2" s="9">
        <v>4.94801127619185E-2</v>
      </c>
      <c r="T2" s="40">
        <v>2.8123834061945798</v>
      </c>
      <c r="U2" s="9">
        <v>0.99007892976186596</v>
      </c>
      <c r="V2" s="68">
        <v>9.6469999999999993E-3</v>
      </c>
      <c r="W2" s="68">
        <v>8.5518540000000005</v>
      </c>
      <c r="X2" s="68">
        <v>7.1656500000000003</v>
      </c>
      <c r="Y2" s="68">
        <v>44.150669999999998</v>
      </c>
      <c r="Z2" s="68">
        <v>42.528283999999999</v>
      </c>
      <c r="AA2" s="68">
        <v>1E-4</v>
      </c>
      <c r="AB2" s="40">
        <v>6.5145360017396499</v>
      </c>
      <c r="AC2" s="40">
        <v>4.8258843066456301</v>
      </c>
      <c r="AD2" s="68">
        <v>1.6426339999999999</v>
      </c>
      <c r="AE2" s="9">
        <v>0.17887038422377</v>
      </c>
      <c r="AF2" s="11">
        <v>0.96760882811171001</v>
      </c>
    </row>
    <row r="3" spans="1:33" x14ac:dyDescent="0.3">
      <c r="A3" s="12" t="s">
        <v>18</v>
      </c>
      <c r="B3" s="2" t="s">
        <v>70</v>
      </c>
      <c r="C3" s="2" t="s">
        <v>110</v>
      </c>
      <c r="D3" s="2" t="s">
        <v>151</v>
      </c>
      <c r="E3" s="238">
        <v>3.2579999999999998E-2</v>
      </c>
      <c r="F3" s="238">
        <v>0.14119999999999999</v>
      </c>
      <c r="G3" s="238">
        <v>122.21625</v>
      </c>
      <c r="H3" s="2">
        <v>48</v>
      </c>
      <c r="I3" s="2">
        <v>1000</v>
      </c>
      <c r="J3" s="2">
        <v>25</v>
      </c>
      <c r="K3" s="2">
        <v>1.5</v>
      </c>
      <c r="L3" s="2">
        <v>1.5</v>
      </c>
      <c r="M3" s="2">
        <v>0.7</v>
      </c>
      <c r="N3" s="208">
        <v>0.01</v>
      </c>
      <c r="O3" s="217">
        <v>5.3728371690244599E-4</v>
      </c>
      <c r="P3" s="58">
        <f>3*60+57.5</f>
        <v>237.5</v>
      </c>
      <c r="Q3" s="51">
        <f t="shared" si="0"/>
        <v>3.9583333333333335</v>
      </c>
      <c r="R3" s="2">
        <v>187</v>
      </c>
      <c r="S3" s="220">
        <v>0.17572710819101101</v>
      </c>
      <c r="T3" s="2">
        <v>0.92101837173550205</v>
      </c>
      <c r="U3" s="28">
        <v>7.00299601712093</v>
      </c>
      <c r="V3" s="64">
        <v>9.6469999999999993E-3</v>
      </c>
      <c r="W3" s="64">
        <v>8.5518540000000005</v>
      </c>
      <c r="X3" s="64">
        <v>7.1656500000000003</v>
      </c>
      <c r="Y3" s="64">
        <v>44.150669999999998</v>
      </c>
      <c r="Z3" s="64">
        <v>42.528283999999999</v>
      </c>
      <c r="AA3" s="64">
        <v>1E-4</v>
      </c>
      <c r="AB3" s="28">
        <v>1.4245541826203501</v>
      </c>
      <c r="AC3" s="28">
        <v>8.4950237560708608</v>
      </c>
      <c r="AD3" s="64">
        <v>1.6426339999999999</v>
      </c>
      <c r="AE3" s="2">
        <v>0.151063418330069</v>
      </c>
      <c r="AF3" s="146">
        <v>0.80636650349953598</v>
      </c>
    </row>
    <row r="4" spans="1:33" x14ac:dyDescent="0.3">
      <c r="A4" s="12" t="s">
        <v>111</v>
      </c>
      <c r="B4" s="2" t="s">
        <v>70</v>
      </c>
      <c r="C4" s="2" t="s">
        <v>110</v>
      </c>
      <c r="D4" s="2" t="s">
        <v>151</v>
      </c>
      <c r="E4" s="257">
        <v>5.9499999999999997E-2</v>
      </c>
      <c r="F4" s="2">
        <v>0.23386000000000001</v>
      </c>
      <c r="G4" s="237">
        <v>118.59993</v>
      </c>
      <c r="H4" s="2">
        <v>47</v>
      </c>
      <c r="I4" s="2">
        <v>1000</v>
      </c>
      <c r="J4" s="2">
        <v>25</v>
      </c>
      <c r="K4" s="2">
        <v>1.5</v>
      </c>
      <c r="L4" s="2">
        <v>1.5</v>
      </c>
      <c r="M4" s="2">
        <v>0.7</v>
      </c>
      <c r="N4" s="208">
        <v>0.01</v>
      </c>
      <c r="O4" s="2">
        <v>2.5958116203005401E-3</v>
      </c>
      <c r="P4" s="2">
        <f>60+20.57</f>
        <v>80.569999999999993</v>
      </c>
      <c r="Q4" s="51">
        <f t="shared" si="0"/>
        <v>1.3428333333333333</v>
      </c>
      <c r="R4" s="2">
        <v>160</v>
      </c>
      <c r="S4" s="2">
        <v>7.1635567882672502E-2</v>
      </c>
      <c r="T4" s="2">
        <v>0.336854386443387</v>
      </c>
      <c r="U4" s="28">
        <v>9.9287094723392109</v>
      </c>
      <c r="V4" s="64">
        <v>9.6469999999999993E-3</v>
      </c>
      <c r="W4" s="64">
        <v>8.5518540000000005</v>
      </c>
      <c r="X4" s="64">
        <v>7.1656500000000003</v>
      </c>
      <c r="Y4" s="64">
        <v>44.150669999999998</v>
      </c>
      <c r="Z4" s="64">
        <v>42.528283999999999</v>
      </c>
      <c r="AA4" s="64">
        <v>1E-4</v>
      </c>
      <c r="AB4" s="28">
        <v>2.53053621555713</v>
      </c>
      <c r="AC4" s="28">
        <v>5.1700245636405597</v>
      </c>
      <c r="AD4" s="64">
        <v>1.6426339999999999</v>
      </c>
      <c r="AE4" s="2">
        <v>0.10430418240273399</v>
      </c>
      <c r="AF4" s="13">
        <v>0.57638438653270396</v>
      </c>
      <c r="AG4" t="s">
        <v>114</v>
      </c>
    </row>
    <row r="5" spans="1:33" ht="15" thickBot="1" x14ac:dyDescent="0.35">
      <c r="A5" s="15" t="s">
        <v>115</v>
      </c>
      <c r="B5" s="6" t="s">
        <v>70</v>
      </c>
      <c r="C5" s="6" t="s">
        <v>110</v>
      </c>
      <c r="D5" s="6" t="s">
        <v>151</v>
      </c>
      <c r="E5" s="253">
        <v>5.79E-2</v>
      </c>
      <c r="F5" s="253">
        <v>0.17011000000000001</v>
      </c>
      <c r="G5" s="253">
        <v>116.79993</v>
      </c>
      <c r="H5" s="6">
        <v>46</v>
      </c>
      <c r="I5" s="6">
        <v>1000</v>
      </c>
      <c r="J5" s="6">
        <v>25</v>
      </c>
      <c r="K5" s="6">
        <v>1.5</v>
      </c>
      <c r="L5" s="6">
        <v>1.5</v>
      </c>
      <c r="M5" s="6">
        <v>0.7</v>
      </c>
      <c r="N5" s="213">
        <v>0.01</v>
      </c>
      <c r="O5" s="6">
        <v>1.28824834718083E-3</v>
      </c>
      <c r="P5" s="6">
        <f>60+59.04</f>
        <v>119.03999999999999</v>
      </c>
      <c r="Q5" s="172">
        <f t="shared" si="0"/>
        <v>1.9839999999999998</v>
      </c>
      <c r="R5" s="6">
        <v>212</v>
      </c>
      <c r="S5" s="6">
        <v>7.2350665902395805E-2</v>
      </c>
      <c r="T5" s="6">
        <v>1.661370709394</v>
      </c>
      <c r="U5" s="131">
        <v>5.27666352393301</v>
      </c>
      <c r="V5" s="130">
        <v>9.6469999999999993E-3</v>
      </c>
      <c r="W5" s="130">
        <v>8.5518540000000005</v>
      </c>
      <c r="X5" s="130">
        <v>7.1656500000000003</v>
      </c>
      <c r="Y5" s="130">
        <v>44.150669999999998</v>
      </c>
      <c r="Z5" s="130">
        <v>42.528283999999999</v>
      </c>
      <c r="AA5" s="130">
        <v>1E-4</v>
      </c>
      <c r="AB5" s="131">
        <v>3.56670862546062</v>
      </c>
      <c r="AC5" s="131">
        <v>7.4683228372815602</v>
      </c>
      <c r="AD5" s="130">
        <v>1.6426339999999999</v>
      </c>
      <c r="AE5" s="6">
        <v>0.99391512324229703</v>
      </c>
      <c r="AF5" s="27">
        <v>0.25184995954331102</v>
      </c>
    </row>
    <row r="6" spans="1:33" x14ac:dyDescent="0.3">
      <c r="A6" s="161" t="s">
        <v>117</v>
      </c>
      <c r="B6" s="162" t="s">
        <v>70</v>
      </c>
      <c r="C6" s="162" t="s">
        <v>116</v>
      </c>
      <c r="D6" s="162" t="s">
        <v>151</v>
      </c>
      <c r="E6" s="162">
        <v>6.2909999999999994E-2</v>
      </c>
      <c r="F6" s="162">
        <v>0.14862</v>
      </c>
      <c r="G6" s="247">
        <v>119.32777</v>
      </c>
      <c r="H6" s="162">
        <v>36</v>
      </c>
      <c r="I6" s="162">
        <v>1000</v>
      </c>
      <c r="J6" s="162">
        <v>25</v>
      </c>
      <c r="K6" s="162">
        <v>1.5</v>
      </c>
      <c r="L6" s="162">
        <v>1.5</v>
      </c>
      <c r="M6" s="162">
        <v>0.7</v>
      </c>
      <c r="N6" s="222">
        <v>0.01</v>
      </c>
      <c r="O6" s="162">
        <v>5.45242703721959E-4</v>
      </c>
      <c r="P6" s="162">
        <f>4*60+3.21</f>
        <v>243.21</v>
      </c>
      <c r="Q6" s="76">
        <f t="shared" si="0"/>
        <v>4.0535000000000005</v>
      </c>
      <c r="R6" s="162">
        <v>308</v>
      </c>
      <c r="S6" s="162">
        <v>9.2688582178426501E-2</v>
      </c>
      <c r="T6" s="162">
        <v>0.82698514617913099</v>
      </c>
      <c r="U6" s="223">
        <v>3.3130029661054099</v>
      </c>
      <c r="V6" s="164">
        <v>9.6469999999999993E-3</v>
      </c>
      <c r="W6" s="164">
        <v>8.5518540000000005</v>
      </c>
      <c r="X6" s="164">
        <v>7.1656500000000003</v>
      </c>
      <c r="Y6" s="164">
        <v>44.150669999999998</v>
      </c>
      <c r="Z6" s="164">
        <v>42.528283999999999</v>
      </c>
      <c r="AA6" s="164">
        <v>1E-4</v>
      </c>
      <c r="AB6" s="223">
        <v>3.1433656080569699</v>
      </c>
      <c r="AC6" s="223">
        <v>9.3510696982053094</v>
      </c>
      <c r="AD6" s="164">
        <v>1.6426339999999999</v>
      </c>
      <c r="AE6" s="162">
        <v>0.215128011883576</v>
      </c>
      <c r="AF6" s="224">
        <v>0.58559062847041299</v>
      </c>
      <c r="AG6" t="s">
        <v>92</v>
      </c>
    </row>
    <row r="7" spans="1:33" x14ac:dyDescent="0.3">
      <c r="A7" s="12" t="s">
        <v>118</v>
      </c>
      <c r="B7" s="2" t="s">
        <v>70</v>
      </c>
      <c r="C7" s="2" t="s">
        <v>116</v>
      </c>
      <c r="D7" s="2" t="s">
        <v>151</v>
      </c>
      <c r="E7" s="238">
        <v>2.5499999999999998E-2</v>
      </c>
      <c r="F7" s="2">
        <v>0.14379</v>
      </c>
      <c r="G7" s="237">
        <v>121.05225</v>
      </c>
      <c r="H7" s="2">
        <v>35</v>
      </c>
      <c r="I7" s="2">
        <v>1000</v>
      </c>
      <c r="J7" s="2">
        <v>25</v>
      </c>
      <c r="K7" s="2">
        <v>1.5</v>
      </c>
      <c r="L7" s="2">
        <v>1.5</v>
      </c>
      <c r="M7" s="2">
        <v>0.7</v>
      </c>
      <c r="N7" s="208">
        <v>0.01</v>
      </c>
      <c r="O7" s="217">
        <v>5.1794160110028799E-4</v>
      </c>
      <c r="P7" s="2">
        <f>2*60+31.04</f>
        <v>151.04</v>
      </c>
      <c r="Q7" s="51">
        <f t="shared" si="0"/>
        <v>2.5173333333333332</v>
      </c>
      <c r="R7" s="2">
        <v>136</v>
      </c>
      <c r="S7" s="220">
        <v>0.184225106052644</v>
      </c>
      <c r="T7" s="28">
        <v>2.9503726109964701</v>
      </c>
      <c r="U7" s="28">
        <v>2.0427886845833201</v>
      </c>
      <c r="V7" s="64">
        <v>9.6469999999999993E-3</v>
      </c>
      <c r="W7" s="64">
        <v>8.5518540000000005</v>
      </c>
      <c r="X7" s="64">
        <v>7.1656500000000003</v>
      </c>
      <c r="Y7" s="64">
        <v>44.150669999999998</v>
      </c>
      <c r="Z7" s="64">
        <v>42.528283999999999</v>
      </c>
      <c r="AA7" s="64">
        <v>1E-4</v>
      </c>
      <c r="AB7" s="28">
        <v>4.4918699630599797</v>
      </c>
      <c r="AC7" s="28">
        <v>6.9729048484649603</v>
      </c>
      <c r="AD7" s="64">
        <v>1.6426339999999999</v>
      </c>
      <c r="AE7" s="2">
        <v>0.40447641067149598</v>
      </c>
      <c r="AF7" s="13">
        <v>0.37700283178585597</v>
      </c>
    </row>
    <row r="8" spans="1:33" x14ac:dyDescent="0.3">
      <c r="A8" s="12" t="s">
        <v>119</v>
      </c>
      <c r="B8" s="2" t="s">
        <v>70</v>
      </c>
      <c r="C8" s="2" t="s">
        <v>116</v>
      </c>
      <c r="D8" s="2" t="s">
        <v>151</v>
      </c>
      <c r="E8" s="257">
        <v>5.9499999999999997E-2</v>
      </c>
      <c r="F8" s="2">
        <v>0.28656999999999999</v>
      </c>
      <c r="G8" s="237">
        <v>121.6</v>
      </c>
      <c r="H8" s="2">
        <v>40</v>
      </c>
      <c r="I8" s="2">
        <v>1000</v>
      </c>
      <c r="J8" s="2">
        <v>25</v>
      </c>
      <c r="K8" s="2">
        <v>1.5</v>
      </c>
      <c r="L8" s="2">
        <v>1.5</v>
      </c>
      <c r="M8" s="2">
        <v>0.7</v>
      </c>
      <c r="N8" s="208">
        <v>0.01</v>
      </c>
      <c r="O8" s="2">
        <v>2.6807562214175599E-3</v>
      </c>
      <c r="P8" s="2">
        <f>14*60+48.75</f>
        <v>888.75</v>
      </c>
      <c r="Q8" s="51">
        <f t="shared" si="0"/>
        <v>14.8125</v>
      </c>
      <c r="R8" s="2">
        <v>82</v>
      </c>
      <c r="S8" s="2">
        <v>9.2611654619837794E-2</v>
      </c>
      <c r="T8" s="28">
        <v>2.3968675731176798</v>
      </c>
      <c r="U8" s="28">
        <v>1.02819811558411</v>
      </c>
      <c r="V8" s="64">
        <v>9.6469999999999993E-3</v>
      </c>
      <c r="W8" s="64">
        <v>8.5518540000000005</v>
      </c>
      <c r="X8" s="64">
        <v>7.1656500000000003</v>
      </c>
      <c r="Y8" s="64">
        <v>44.150669999999998</v>
      </c>
      <c r="Z8" s="64">
        <v>42.528283999999999</v>
      </c>
      <c r="AA8" s="64">
        <v>1E-4</v>
      </c>
      <c r="AB8" s="28">
        <v>5.9702543904673604</v>
      </c>
      <c r="AC8" s="28">
        <v>4.5947725392950103</v>
      </c>
      <c r="AD8" s="64">
        <v>1.6426339999999999</v>
      </c>
      <c r="AE8" s="65">
        <v>0.356330797947227</v>
      </c>
      <c r="AF8" s="13">
        <v>0.64854762525253196</v>
      </c>
    </row>
    <row r="9" spans="1:33" ht="15" thickBot="1" x14ac:dyDescent="0.35">
      <c r="A9" s="15" t="s">
        <v>120</v>
      </c>
      <c r="B9" s="6" t="s">
        <v>70</v>
      </c>
      <c r="C9" s="6" t="s">
        <v>116</v>
      </c>
      <c r="D9" s="6" t="s">
        <v>151</v>
      </c>
      <c r="E9" s="6">
        <v>5.1389999999999998E-2</v>
      </c>
      <c r="F9" s="6">
        <v>0.19664999999999999</v>
      </c>
      <c r="G9" s="255">
        <v>118.81677999999999</v>
      </c>
      <c r="H9" s="6">
        <v>35</v>
      </c>
      <c r="I9" s="6">
        <v>1000</v>
      </c>
      <c r="J9" s="6">
        <v>25</v>
      </c>
      <c r="K9" s="6">
        <v>1.5</v>
      </c>
      <c r="L9" s="6">
        <v>1.5</v>
      </c>
      <c r="M9" s="6">
        <v>0.7</v>
      </c>
      <c r="N9" s="213">
        <v>0.01</v>
      </c>
      <c r="O9" s="149">
        <v>2.0583968975858001E-3</v>
      </c>
      <c r="P9" s="6">
        <f>2*60+32.66</f>
        <v>152.66</v>
      </c>
      <c r="Q9" s="172">
        <f t="shared" si="0"/>
        <v>2.5443333333333333</v>
      </c>
      <c r="R9" s="6">
        <v>279</v>
      </c>
      <c r="S9" s="149">
        <v>8.8806501677895E-2</v>
      </c>
      <c r="T9" s="131">
        <v>3.3523979079684798</v>
      </c>
      <c r="U9" s="131">
        <v>3.38237645491412</v>
      </c>
      <c r="V9" s="130">
        <v>9.6469999999999993E-3</v>
      </c>
      <c r="W9" s="130">
        <v>8.5518540000000005</v>
      </c>
      <c r="X9" s="130">
        <v>7.1656500000000003</v>
      </c>
      <c r="Y9" s="130">
        <v>44.150669999999998</v>
      </c>
      <c r="Z9" s="130">
        <v>42.528283999999999</v>
      </c>
      <c r="AA9" s="130">
        <v>1E-4</v>
      </c>
      <c r="AB9" s="131">
        <v>4.6632521409408598</v>
      </c>
      <c r="AC9" s="131">
        <v>3.37161231449543</v>
      </c>
      <c r="AD9" s="130">
        <v>1.6426339999999999</v>
      </c>
      <c r="AE9" s="6">
        <v>0.93668432182181804</v>
      </c>
      <c r="AF9" s="27">
        <v>0.22641692257075399</v>
      </c>
    </row>
    <row r="10" spans="1:33" x14ac:dyDescent="0.3">
      <c r="A10" s="8" t="s">
        <v>121</v>
      </c>
      <c r="B10" s="9" t="s">
        <v>70</v>
      </c>
      <c r="C10" s="9" t="s">
        <v>122</v>
      </c>
      <c r="D10" s="9" t="s">
        <v>151</v>
      </c>
      <c r="E10" s="258">
        <v>5.9499999999999997E-2</v>
      </c>
      <c r="F10" s="256">
        <v>0.14987</v>
      </c>
      <c r="G10" s="236">
        <v>120.99569</v>
      </c>
      <c r="H10" s="162">
        <v>49</v>
      </c>
      <c r="I10" s="9">
        <v>1000</v>
      </c>
      <c r="J10" s="9">
        <v>25</v>
      </c>
      <c r="K10" s="9">
        <v>1.5</v>
      </c>
      <c r="L10" s="9">
        <v>1.5</v>
      </c>
      <c r="M10" s="9">
        <v>0.7</v>
      </c>
      <c r="N10" s="212">
        <v>0.01</v>
      </c>
      <c r="O10" s="191">
        <v>1.0803960696777501E-3</v>
      </c>
      <c r="P10" s="9">
        <f>2*60+6.49</f>
        <v>126.49</v>
      </c>
      <c r="Q10" s="66">
        <f t="shared" si="0"/>
        <v>2.1081666666666665</v>
      </c>
      <c r="R10" s="9">
        <v>305</v>
      </c>
      <c r="S10" s="191">
        <v>2.8278903668067599E-2</v>
      </c>
      <c r="T10" s="40">
        <v>2.38404996610933</v>
      </c>
      <c r="U10" s="40">
        <v>4.4014286023129197</v>
      </c>
      <c r="V10" s="68">
        <v>9.6469999999999993E-3</v>
      </c>
      <c r="W10" s="68">
        <v>8.5518540000000005</v>
      </c>
      <c r="X10" s="68">
        <v>7.1656500000000003</v>
      </c>
      <c r="Y10" s="68">
        <v>44.150669999999998</v>
      </c>
      <c r="Z10" s="68">
        <v>42.528283999999999</v>
      </c>
      <c r="AA10" s="68">
        <v>1E-4</v>
      </c>
      <c r="AB10" s="40">
        <v>1.8014323415062901</v>
      </c>
      <c r="AC10" s="40">
        <v>4.5414411133846002</v>
      </c>
      <c r="AD10" s="68">
        <v>1.6426339999999999</v>
      </c>
      <c r="AE10" s="9">
        <v>0.51124238628788099</v>
      </c>
      <c r="AF10" s="11">
        <v>0.29495795253380303</v>
      </c>
    </row>
    <row r="11" spans="1:33" x14ac:dyDescent="0.3">
      <c r="A11" s="12" t="s">
        <v>123</v>
      </c>
      <c r="B11" s="2" t="s">
        <v>70</v>
      </c>
      <c r="C11" s="2" t="s">
        <v>122</v>
      </c>
      <c r="D11" s="2" t="s">
        <v>151</v>
      </c>
      <c r="E11" s="238">
        <v>3.8530000000000002E-2</v>
      </c>
      <c r="F11" s="238">
        <v>0.14248</v>
      </c>
      <c r="G11" s="237">
        <v>121</v>
      </c>
      <c r="H11" s="2">
        <v>41</v>
      </c>
      <c r="I11" s="2">
        <v>1000</v>
      </c>
      <c r="J11" s="2">
        <v>25</v>
      </c>
      <c r="K11" s="2">
        <v>1.5</v>
      </c>
      <c r="L11" s="2">
        <v>1.5</v>
      </c>
      <c r="M11" s="2">
        <v>0.7</v>
      </c>
      <c r="N11" s="208">
        <v>0.01</v>
      </c>
      <c r="O11" s="217">
        <v>4.3972553486052698E-4</v>
      </c>
      <c r="P11" s="2">
        <f>60+40.41</f>
        <v>100.41</v>
      </c>
      <c r="Q11" s="51">
        <f t="shared" ref="Q11:Q13" si="1">P11/60</f>
        <v>1.6735</v>
      </c>
      <c r="R11" s="2">
        <v>128</v>
      </c>
      <c r="S11" s="2">
        <v>9.22037845501157E-2</v>
      </c>
      <c r="T11" s="28">
        <v>2.6433716459905501</v>
      </c>
      <c r="U11" s="101">
        <v>0.66858669961273698</v>
      </c>
      <c r="V11" s="64">
        <v>9.6469999999999993E-3</v>
      </c>
      <c r="W11" s="64">
        <v>8.5518540000000005</v>
      </c>
      <c r="X11" s="64">
        <v>7.1656500000000003</v>
      </c>
      <c r="Y11" s="64">
        <v>44.150669999999998</v>
      </c>
      <c r="Z11" s="64">
        <v>42.528283999999999</v>
      </c>
      <c r="AA11" s="64">
        <v>1E-4</v>
      </c>
      <c r="AB11" s="28">
        <v>4.1989298495253999</v>
      </c>
      <c r="AC11" s="28">
        <v>6.0398716017856096</v>
      </c>
      <c r="AD11" s="64">
        <v>1.6426339999999999</v>
      </c>
      <c r="AE11" s="2">
        <v>0.51999971548750701</v>
      </c>
      <c r="AF11" s="13">
        <v>0.164395651736431</v>
      </c>
    </row>
    <row r="12" spans="1:33" x14ac:dyDescent="0.3">
      <c r="A12" s="12" t="s">
        <v>124</v>
      </c>
      <c r="B12" s="2" t="s">
        <v>70</v>
      </c>
      <c r="C12" s="2" t="s">
        <v>122</v>
      </c>
      <c r="D12" s="2" t="s">
        <v>151</v>
      </c>
      <c r="E12" s="257">
        <v>5.9499999999999997E-2</v>
      </c>
      <c r="F12" s="238">
        <v>0.1497</v>
      </c>
      <c r="G12" s="237">
        <v>121.38906</v>
      </c>
      <c r="H12" s="2">
        <v>52</v>
      </c>
      <c r="I12" s="2">
        <v>1000</v>
      </c>
      <c r="J12" s="2">
        <v>25</v>
      </c>
      <c r="K12" s="2">
        <v>1.5</v>
      </c>
      <c r="L12" s="2">
        <v>1.5</v>
      </c>
      <c r="M12" s="2">
        <v>0.7</v>
      </c>
      <c r="N12" s="208">
        <v>0.01</v>
      </c>
      <c r="O12" s="2">
        <v>1.24854757679294E-3</v>
      </c>
      <c r="P12" s="2">
        <f>60+2.87</f>
        <v>62.87</v>
      </c>
      <c r="Q12" s="51">
        <f t="shared" si="1"/>
        <v>1.0478333333333334</v>
      </c>
      <c r="R12" s="2">
        <v>131</v>
      </c>
      <c r="S12" s="2">
        <v>2.96311889904202E-2</v>
      </c>
      <c r="T12" s="28">
        <v>1.14071996123754</v>
      </c>
      <c r="U12" s="3">
        <v>9.9999999999877502</v>
      </c>
      <c r="V12" s="64">
        <v>9.6469999999999993E-3</v>
      </c>
      <c r="W12" s="64">
        <v>8.5518540000000005</v>
      </c>
      <c r="X12" s="64">
        <v>7.1656500000000003</v>
      </c>
      <c r="Y12" s="64">
        <v>44.150669999999998</v>
      </c>
      <c r="Z12" s="64">
        <v>42.528283999999999</v>
      </c>
      <c r="AA12" s="64">
        <v>1E-4</v>
      </c>
      <c r="AB12" s="2">
        <v>0.96881493251810902</v>
      </c>
      <c r="AC12" s="28">
        <v>8.9496248051770806</v>
      </c>
      <c r="AD12" s="64">
        <v>1.6426339999999999</v>
      </c>
      <c r="AE12" s="2">
        <v>0.10000481200891199</v>
      </c>
      <c r="AF12" s="13">
        <v>0.80615988242499903</v>
      </c>
    </row>
    <row r="13" spans="1:33" ht="15" thickBot="1" x14ac:dyDescent="0.35">
      <c r="A13" s="15" t="s">
        <v>125</v>
      </c>
      <c r="B13" s="6" t="s">
        <v>70</v>
      </c>
      <c r="C13" s="6" t="s">
        <v>122</v>
      </c>
      <c r="D13" s="6" t="s">
        <v>152</v>
      </c>
      <c r="E13" s="253">
        <v>0.2</v>
      </c>
      <c r="F13" s="253">
        <v>0.15121000000000001</v>
      </c>
      <c r="G13" s="255">
        <v>121.10926000000001</v>
      </c>
      <c r="H13" s="6">
        <v>35</v>
      </c>
      <c r="I13" s="6">
        <v>1000</v>
      </c>
      <c r="J13" s="6">
        <v>25</v>
      </c>
      <c r="K13" s="6">
        <v>1.5</v>
      </c>
      <c r="L13" s="6">
        <v>1.5</v>
      </c>
      <c r="M13" s="6">
        <v>0.7</v>
      </c>
      <c r="N13" s="213">
        <v>0.01</v>
      </c>
      <c r="O13" s="6">
        <v>3.2809640951366801E-3</v>
      </c>
      <c r="P13" s="128">
        <v>42</v>
      </c>
      <c r="Q13" s="172">
        <f t="shared" si="1"/>
        <v>0.7</v>
      </c>
      <c r="R13" s="6">
        <v>75</v>
      </c>
      <c r="S13" s="149">
        <v>4.0822695083438602E-2</v>
      </c>
      <c r="T13" s="131">
        <v>3.9857931809526601</v>
      </c>
      <c r="U13" s="131">
        <v>5.4224424779974996</v>
      </c>
      <c r="V13" s="130">
        <v>9.6469999999999993E-3</v>
      </c>
      <c r="W13" s="130">
        <v>8.5518540000000005</v>
      </c>
      <c r="X13" s="130">
        <v>7.1656500000000003</v>
      </c>
      <c r="Y13" s="130">
        <v>44.150669999999998</v>
      </c>
      <c r="Z13" s="130">
        <v>42.528283999999999</v>
      </c>
      <c r="AA13" s="130">
        <v>1E-4</v>
      </c>
      <c r="AB13" s="6">
        <v>0.11828668451781101</v>
      </c>
      <c r="AC13" s="131">
        <v>6.1500927633445803</v>
      </c>
      <c r="AD13" s="130">
        <v>1.6426339999999999</v>
      </c>
      <c r="AE13" s="149">
        <v>0.24508389712613601</v>
      </c>
      <c r="AF13" s="27">
        <v>0.71906850575006298</v>
      </c>
    </row>
    <row r="14" spans="1:33" x14ac:dyDescent="0.3">
      <c r="A14" s="161" t="s">
        <v>139</v>
      </c>
      <c r="B14" s="162" t="s">
        <v>70</v>
      </c>
      <c r="C14" s="162" t="s">
        <v>140</v>
      </c>
      <c r="D14" s="162" t="s">
        <v>151</v>
      </c>
      <c r="E14" s="254">
        <v>7.3230000000000003E-2</v>
      </c>
      <c r="F14" s="254">
        <v>7.8829999999999997E-2</v>
      </c>
      <c r="G14" s="247">
        <v>121.0861</v>
      </c>
      <c r="H14" s="162">
        <v>53</v>
      </c>
      <c r="I14" s="162">
        <v>1000</v>
      </c>
      <c r="J14" s="162">
        <v>25</v>
      </c>
      <c r="K14" s="162">
        <v>1.5</v>
      </c>
      <c r="L14" s="162">
        <v>1.5</v>
      </c>
      <c r="M14" s="162">
        <v>0.7</v>
      </c>
      <c r="N14" s="222">
        <v>0.01</v>
      </c>
      <c r="O14" s="234">
        <v>1.46499317332461E-3</v>
      </c>
      <c r="P14" s="162">
        <f>2*60+22.57</f>
        <v>142.57</v>
      </c>
      <c r="Q14" s="76">
        <f>P14/60</f>
        <v>2.3761666666666668</v>
      </c>
      <c r="R14" s="162">
        <v>152</v>
      </c>
      <c r="S14" s="234">
        <v>9.2110415700104906E-2</v>
      </c>
      <c r="T14" s="223">
        <v>3.7385119063900598</v>
      </c>
      <c r="U14" s="223">
        <v>1.05726685618283</v>
      </c>
      <c r="V14" s="164">
        <v>9.6469999999999993E-3</v>
      </c>
      <c r="W14" s="164">
        <v>8.5518540000000005</v>
      </c>
      <c r="X14" s="164">
        <v>7.1656500000000003</v>
      </c>
      <c r="Y14" s="164">
        <v>44.150669999999998</v>
      </c>
      <c r="Z14" s="164">
        <v>42.528283999999999</v>
      </c>
      <c r="AA14" s="164">
        <v>1E-4</v>
      </c>
      <c r="AB14" s="223">
        <v>4.4737864636368698</v>
      </c>
      <c r="AC14" s="223">
        <v>9.7209060939352803</v>
      </c>
      <c r="AD14" s="164">
        <v>1.6426339999999999</v>
      </c>
      <c r="AE14" s="162">
        <v>0.60032924445368796</v>
      </c>
      <c r="AF14" s="224">
        <v>0.17328355438927301</v>
      </c>
    </row>
    <row r="15" spans="1:33" x14ac:dyDescent="0.3">
      <c r="A15" s="12" t="s">
        <v>142</v>
      </c>
      <c r="B15" s="2" t="s">
        <v>70</v>
      </c>
      <c r="C15" s="2" t="s">
        <v>140</v>
      </c>
      <c r="D15" s="2" t="s">
        <v>151</v>
      </c>
      <c r="E15" s="238">
        <v>8.2890000000000005E-2</v>
      </c>
      <c r="F15" s="238">
        <v>0.13661000000000001</v>
      </c>
      <c r="G15" s="237">
        <v>121.37479</v>
      </c>
      <c r="H15" s="2">
        <v>47</v>
      </c>
      <c r="I15" s="2">
        <v>1000</v>
      </c>
      <c r="J15" s="2">
        <v>25</v>
      </c>
      <c r="K15" s="2">
        <v>1.5</v>
      </c>
      <c r="L15" s="2">
        <v>1.5</v>
      </c>
      <c r="M15" s="2">
        <v>0.7</v>
      </c>
      <c r="N15" s="208">
        <v>0.01</v>
      </c>
      <c r="O15" s="2">
        <v>2.9740324177451099E-3</v>
      </c>
      <c r="P15" s="2">
        <f>6*60+33.59</f>
        <v>393.59000000000003</v>
      </c>
      <c r="Q15" s="51">
        <f>P15/60</f>
        <v>6.5598333333333336</v>
      </c>
      <c r="R15" s="2">
        <v>430</v>
      </c>
      <c r="S15" s="65">
        <v>8.4825421172936594E-2</v>
      </c>
      <c r="T15" s="28">
        <v>0.48818172934975801</v>
      </c>
      <c r="U15" s="101">
        <v>1.43081256531017</v>
      </c>
      <c r="V15" s="64">
        <v>9.6469999999999993E-3</v>
      </c>
      <c r="W15" s="64">
        <v>8.5518540000000005</v>
      </c>
      <c r="X15" s="64">
        <v>7.1656500000000003</v>
      </c>
      <c r="Y15" s="64">
        <v>44.150669999999998</v>
      </c>
      <c r="Z15" s="64">
        <v>42.528283999999999</v>
      </c>
      <c r="AA15" s="64">
        <v>1E-4</v>
      </c>
      <c r="AB15" s="28">
        <v>9.9990891917298299</v>
      </c>
      <c r="AC15" s="28">
        <v>7.4850888163935601</v>
      </c>
      <c r="AD15" s="64">
        <v>1.6426339999999999</v>
      </c>
      <c r="AE15" s="2">
        <v>0.44781587798914801</v>
      </c>
      <c r="AF15" s="13">
        <v>0.31687108587711099</v>
      </c>
    </row>
    <row r="16" spans="1:33" x14ac:dyDescent="0.3">
      <c r="A16" s="12" t="s">
        <v>144</v>
      </c>
      <c r="B16" s="2" t="s">
        <v>70</v>
      </c>
      <c r="C16" s="2" t="s">
        <v>140</v>
      </c>
      <c r="D16" s="2" t="s">
        <v>151</v>
      </c>
      <c r="E16" s="238">
        <v>7.3029999999999998E-2</v>
      </c>
      <c r="F16" s="238">
        <v>0.13259000000000001</v>
      </c>
      <c r="G16" s="237">
        <v>121.85446</v>
      </c>
      <c r="H16" s="2">
        <v>64</v>
      </c>
      <c r="I16" s="2">
        <v>1000</v>
      </c>
      <c r="J16" s="2">
        <v>25</v>
      </c>
      <c r="K16" s="2">
        <v>1.5</v>
      </c>
      <c r="L16" s="2">
        <v>1.5</v>
      </c>
      <c r="M16" s="2">
        <v>0.7</v>
      </c>
      <c r="N16" s="208">
        <v>0.01</v>
      </c>
      <c r="O16" s="2">
        <v>3.46614518743284E-3</v>
      </c>
      <c r="P16" s="2">
        <v>47.79</v>
      </c>
      <c r="Q16" s="51">
        <f>P16/60</f>
        <v>0.79649999999999999</v>
      </c>
      <c r="R16" s="2">
        <v>103</v>
      </c>
      <c r="S16" s="65">
        <v>2.66817702329844E-2</v>
      </c>
      <c r="T16" s="28">
        <v>0.86784840904392901</v>
      </c>
      <c r="U16" s="28">
        <v>3.1751498661104298</v>
      </c>
      <c r="V16" s="64">
        <v>9.6469999999999993E-3</v>
      </c>
      <c r="W16" s="64">
        <v>8.5518540000000005</v>
      </c>
      <c r="X16" s="64">
        <v>7.1656500000000003</v>
      </c>
      <c r="Y16" s="64">
        <v>44.150669999999998</v>
      </c>
      <c r="Z16" s="64">
        <v>42.528283999999999</v>
      </c>
      <c r="AA16" s="64">
        <v>1E-4</v>
      </c>
      <c r="AB16" s="28">
        <v>4.5834779575300502</v>
      </c>
      <c r="AC16" s="28">
        <v>8.7896370186943606</v>
      </c>
      <c r="AD16" s="64">
        <v>1.6426339999999999</v>
      </c>
      <c r="AE16" s="65">
        <v>0.104624499501194</v>
      </c>
      <c r="AF16" s="216">
        <v>0.60302840011112602</v>
      </c>
    </row>
    <row r="17" spans="1:32" ht="15" thickBot="1" x14ac:dyDescent="0.35">
      <c r="A17" s="15" t="s">
        <v>145</v>
      </c>
      <c r="B17" s="6" t="s">
        <v>70</v>
      </c>
      <c r="C17" s="6" t="s">
        <v>140</v>
      </c>
      <c r="D17" s="6" t="s">
        <v>151</v>
      </c>
      <c r="E17" s="259">
        <v>5.9499999999999997E-2</v>
      </c>
      <c r="F17" s="253">
        <v>0.14532999999999999</v>
      </c>
      <c r="G17" s="255">
        <v>121.0857</v>
      </c>
      <c r="H17" s="6">
        <v>54</v>
      </c>
      <c r="I17" s="6">
        <v>1000</v>
      </c>
      <c r="J17" s="6">
        <v>25</v>
      </c>
      <c r="K17" s="6">
        <v>1.5</v>
      </c>
      <c r="L17" s="6">
        <v>1.5</v>
      </c>
      <c r="M17" s="6">
        <v>0.7</v>
      </c>
      <c r="N17" s="213">
        <v>0.01</v>
      </c>
      <c r="O17" s="218">
        <v>7.2261569658176202E-4</v>
      </c>
      <c r="P17" s="6">
        <f>60+5.13</f>
        <v>65.13</v>
      </c>
      <c r="Q17" s="172">
        <f>P17/60</f>
        <v>1.0854999999999999</v>
      </c>
      <c r="R17" s="6">
        <v>123</v>
      </c>
      <c r="S17" s="149">
        <v>5.2129883046071399E-2</v>
      </c>
      <c r="T17" s="131">
        <v>6.4001389510222797</v>
      </c>
      <c r="U17" s="131">
        <v>2.7768277294663402</v>
      </c>
      <c r="V17" s="130">
        <v>9.6469999999999993E-3</v>
      </c>
      <c r="W17" s="130">
        <v>8.5518540000000005</v>
      </c>
      <c r="X17" s="130">
        <v>7.1656500000000003</v>
      </c>
      <c r="Y17" s="130">
        <v>44.150669999999998</v>
      </c>
      <c r="Z17" s="130">
        <v>42.528283999999999</v>
      </c>
      <c r="AA17" s="130">
        <v>1E-4</v>
      </c>
      <c r="AB17" s="131">
        <v>1.74194908515178</v>
      </c>
      <c r="AC17" s="131">
        <v>3.1982747491214298</v>
      </c>
      <c r="AD17" s="130">
        <v>1.6426339999999999</v>
      </c>
      <c r="AE17" s="149">
        <v>0.72818569861117499</v>
      </c>
      <c r="AF17" s="27">
        <v>0.199932647799377</v>
      </c>
    </row>
    <row r="18" spans="1:32" x14ac:dyDescent="0.3">
      <c r="G18" s="246"/>
    </row>
    <row r="20" spans="1:32" x14ac:dyDescent="0.3">
      <c r="H20">
        <f>SUM(H2:H5)</f>
        <v>203</v>
      </c>
      <c r="M20" s="214"/>
      <c r="R20" s="210" t="s">
        <v>127</v>
      </c>
      <c r="S20" s="210">
        <f>AVERAGE(S2:S5)</f>
        <v>9.2298363684499451E-2</v>
      </c>
      <c r="T20" s="219">
        <f>AVERAGE(T2:T5)</f>
        <v>1.4329067184418673</v>
      </c>
      <c r="U20" s="215">
        <f>AVERAGE(U2:U5)</f>
        <v>5.7996119857887543</v>
      </c>
      <c r="V20" s="210"/>
      <c r="W20" s="210"/>
      <c r="X20" s="210"/>
      <c r="Y20" s="210"/>
      <c r="Z20" s="210"/>
      <c r="AA20" s="210"/>
      <c r="AB20" s="215">
        <f>AVERAGE(AB2:AB5)</f>
        <v>3.5090837563444373</v>
      </c>
      <c r="AC20" s="215">
        <f>AVERAGE(AC2:AC5)</f>
        <v>6.4898138659096531</v>
      </c>
      <c r="AD20" s="210"/>
      <c r="AE20" s="215">
        <f>AVERAGE(AE2:AE5)</f>
        <v>0.35703827704971747</v>
      </c>
      <c r="AF20" s="215">
        <f>AVERAGE(AF2:AF5)</f>
        <v>0.6505524194218153</v>
      </c>
    </row>
    <row r="21" spans="1:32" x14ac:dyDescent="0.3">
      <c r="M21" s="214"/>
      <c r="R21" s="52" t="s">
        <v>126</v>
      </c>
      <c r="S21" s="2">
        <f>_xlfn.STDEV.S(S2:S5)</f>
        <v>5.6623375029387607E-2</v>
      </c>
      <c r="T21" s="110">
        <f>_xlfn.STDEV.S(T2:T5)</f>
        <v>1.0674755455728331</v>
      </c>
      <c r="U21" s="65">
        <f>_xlfn.STDEV.S(U2:U5)</f>
        <v>3.7373191145113278</v>
      </c>
      <c r="V21" s="2"/>
      <c r="W21" s="2"/>
      <c r="X21" s="2"/>
      <c r="Y21" s="2"/>
      <c r="Z21" s="2"/>
      <c r="AA21" s="2"/>
      <c r="AB21" s="65">
        <f>_xlfn.STDEV.S(AB2:AB5)</f>
        <v>2.1862359325412095</v>
      </c>
      <c r="AC21" s="65">
        <f>_xlfn.STDEV.S(AC2:AC5)</f>
        <v>1.7784686194618968</v>
      </c>
      <c r="AD21" s="2"/>
      <c r="AE21" s="65">
        <f>_xlfn.STDEV.S(AE2:AE5)</f>
        <v>0.42569788985141976</v>
      </c>
      <c r="AF21" s="65">
        <f>_xlfn.STDEV.S(AF2:AF5)</f>
        <v>0.31051964173200736</v>
      </c>
    </row>
    <row r="22" spans="1:32" x14ac:dyDescent="0.3">
      <c r="H22">
        <f>SUM(H6:H9)</f>
        <v>146</v>
      </c>
      <c r="M22" s="214"/>
      <c r="R22" s="210" t="s">
        <v>128</v>
      </c>
      <c r="S22" s="210">
        <f>AVERAGE(S6:S9)</f>
        <v>0.11458296113220082</v>
      </c>
      <c r="T22" s="219">
        <f>AVERAGE(T6:T9)</f>
        <v>2.3816558095654399</v>
      </c>
      <c r="U22" s="215">
        <f>AVERAGE(U6:U9)</f>
        <v>2.44159155529674</v>
      </c>
      <c r="V22" s="210"/>
      <c r="W22" s="210"/>
      <c r="X22" s="210"/>
      <c r="Y22" s="210"/>
      <c r="Z22" s="210"/>
      <c r="AA22" s="210"/>
      <c r="AB22" s="215">
        <f>AVERAGE(AB6:AB9)</f>
        <v>4.5671855256312925</v>
      </c>
      <c r="AC22" s="215">
        <f>AVERAGE(AC6:AC9)</f>
        <v>6.072589850115178</v>
      </c>
      <c r="AD22" s="210"/>
      <c r="AE22" s="215">
        <f>AVERAGE(AE6:AE9)</f>
        <v>0.47815488558102925</v>
      </c>
      <c r="AF22" s="215">
        <f>AVERAGE(AF6:AF9)</f>
        <v>0.45938950201988871</v>
      </c>
    </row>
    <row r="23" spans="1:32" x14ac:dyDescent="0.3">
      <c r="R23" s="2" t="s">
        <v>129</v>
      </c>
      <c r="S23" s="2">
        <f>_xlfn.STDEV.S(S6:S9)</f>
        <v>4.6463449257637505E-2</v>
      </c>
      <c r="T23" s="110">
        <f>_xlfn.STDEV.S(T6:T9)</f>
        <v>1.1080029017991904</v>
      </c>
      <c r="U23" s="65">
        <f>_xlfn.STDEV.S(U6:U9)</f>
        <v>1.1256344609963469</v>
      </c>
      <c r="V23" s="2"/>
      <c r="W23" s="2"/>
      <c r="X23" s="2"/>
      <c r="Y23" s="2"/>
      <c r="Z23" s="2"/>
      <c r="AA23" s="2"/>
      <c r="AB23" s="65">
        <f>_xlfn.STDEV.S(AB6:AB9)</f>
        <v>1.1562535226175066</v>
      </c>
      <c r="AC23" s="65">
        <f>_xlfn.STDEV.S(AC6:AC9)</f>
        <v>2.6481579045737234</v>
      </c>
      <c r="AD23" s="2"/>
      <c r="AE23" s="65">
        <f>_xlfn.STDEV.S(AE6:AE9)</f>
        <v>0.3160706704621371</v>
      </c>
      <c r="AF23" s="65">
        <f>_xlfn.STDEV.S(AF6:AF9)</f>
        <v>0.19388252982129142</v>
      </c>
    </row>
    <row r="24" spans="1:32" x14ac:dyDescent="0.3">
      <c r="H24">
        <f>SUM(H10:H13)</f>
        <v>177</v>
      </c>
      <c r="O24" s="119"/>
      <c r="R24" s="210" t="s">
        <v>130</v>
      </c>
      <c r="S24" s="215">
        <f>AVERAGE(S10:S13)</f>
        <v>4.7734143073010528E-2</v>
      </c>
      <c r="T24" s="219">
        <f>AVERAGE(T10:T13)</f>
        <v>2.5384836885725202</v>
      </c>
      <c r="U24" s="215">
        <f>AVERAGE(U10:U13)</f>
        <v>5.1231144449777268</v>
      </c>
      <c r="V24" s="211"/>
      <c r="W24" s="211"/>
      <c r="X24" s="211"/>
      <c r="Y24" s="211"/>
      <c r="Z24" s="211"/>
      <c r="AA24" s="211"/>
      <c r="AB24" s="215">
        <f>AVERAGE(AB10:AB13)</f>
        <v>1.7718659520169024</v>
      </c>
      <c r="AC24" s="215">
        <f>AVERAGE(AC10:AC13)</f>
        <v>6.4202575709229679</v>
      </c>
      <c r="AD24" s="211"/>
      <c r="AE24" s="215">
        <f>AVERAGE(AE10:AE13)</f>
        <v>0.34408270272760899</v>
      </c>
      <c r="AF24" s="215">
        <f>AVERAGE(AF10:AF13)</f>
        <v>0.49614549811132402</v>
      </c>
    </row>
    <row r="25" spans="1:32" x14ac:dyDescent="0.3">
      <c r="R25" s="2" t="s">
        <v>131</v>
      </c>
      <c r="S25" s="2">
        <f>_xlfn.STDEV.S(S10:S13)</f>
        <v>3.0174715758036277E-2</v>
      </c>
      <c r="T25" s="110">
        <f>_xlfn.STDEV.S(T10:T13)</f>
        <v>1.1666618279564698</v>
      </c>
      <c r="U25" s="65">
        <f>_xlfn.STDEV.S(U10:U13)</f>
        <v>3.840019873114644</v>
      </c>
      <c r="V25" s="2"/>
      <c r="W25" s="2"/>
      <c r="X25" s="2"/>
      <c r="Y25" s="2"/>
      <c r="Z25" s="2"/>
      <c r="AA25" s="2"/>
      <c r="AB25" s="65">
        <f>_xlfn.STDEV.S(AB10:AB13)</f>
        <v>1.7579086692049222</v>
      </c>
      <c r="AC25" s="65">
        <f>_xlfn.STDEV.S(AC10:AC13)</f>
        <v>1.838960974355333</v>
      </c>
      <c r="AD25" s="2"/>
      <c r="AE25" s="65">
        <f>_xlfn.STDEV.S(AE10:AE13)</f>
        <v>0.20677196411711046</v>
      </c>
      <c r="AF25" s="65">
        <f>_xlfn.STDEV.S(AF10:AF13)</f>
        <v>0.31429178315771072</v>
      </c>
    </row>
    <row r="26" spans="1:32" x14ac:dyDescent="0.3">
      <c r="H26">
        <f>SUM(H14:H17)</f>
        <v>218</v>
      </c>
      <c r="O26" s="119"/>
      <c r="R26" s="210" t="s">
        <v>141</v>
      </c>
      <c r="S26" s="215">
        <f>AVERAGE(S14:S17)</f>
        <v>6.3936872538024325E-2</v>
      </c>
      <c r="T26" s="219">
        <f>AVERAGE(T14:T17)</f>
        <v>2.8736702489515067</v>
      </c>
      <c r="U26" s="215">
        <f>AVERAGE(U14:U17)</f>
        <v>2.1100142542674427</v>
      </c>
      <c r="V26" s="215"/>
      <c r="W26" s="215"/>
      <c r="X26" s="215"/>
      <c r="Y26" s="215"/>
      <c r="Z26" s="215"/>
      <c r="AA26" s="215"/>
      <c r="AB26" s="215">
        <f>AVERAGE(AB14:AB17)</f>
        <v>5.1995756745121327</v>
      </c>
      <c r="AC26" s="215">
        <f>AVERAGE(AC14:AC17)</f>
        <v>7.298476669536158</v>
      </c>
      <c r="AD26" s="215"/>
      <c r="AE26" s="215">
        <f>AVERAGE(AE14:AE17)</f>
        <v>0.47023883013880124</v>
      </c>
      <c r="AF26" s="215">
        <f>AVERAGE(AF14:AF17)</f>
        <v>0.32327892204422176</v>
      </c>
    </row>
    <row r="27" spans="1:32" x14ac:dyDescent="0.3">
      <c r="R27" s="2" t="s">
        <v>143</v>
      </c>
      <c r="S27" s="2">
        <f>_xlfn.STDEV.S(S14:S17)</f>
        <v>3.0317363820099252E-2</v>
      </c>
      <c r="T27" s="110">
        <f>_xlfn.STDEV.S(T14:T17)</f>
        <v>2.7627166177350237</v>
      </c>
      <c r="U27" s="65">
        <f>_xlfn.STDEV.S(U14:U17)</f>
        <v>1.0244911095725024</v>
      </c>
      <c r="V27" s="2"/>
      <c r="W27" s="2"/>
      <c r="X27" s="2"/>
      <c r="Y27" s="2"/>
      <c r="Z27" s="2"/>
      <c r="AA27" s="2"/>
      <c r="AB27" s="65">
        <f>_xlfn.STDEV.S(AB14:AB17)</f>
        <v>3.4591356342734225</v>
      </c>
      <c r="AC27" s="65">
        <f>_xlfn.STDEV.S(AC14:AC17)</f>
        <v>2.8831813091689531</v>
      </c>
      <c r="AD27" s="2"/>
      <c r="AE27" s="65">
        <f>_xlfn.STDEV.S(AE14:AE17)</f>
        <v>0.26934286105384592</v>
      </c>
      <c r="AF27" s="65">
        <f>_xlfn.STDEV.S(AF14:AF17)</f>
        <v>0.19665006528609602</v>
      </c>
    </row>
    <row r="29" spans="1:32" x14ac:dyDescent="0.3">
      <c r="R29" s="2" t="s">
        <v>190</v>
      </c>
      <c r="S29" s="2">
        <f>AVERAGE(S2:S17)</f>
        <v>7.9638085106933793E-2</v>
      </c>
      <c r="T29" s="2">
        <f t="shared" ref="T29:AF29" si="2">AVERAGE(T2:T17)</f>
        <v>2.3066791163828335</v>
      </c>
      <c r="U29" s="2">
        <f t="shared" si="2"/>
        <v>3.8685830600826661</v>
      </c>
      <c r="V29" s="2"/>
      <c r="W29" s="2"/>
      <c r="X29" s="2"/>
      <c r="Y29" s="2"/>
      <c r="Z29" s="2"/>
      <c r="AA29" s="2"/>
      <c r="AB29" s="28">
        <f>AVERAGE(AB2:AB17)</f>
        <v>3.7619277271261913</v>
      </c>
      <c r="AC29" s="2">
        <f t="shared" si="2"/>
        <v>6.5702844891209882</v>
      </c>
      <c r="AD29" s="2"/>
      <c r="AE29" s="2">
        <f t="shared" si="2"/>
        <v>0.41237867387428928</v>
      </c>
      <c r="AF29" s="2">
        <f t="shared" si="2"/>
        <v>0.48234158539931243</v>
      </c>
    </row>
    <row r="30" spans="1:32" x14ac:dyDescent="0.3">
      <c r="R30" s="2" t="s">
        <v>191</v>
      </c>
      <c r="S30" s="2">
        <f>_xlfn.STDEV.S(S2:S17)</f>
        <v>4.6308682152289234E-2</v>
      </c>
      <c r="T30" s="2">
        <f t="shared" ref="T30:AF30" si="3">_xlfn.STDEV.S(T2:T17)</f>
        <v>1.6054050424037105</v>
      </c>
      <c r="U30" s="2">
        <f t="shared" si="3"/>
        <v>2.9979569500736098</v>
      </c>
      <c r="V30" s="2"/>
      <c r="W30" s="2"/>
      <c r="X30" s="2"/>
      <c r="Y30" s="2"/>
      <c r="Z30" s="2"/>
      <c r="AA30" s="2"/>
      <c r="AB30" s="2">
        <f t="shared" si="3"/>
        <v>2.4559509590726711</v>
      </c>
      <c r="AC30" s="2">
        <f t="shared" si="3"/>
        <v>2.1422480115510791</v>
      </c>
      <c r="AD30" s="2"/>
      <c r="AE30" s="2">
        <f t="shared" si="3"/>
        <v>0.28877483499635925</v>
      </c>
      <c r="AF30" s="2">
        <f t="shared" si="3"/>
        <v>0.26225217075700041</v>
      </c>
    </row>
    <row r="32" spans="1:32" ht="15" thickBot="1" x14ac:dyDescent="0.35">
      <c r="A32" s="235" t="s">
        <v>153</v>
      </c>
    </row>
    <row r="33" spans="1:33" ht="30" customHeight="1" thickBot="1" x14ac:dyDescent="0.35">
      <c r="A33" s="99" t="s">
        <v>132</v>
      </c>
      <c r="B33" s="98" t="s">
        <v>45</v>
      </c>
      <c r="C33" s="233" t="s">
        <v>109</v>
      </c>
      <c r="D33" s="226" t="s">
        <v>150</v>
      </c>
      <c r="E33" s="2"/>
      <c r="F33" s="2"/>
      <c r="G33" s="2"/>
      <c r="H33" s="2"/>
      <c r="I33" s="228" t="s">
        <v>47</v>
      </c>
      <c r="J33" s="228" t="s">
        <v>46</v>
      </c>
      <c r="K33" s="228" t="s">
        <v>48</v>
      </c>
      <c r="L33" s="228" t="s">
        <v>49</v>
      </c>
      <c r="M33" s="228" t="s">
        <v>50</v>
      </c>
      <c r="N33" s="98" t="s">
        <v>104</v>
      </c>
      <c r="O33" s="98" t="s">
        <v>9</v>
      </c>
      <c r="P33" s="98" t="s">
        <v>6</v>
      </c>
      <c r="Q33" s="98" t="s">
        <v>34</v>
      </c>
      <c r="R33" s="98" t="s">
        <v>113</v>
      </c>
      <c r="S33" s="229" t="s">
        <v>52</v>
      </c>
      <c r="T33" s="229" t="s">
        <v>53</v>
      </c>
      <c r="U33" s="229" t="s">
        <v>54</v>
      </c>
      <c r="V33" s="230" t="s">
        <v>55</v>
      </c>
      <c r="W33" s="230" t="s">
        <v>56</v>
      </c>
      <c r="X33" s="230" t="s">
        <v>57</v>
      </c>
      <c r="Y33" s="230" t="s">
        <v>58</v>
      </c>
      <c r="Z33" s="230" t="s">
        <v>59</v>
      </c>
      <c r="AA33" s="230" t="s">
        <v>60</v>
      </c>
      <c r="AB33" s="229" t="s">
        <v>61</v>
      </c>
      <c r="AC33" s="229" t="s">
        <v>65</v>
      </c>
      <c r="AD33" s="231" t="s">
        <v>62</v>
      </c>
      <c r="AE33" s="229" t="s">
        <v>63</v>
      </c>
      <c r="AF33" s="232" t="s">
        <v>64</v>
      </c>
    </row>
    <row r="34" spans="1:33" x14ac:dyDescent="0.3">
      <c r="A34" s="8" t="s">
        <v>154</v>
      </c>
      <c r="B34" s="9" t="s">
        <v>70</v>
      </c>
      <c r="C34" s="9" t="s">
        <v>110</v>
      </c>
      <c r="D34" s="9" t="s">
        <v>154</v>
      </c>
      <c r="E34" s="2"/>
      <c r="F34" s="2"/>
      <c r="G34" s="2"/>
      <c r="H34" s="2"/>
      <c r="I34" s="9">
        <v>1000</v>
      </c>
      <c r="J34" s="9">
        <v>25</v>
      </c>
      <c r="K34" s="9">
        <v>1.5</v>
      </c>
      <c r="L34" s="9">
        <v>1.5</v>
      </c>
      <c r="M34" s="9">
        <v>0.7</v>
      </c>
      <c r="N34" s="212">
        <v>0.01</v>
      </c>
      <c r="O34" s="9">
        <v>4.43238963346941E-2</v>
      </c>
      <c r="P34" s="9">
        <f>18*60+32.02</f>
        <v>1112.02</v>
      </c>
      <c r="Q34" s="66">
        <f>P34/60</f>
        <v>18.533666666666665</v>
      </c>
      <c r="R34" s="9">
        <v>319</v>
      </c>
      <c r="S34" s="9">
        <v>6.71945046103649E-2</v>
      </c>
      <c r="T34" s="40">
        <v>3.58520773484722</v>
      </c>
      <c r="U34" s="40">
        <v>2.58416993359742</v>
      </c>
      <c r="V34" s="68">
        <v>9.6469999999999993E-3</v>
      </c>
      <c r="W34" s="68">
        <v>8.5518540000000005</v>
      </c>
      <c r="X34" s="68">
        <v>7.1656500000000003</v>
      </c>
      <c r="Y34" s="68">
        <v>44.150669999999998</v>
      </c>
      <c r="Z34" s="68">
        <v>42.528283999999999</v>
      </c>
      <c r="AA34" s="68">
        <v>1E-4</v>
      </c>
      <c r="AB34" s="40">
        <v>1.5522365381504699</v>
      </c>
      <c r="AC34" s="40">
        <v>3.1992791964640799</v>
      </c>
      <c r="AD34" s="68">
        <v>1.6426339999999999</v>
      </c>
      <c r="AE34" s="9">
        <v>0.99509343943039796</v>
      </c>
      <c r="AF34" s="11">
        <v>0.111232970845613</v>
      </c>
      <c r="AG34" t="s">
        <v>156</v>
      </c>
    </row>
    <row r="35" spans="1:33" x14ac:dyDescent="0.3">
      <c r="A35" s="12" t="s">
        <v>154</v>
      </c>
      <c r="B35" s="2" t="s">
        <v>70</v>
      </c>
      <c r="C35" s="2" t="s">
        <v>116</v>
      </c>
      <c r="D35" s="2" t="s">
        <v>154</v>
      </c>
      <c r="E35" s="2"/>
      <c r="F35" s="2"/>
      <c r="G35" s="2"/>
      <c r="H35" s="2"/>
      <c r="I35" s="2">
        <v>1000</v>
      </c>
      <c r="J35" s="2">
        <v>25</v>
      </c>
      <c r="K35" s="2">
        <v>1.5</v>
      </c>
      <c r="L35" s="2">
        <v>1.5</v>
      </c>
      <c r="M35" s="2">
        <v>0.7</v>
      </c>
      <c r="N35" s="208">
        <v>0.01</v>
      </c>
      <c r="O35" s="2">
        <v>0.10948936343382901</v>
      </c>
      <c r="P35" s="2">
        <f>116*60+28.63</f>
        <v>6988.63</v>
      </c>
      <c r="Q35" s="51">
        <f>P35/60</f>
        <v>116.47716666666666</v>
      </c>
      <c r="R35" s="2">
        <v>250</v>
      </c>
      <c r="S35" s="2">
        <v>0.109710871514294</v>
      </c>
      <c r="T35" s="28">
        <v>4.3921531186507199</v>
      </c>
      <c r="U35" s="2">
        <v>0.66659481465148995</v>
      </c>
      <c r="V35" s="64">
        <v>9.6469999999999993E-3</v>
      </c>
      <c r="W35" s="64">
        <v>8.5518540000000005</v>
      </c>
      <c r="X35" s="64">
        <v>7.1656500000000003</v>
      </c>
      <c r="Y35" s="64">
        <v>44.150669999999998</v>
      </c>
      <c r="Z35" s="64">
        <v>42.528283999999999</v>
      </c>
      <c r="AA35" s="64">
        <v>1E-4</v>
      </c>
      <c r="AB35" s="28">
        <v>4.6756525326995702</v>
      </c>
      <c r="AC35" s="28">
        <v>4.9699679739576998</v>
      </c>
      <c r="AD35" s="64">
        <v>1.6426339999999999</v>
      </c>
      <c r="AE35" s="101">
        <v>0.62213630392112096</v>
      </c>
      <c r="AF35" s="13">
        <v>0.21172105918039699</v>
      </c>
      <c r="AG35" t="s">
        <v>155</v>
      </c>
    </row>
    <row r="36" spans="1:33" x14ac:dyDescent="0.3">
      <c r="A36" s="12" t="s">
        <v>154</v>
      </c>
      <c r="B36" s="2" t="s">
        <v>70</v>
      </c>
      <c r="C36" s="2" t="s">
        <v>122</v>
      </c>
      <c r="D36" s="2" t="s">
        <v>154</v>
      </c>
      <c r="E36" s="2"/>
      <c r="F36" s="2"/>
      <c r="G36" s="2"/>
      <c r="H36" s="2"/>
      <c r="I36" s="2">
        <v>1000</v>
      </c>
      <c r="J36" s="2">
        <v>25</v>
      </c>
      <c r="K36" s="2">
        <v>1.5</v>
      </c>
      <c r="L36" s="2">
        <v>1.5</v>
      </c>
      <c r="M36" s="2">
        <v>0.7</v>
      </c>
      <c r="N36" s="208">
        <v>0.01</v>
      </c>
      <c r="O36" s="2">
        <v>5.2039279251215001E-2</v>
      </c>
      <c r="P36" s="2">
        <f>9*60+59.45</f>
        <v>599.45000000000005</v>
      </c>
      <c r="Q36" s="51">
        <f>P36/60</f>
        <v>9.9908333333333346</v>
      </c>
      <c r="R36" s="2">
        <v>143</v>
      </c>
      <c r="S36" s="2">
        <v>9.3049520694203094E-2</v>
      </c>
      <c r="T36" s="28">
        <v>2.0666549393433198</v>
      </c>
      <c r="U36" s="2">
        <v>0.97768887548474503</v>
      </c>
      <c r="V36" s="64">
        <v>9.6469999999999993E-3</v>
      </c>
      <c r="W36" s="64">
        <v>8.5518540000000005</v>
      </c>
      <c r="X36" s="64">
        <v>7.1656500000000003</v>
      </c>
      <c r="Y36" s="64">
        <v>44.150669999999998</v>
      </c>
      <c r="Z36" s="64">
        <v>42.528283999999999</v>
      </c>
      <c r="AA36" s="64">
        <v>1E-4</v>
      </c>
      <c r="AB36" s="28">
        <v>4.2720680669276803</v>
      </c>
      <c r="AC36" s="28">
        <v>3.5218612712384498</v>
      </c>
      <c r="AD36" s="64">
        <v>1.6426339999999999</v>
      </c>
      <c r="AE36" s="2">
        <v>0.42123755378781103</v>
      </c>
      <c r="AF36" s="13">
        <v>0.415775288041493</v>
      </c>
      <c r="AG36" t="s">
        <v>161</v>
      </c>
    </row>
    <row r="37" spans="1:33" ht="15" thickBot="1" x14ac:dyDescent="0.35">
      <c r="A37" s="15" t="s">
        <v>154</v>
      </c>
      <c r="B37" s="6" t="s">
        <v>70</v>
      </c>
      <c r="C37" s="6" t="s">
        <v>140</v>
      </c>
      <c r="D37" s="6" t="s">
        <v>154</v>
      </c>
      <c r="E37" s="2"/>
      <c r="F37" s="2"/>
      <c r="G37" s="2"/>
      <c r="H37" s="2"/>
      <c r="I37" s="6">
        <v>1000</v>
      </c>
      <c r="J37" s="6">
        <v>25</v>
      </c>
      <c r="K37" s="6">
        <v>1.5</v>
      </c>
      <c r="L37" s="6">
        <v>1.5</v>
      </c>
      <c r="M37" s="6">
        <v>0.7</v>
      </c>
      <c r="N37" s="213">
        <v>0.01</v>
      </c>
      <c r="O37" s="6"/>
      <c r="P37" s="6"/>
      <c r="Q37" s="6"/>
      <c r="R37" s="6"/>
      <c r="S37" s="6"/>
      <c r="T37" s="6"/>
      <c r="U37" s="6"/>
      <c r="V37" s="130">
        <v>9.6469999999999993E-3</v>
      </c>
      <c r="W37" s="130">
        <v>8.5518540000000005</v>
      </c>
      <c r="X37" s="130">
        <v>7.1656500000000003</v>
      </c>
      <c r="Y37" s="130">
        <v>44.150669999999998</v>
      </c>
      <c r="Z37" s="130">
        <v>42.528283999999999</v>
      </c>
      <c r="AA37" s="130">
        <v>1E-4</v>
      </c>
      <c r="AB37" s="6"/>
      <c r="AC37" s="6"/>
      <c r="AD37" s="130">
        <v>1.6426339999999999</v>
      </c>
      <c r="AE37" s="6"/>
      <c r="AF37" s="27"/>
    </row>
    <row r="40" spans="1:33" ht="15" thickBot="1" x14ac:dyDescent="0.35"/>
    <row r="41" spans="1:33" ht="29.4" thickBot="1" x14ac:dyDescent="0.35">
      <c r="A41" s="99" t="s">
        <v>146</v>
      </c>
      <c r="B41" s="98" t="s">
        <v>45</v>
      </c>
      <c r="C41" s="233" t="s">
        <v>109</v>
      </c>
      <c r="D41" s="226" t="s">
        <v>150</v>
      </c>
      <c r="E41" s="226" t="s">
        <v>157</v>
      </c>
      <c r="F41" s="226" t="s">
        <v>158</v>
      </c>
      <c r="G41" s="226" t="s">
        <v>159</v>
      </c>
      <c r="H41" s="226" t="s">
        <v>160</v>
      </c>
      <c r="I41" s="228" t="s">
        <v>47</v>
      </c>
      <c r="J41" s="228" t="s">
        <v>46</v>
      </c>
      <c r="K41" s="228" t="s">
        <v>48</v>
      </c>
      <c r="L41" s="228" t="s">
        <v>49</v>
      </c>
      <c r="M41" s="228" t="s">
        <v>50</v>
      </c>
      <c r="N41" s="98" t="s">
        <v>104</v>
      </c>
      <c r="O41" s="98" t="s">
        <v>9</v>
      </c>
      <c r="P41" s="98" t="s">
        <v>6</v>
      </c>
      <c r="Q41" s="98" t="s">
        <v>34</v>
      </c>
      <c r="R41" s="98" t="s">
        <v>113</v>
      </c>
      <c r="S41" s="229" t="s">
        <v>52</v>
      </c>
      <c r="T41" s="229" t="s">
        <v>53</v>
      </c>
      <c r="U41" s="229" t="s">
        <v>54</v>
      </c>
      <c r="V41" s="230" t="s">
        <v>55</v>
      </c>
      <c r="W41" s="230" t="s">
        <v>56</v>
      </c>
      <c r="X41" s="230" t="s">
        <v>57</v>
      </c>
      <c r="Y41" s="230" t="s">
        <v>58</v>
      </c>
      <c r="Z41" s="230" t="s">
        <v>59</v>
      </c>
      <c r="AA41" s="230" t="s">
        <v>60</v>
      </c>
      <c r="AB41" s="229" t="s">
        <v>61</v>
      </c>
      <c r="AC41" s="229" t="s">
        <v>65</v>
      </c>
      <c r="AD41" s="231" t="s">
        <v>62</v>
      </c>
      <c r="AE41" s="229" t="s">
        <v>63</v>
      </c>
      <c r="AF41" s="232" t="s">
        <v>64</v>
      </c>
    </row>
    <row r="42" spans="1:33" x14ac:dyDescent="0.3">
      <c r="A42" s="8" t="s">
        <v>147</v>
      </c>
      <c r="B42" s="9" t="s">
        <v>70</v>
      </c>
      <c r="C42" s="9" t="s">
        <v>110</v>
      </c>
      <c r="D42" s="9" t="s">
        <v>151</v>
      </c>
      <c r="E42" s="256">
        <v>5.9499999999999997E-2</v>
      </c>
      <c r="F42" s="256">
        <v>0.13804</v>
      </c>
      <c r="G42" s="236">
        <v>121.6</v>
      </c>
      <c r="H42" s="9">
        <v>48</v>
      </c>
      <c r="I42" s="9">
        <v>1000</v>
      </c>
      <c r="J42" s="9">
        <v>25</v>
      </c>
      <c r="K42" s="9">
        <v>1.5</v>
      </c>
      <c r="L42" s="9">
        <v>1.5</v>
      </c>
      <c r="M42" s="9">
        <v>0.7</v>
      </c>
      <c r="N42" s="212">
        <v>0.01</v>
      </c>
      <c r="O42" s="9">
        <v>1.83812886252872E-3</v>
      </c>
      <c r="P42" s="9">
        <f>2*60+8.54</f>
        <v>128.54</v>
      </c>
      <c r="Q42" s="66">
        <f t="shared" ref="Q42:Q49" si="4">P42/60</f>
        <v>2.1423333333333332</v>
      </c>
      <c r="R42" s="9">
        <v>202</v>
      </c>
      <c r="S42" s="126">
        <v>6.3637803896061496E-2</v>
      </c>
      <c r="T42" s="125">
        <v>1.5582451134723101</v>
      </c>
      <c r="U42" s="40">
        <v>4.3183362238990002</v>
      </c>
      <c r="V42" s="68">
        <v>9.6469999999999993E-3</v>
      </c>
      <c r="W42" s="68">
        <v>8.5518540000000005</v>
      </c>
      <c r="X42" s="68">
        <v>7.1656500000000003</v>
      </c>
      <c r="Y42" s="68">
        <v>44.150669999999998</v>
      </c>
      <c r="Z42" s="68">
        <v>42.528283999999999</v>
      </c>
      <c r="AA42" s="68">
        <v>1E-4</v>
      </c>
      <c r="AB42" s="40">
        <v>2.6711944469252602</v>
      </c>
      <c r="AC42" s="40">
        <v>8.0181132483939201</v>
      </c>
      <c r="AD42" s="68">
        <v>1.6426339999999999</v>
      </c>
      <c r="AE42" s="126">
        <v>0.25945086423210201</v>
      </c>
      <c r="AF42" s="183">
        <v>0.40289323406199601</v>
      </c>
    </row>
    <row r="43" spans="1:33" x14ac:dyDescent="0.3">
      <c r="A43" s="12" t="s">
        <v>148</v>
      </c>
      <c r="B43" s="2" t="s">
        <v>70</v>
      </c>
      <c r="C43" s="2" t="s">
        <v>110</v>
      </c>
      <c r="D43" s="2" t="s">
        <v>151</v>
      </c>
      <c r="E43" s="238">
        <v>5.9499999999999997E-2</v>
      </c>
      <c r="F43" s="238">
        <v>0.14080999999999999</v>
      </c>
      <c r="G43" s="237">
        <v>121.17343</v>
      </c>
      <c r="H43" s="2">
        <v>42</v>
      </c>
      <c r="I43" s="2">
        <v>1000</v>
      </c>
      <c r="J43" s="2">
        <v>25</v>
      </c>
      <c r="K43" s="2">
        <v>1.5</v>
      </c>
      <c r="L43" s="2">
        <v>1.5</v>
      </c>
      <c r="M43" s="2">
        <v>0.7</v>
      </c>
      <c r="N43" s="208">
        <v>0.01</v>
      </c>
      <c r="O43" s="221">
        <v>1.07982403474934E-3</v>
      </c>
      <c r="P43" s="2">
        <f>8*60+35.86</f>
        <v>515.86</v>
      </c>
      <c r="Q43" s="51">
        <f t="shared" si="4"/>
        <v>8.597666666666667</v>
      </c>
      <c r="R43" s="2">
        <v>86</v>
      </c>
      <c r="S43" s="242">
        <v>0.23758341300668201</v>
      </c>
      <c r="T43" s="110">
        <v>3.54723712617362</v>
      </c>
      <c r="U43" s="28">
        <v>2.3849267724052399</v>
      </c>
      <c r="V43" s="64">
        <v>9.6469999999999993E-3</v>
      </c>
      <c r="W43" s="64">
        <v>8.5518540000000005</v>
      </c>
      <c r="X43" s="64">
        <v>7.1656500000000003</v>
      </c>
      <c r="Y43" s="64">
        <v>44.150669999999998</v>
      </c>
      <c r="Z43" s="64">
        <v>42.528283999999999</v>
      </c>
      <c r="AA43" s="64">
        <v>1E-4</v>
      </c>
      <c r="AB43" s="28">
        <v>2.0984517801625402</v>
      </c>
      <c r="AC43" s="28">
        <v>1.1374317520703501</v>
      </c>
      <c r="AD43" s="64">
        <v>1.6426339999999999</v>
      </c>
      <c r="AE43" s="101">
        <v>0.34943006496378698</v>
      </c>
      <c r="AF43" s="146">
        <v>0.483180898686908</v>
      </c>
    </row>
    <row r="44" spans="1:33" x14ac:dyDescent="0.3">
      <c r="A44" s="12" t="s">
        <v>149</v>
      </c>
      <c r="B44" s="2" t="s">
        <v>70</v>
      </c>
      <c r="C44" s="2" t="s">
        <v>110</v>
      </c>
      <c r="D44" s="2" t="s">
        <v>151</v>
      </c>
      <c r="E44" s="238">
        <v>0.14832000000000001</v>
      </c>
      <c r="F44" s="238">
        <v>0.13338</v>
      </c>
      <c r="G44" s="237">
        <v>122.06081</v>
      </c>
      <c r="H44" s="2">
        <v>33</v>
      </c>
      <c r="I44" s="2">
        <v>1000</v>
      </c>
      <c r="J44" s="2">
        <v>25</v>
      </c>
      <c r="K44" s="2">
        <v>1.5</v>
      </c>
      <c r="L44" s="2">
        <v>1.5</v>
      </c>
      <c r="M44" s="2">
        <v>0.7</v>
      </c>
      <c r="N44" s="208">
        <v>0.01</v>
      </c>
      <c r="O44" s="65">
        <v>1.0881467083399101E-3</v>
      </c>
      <c r="P44" s="2">
        <f>7*60+55.85</f>
        <v>475.85</v>
      </c>
      <c r="Q44" s="51">
        <f t="shared" si="4"/>
        <v>7.9308333333333341</v>
      </c>
      <c r="R44" s="2">
        <v>283</v>
      </c>
      <c r="S44" s="101">
        <v>9.4936012442488699E-2</v>
      </c>
      <c r="T44" s="110">
        <v>4.9276953811634696</v>
      </c>
      <c r="U44" s="28">
        <v>1.6220266550245199</v>
      </c>
      <c r="V44" s="64">
        <v>9.6469999999999993E-3</v>
      </c>
      <c r="W44" s="64">
        <v>8.5518540000000005</v>
      </c>
      <c r="X44" s="64">
        <v>7.1656500000000003</v>
      </c>
      <c r="Y44" s="64">
        <v>44.150669999999998</v>
      </c>
      <c r="Z44" s="64">
        <v>42.528283999999999</v>
      </c>
      <c r="AA44" s="64">
        <v>1E-4</v>
      </c>
      <c r="AB44" s="28">
        <v>2.8194967209879098</v>
      </c>
      <c r="AC44" s="28">
        <v>8.9133347603365092</v>
      </c>
      <c r="AD44" s="64">
        <v>1.6426339999999999</v>
      </c>
      <c r="AE44" s="101">
        <v>0.39788094418599801</v>
      </c>
      <c r="AF44" s="146">
        <v>0.56462335717213896</v>
      </c>
    </row>
    <row r="45" spans="1:33" x14ac:dyDescent="0.3">
      <c r="A45" s="12" t="s">
        <v>178</v>
      </c>
      <c r="B45" s="2" t="s">
        <v>70</v>
      </c>
      <c r="C45" s="2" t="s">
        <v>140</v>
      </c>
      <c r="D45" s="2" t="s">
        <v>151</v>
      </c>
      <c r="E45" s="238">
        <v>5.9499999999999997E-2</v>
      </c>
      <c r="F45" s="238">
        <v>0.13869999999999999</v>
      </c>
      <c r="G45" s="2">
        <v>121.08707</v>
      </c>
      <c r="H45" s="2">
        <v>56</v>
      </c>
      <c r="I45" s="2">
        <v>1000</v>
      </c>
      <c r="J45" s="2">
        <v>25</v>
      </c>
      <c r="K45" s="2">
        <v>1.5</v>
      </c>
      <c r="L45" s="2">
        <v>1.5</v>
      </c>
      <c r="M45" s="2">
        <v>0.7</v>
      </c>
      <c r="N45" s="208">
        <v>0.01</v>
      </c>
      <c r="O45" s="65">
        <v>3.8402299939937101E-2</v>
      </c>
      <c r="P45" s="2">
        <f>60+30.08</f>
        <v>90.08</v>
      </c>
      <c r="Q45" s="51">
        <f t="shared" si="4"/>
        <v>1.5013333333333334</v>
      </c>
      <c r="R45" s="2">
        <v>178</v>
      </c>
      <c r="S45" s="101">
        <v>3.8402299939937101E-2</v>
      </c>
      <c r="T45" s="110">
        <v>2.11580058696231</v>
      </c>
      <c r="U45" s="28">
        <v>5.4999272322099904</v>
      </c>
      <c r="V45" s="64">
        <v>9.6469999999999993E-3</v>
      </c>
      <c r="W45" s="64">
        <v>8.5518540000000005</v>
      </c>
      <c r="X45" s="64">
        <v>7.1656500000000003</v>
      </c>
      <c r="Y45" s="64">
        <v>44.150669999999998</v>
      </c>
      <c r="Z45" s="64">
        <v>42.528283999999999</v>
      </c>
      <c r="AA45" s="64">
        <v>1E-4</v>
      </c>
      <c r="AB45" s="28">
        <v>1.8579908802857801</v>
      </c>
      <c r="AC45" s="28">
        <v>8.1775317408284103</v>
      </c>
      <c r="AD45" s="64">
        <v>1.6426339999999999</v>
      </c>
      <c r="AE45" s="101">
        <v>0.31757632337055403</v>
      </c>
      <c r="AF45" s="146">
        <v>0.54477960707819395</v>
      </c>
    </row>
    <row r="46" spans="1:33" x14ac:dyDescent="0.3">
      <c r="A46" s="12" t="s">
        <v>179</v>
      </c>
      <c r="B46" s="2" t="s">
        <v>70</v>
      </c>
      <c r="C46" s="2" t="s">
        <v>122</v>
      </c>
      <c r="D46" s="2" t="s">
        <v>151</v>
      </c>
      <c r="E46" s="238">
        <v>2.0799999999999999E-2</v>
      </c>
      <c r="F46" s="2">
        <v>0.13406999999999999</v>
      </c>
      <c r="G46" s="238">
        <v>112</v>
      </c>
      <c r="H46" s="2">
        <v>47</v>
      </c>
      <c r="I46" s="2">
        <v>1000</v>
      </c>
      <c r="J46" s="2">
        <v>25</v>
      </c>
      <c r="K46" s="2">
        <v>1.5</v>
      </c>
      <c r="L46" s="2">
        <v>1.5</v>
      </c>
      <c r="M46" s="2">
        <v>0.7</v>
      </c>
      <c r="N46" s="208">
        <v>0.01</v>
      </c>
      <c r="O46" s="2">
        <v>8.8265947591760607E-3</v>
      </c>
      <c r="P46" s="2">
        <f>60+43.74</f>
        <v>103.74000000000001</v>
      </c>
      <c r="Q46" s="2">
        <f t="shared" si="4"/>
        <v>1.7290000000000001</v>
      </c>
      <c r="R46" s="2">
        <v>89</v>
      </c>
      <c r="S46" s="101">
        <v>0.105383452092423</v>
      </c>
      <c r="T46" s="110">
        <v>3.5356768395665998</v>
      </c>
      <c r="U46" s="28">
        <v>9.9829332274648994</v>
      </c>
      <c r="V46" s="64">
        <v>9.6469999999999993E-3</v>
      </c>
      <c r="W46" s="64">
        <v>8.5518540000000005</v>
      </c>
      <c r="X46" s="64">
        <v>7.1656500000000003</v>
      </c>
      <c r="Y46" s="64">
        <v>44.150669999999998</v>
      </c>
      <c r="Z46" s="64">
        <v>42.528283999999999</v>
      </c>
      <c r="AA46" s="64">
        <v>1E-4</v>
      </c>
      <c r="AB46" s="28">
        <v>1.17567480978393</v>
      </c>
      <c r="AC46" s="28">
        <v>9.2070071771859094</v>
      </c>
      <c r="AD46" s="64">
        <v>1.6426339999999999</v>
      </c>
      <c r="AE46" s="101">
        <v>0.52073472294353196</v>
      </c>
      <c r="AF46" s="146">
        <v>0.44949092132032797</v>
      </c>
    </row>
    <row r="47" spans="1:33" x14ac:dyDescent="0.3">
      <c r="A47" s="12" t="s">
        <v>180</v>
      </c>
      <c r="B47" s="2" t="s">
        <v>70</v>
      </c>
      <c r="C47" s="2" t="s">
        <v>122</v>
      </c>
      <c r="D47" s="2" t="s">
        <v>151</v>
      </c>
      <c r="E47" s="238">
        <v>5.9499999999999997E-2</v>
      </c>
      <c r="F47" s="2">
        <v>0.14666999999999999</v>
      </c>
      <c r="G47" s="2">
        <v>122.27418</v>
      </c>
      <c r="H47" s="2">
        <v>38</v>
      </c>
      <c r="I47" s="2">
        <v>1000</v>
      </c>
      <c r="J47" s="2">
        <v>25</v>
      </c>
      <c r="K47" s="2">
        <v>1.5</v>
      </c>
      <c r="L47" s="2">
        <v>1.5</v>
      </c>
      <c r="M47" s="2">
        <v>0.7</v>
      </c>
      <c r="N47" s="208">
        <v>0.01</v>
      </c>
      <c r="O47" s="2">
        <v>4.8442652254288297E-4</v>
      </c>
      <c r="P47" s="2">
        <f>2*60+3.13</f>
        <v>123.13</v>
      </c>
      <c r="Q47" s="51">
        <f t="shared" si="4"/>
        <v>2.0521666666666665</v>
      </c>
      <c r="R47" s="2">
        <v>217</v>
      </c>
      <c r="S47" s="101">
        <v>4.8741437043934903E-2</v>
      </c>
      <c r="T47" s="110">
        <v>7.6603531988672797</v>
      </c>
      <c r="U47" s="28">
        <v>1.5229205950140501</v>
      </c>
      <c r="V47" s="64">
        <v>9.6469999999999993E-3</v>
      </c>
      <c r="W47" s="64">
        <v>8.5518540000000005</v>
      </c>
      <c r="X47" s="64">
        <v>7.1656500000000003</v>
      </c>
      <c r="Y47" s="64">
        <v>44.150669999999998</v>
      </c>
      <c r="Z47" s="64">
        <v>42.528283999999999</v>
      </c>
      <c r="AA47" s="64">
        <v>1E-4</v>
      </c>
      <c r="AB47" s="28">
        <v>3.9188958113487402</v>
      </c>
      <c r="AC47" s="28">
        <v>6.0185853241665903</v>
      </c>
      <c r="AD47" s="64">
        <v>1.6426339999999999</v>
      </c>
      <c r="AE47" s="2">
        <v>0.31333772959334999</v>
      </c>
      <c r="AF47" s="146">
        <v>0.445690928548931</v>
      </c>
    </row>
    <row r="48" spans="1:33" x14ac:dyDescent="0.3">
      <c r="A48" s="12" t="s">
        <v>182</v>
      </c>
      <c r="B48" s="2" t="s">
        <v>70</v>
      </c>
      <c r="C48" s="2" t="s">
        <v>122</v>
      </c>
      <c r="D48" s="2" t="s">
        <v>151</v>
      </c>
      <c r="E48" s="2">
        <v>7.6980000000000007E-2</v>
      </c>
      <c r="F48" s="2">
        <v>0.14529</v>
      </c>
      <c r="G48" s="238">
        <v>123.4</v>
      </c>
      <c r="H48" s="2">
        <v>57</v>
      </c>
      <c r="I48" s="2">
        <v>1000</v>
      </c>
      <c r="J48" s="2">
        <v>25</v>
      </c>
      <c r="K48" s="2">
        <v>1.5</v>
      </c>
      <c r="L48" s="2">
        <v>1.5</v>
      </c>
      <c r="M48" s="2">
        <v>0.7</v>
      </c>
      <c r="N48" s="208">
        <v>0.01</v>
      </c>
      <c r="O48" s="2">
        <v>1.4333531291543899E-3</v>
      </c>
      <c r="P48" s="2">
        <v>30.52</v>
      </c>
      <c r="Q48" s="51">
        <f t="shared" si="4"/>
        <v>0.50866666666666671</v>
      </c>
      <c r="R48" s="2">
        <v>132</v>
      </c>
      <c r="S48" s="101">
        <v>1.0000892577510899E-2</v>
      </c>
      <c r="T48" s="2">
        <v>0.99785393702425695</v>
      </c>
      <c r="U48" s="28">
        <v>9.2876608328669406</v>
      </c>
      <c r="V48" s="64">
        <v>9.6469999999999993E-3</v>
      </c>
      <c r="W48" s="64">
        <v>8.5518540000000005</v>
      </c>
      <c r="X48" s="64">
        <v>7.1656500000000003</v>
      </c>
      <c r="Y48" s="64">
        <v>44.150669999999998</v>
      </c>
      <c r="Z48" s="64">
        <v>42.528283999999999</v>
      </c>
      <c r="AA48" s="64">
        <v>1E-4</v>
      </c>
      <c r="AB48" s="28">
        <v>1.0642696956248601</v>
      </c>
      <c r="AC48" s="28">
        <v>9.9121718010147202</v>
      </c>
      <c r="AD48" s="64">
        <v>1.6426339999999999</v>
      </c>
      <c r="AE48" s="101">
        <v>0.100516760514839</v>
      </c>
      <c r="AF48" s="146">
        <v>0.63987436884745696</v>
      </c>
    </row>
    <row r="49" spans="1:32" ht="15" thickBot="1" x14ac:dyDescent="0.35">
      <c r="A49" s="15" t="s">
        <v>181</v>
      </c>
      <c r="B49" s="6" t="s">
        <v>70</v>
      </c>
      <c r="C49" s="6" t="s">
        <v>116</v>
      </c>
      <c r="D49" s="6" t="s">
        <v>151</v>
      </c>
      <c r="E49" s="6">
        <v>5.6370000000000003E-2</v>
      </c>
      <c r="F49" s="6">
        <v>0.14785000000000001</v>
      </c>
      <c r="G49" s="6">
        <v>119.64809</v>
      </c>
      <c r="H49" s="6">
        <v>53</v>
      </c>
      <c r="I49" s="6">
        <v>1000</v>
      </c>
      <c r="J49" s="6">
        <v>25</v>
      </c>
      <c r="K49" s="6">
        <v>1.5</v>
      </c>
      <c r="L49" s="6">
        <v>1.5</v>
      </c>
      <c r="M49" s="6">
        <v>0.7</v>
      </c>
      <c r="N49" s="213">
        <v>0.01</v>
      </c>
      <c r="O49" s="6">
        <v>4.2929184671257597E-3</v>
      </c>
      <c r="P49" s="6">
        <f>5*60+55.73</f>
        <v>355.73</v>
      </c>
      <c r="Q49" s="172">
        <f t="shared" si="4"/>
        <v>5.9288333333333334</v>
      </c>
      <c r="R49" s="6">
        <v>209</v>
      </c>
      <c r="S49" s="132">
        <v>8.2243522723927098E-2</v>
      </c>
      <c r="T49" s="6">
        <v>0.762943024140597</v>
      </c>
      <c r="U49" s="131">
        <v>1.1476906759786101</v>
      </c>
      <c r="V49" s="130">
        <v>9.6469999999999993E-3</v>
      </c>
      <c r="W49" s="130">
        <v>8.5518540000000005</v>
      </c>
      <c r="X49" s="130">
        <v>7.1656500000000003</v>
      </c>
      <c r="Y49" s="130">
        <v>44.150669999999998</v>
      </c>
      <c r="Z49" s="130">
        <v>42.528283999999999</v>
      </c>
      <c r="AA49" s="130">
        <v>1E-4</v>
      </c>
      <c r="AB49" s="131">
        <v>9.9738294283142306</v>
      </c>
      <c r="AC49" s="132">
        <v>0.75743814074872495</v>
      </c>
      <c r="AD49" s="130">
        <v>1.6426339999999999</v>
      </c>
      <c r="AE49" s="132">
        <v>0.42476251512003999</v>
      </c>
      <c r="AF49" s="150">
        <v>0.283241147673369</v>
      </c>
    </row>
    <row r="52" spans="1:32" x14ac:dyDescent="0.3">
      <c r="R52" s="210" t="s">
        <v>136</v>
      </c>
      <c r="S52" s="215">
        <f>AVERAGE(S42:S49)</f>
        <v>8.511610421537065E-2</v>
      </c>
      <c r="T52" s="215">
        <f>AVERAGE(T42:T49)</f>
        <v>3.1382256509213056</v>
      </c>
      <c r="U52" s="215">
        <f t="shared" ref="U52:AF52" si="5">AVERAGE(U42:U49)</f>
        <v>4.4708027768579059</v>
      </c>
      <c r="V52" s="215"/>
      <c r="W52" s="215"/>
      <c r="X52" s="215"/>
      <c r="Y52" s="215"/>
      <c r="Z52" s="215"/>
      <c r="AA52" s="215"/>
      <c r="AB52" s="215">
        <f t="shared" si="5"/>
        <v>3.1974754466791566</v>
      </c>
      <c r="AC52" s="215">
        <f t="shared" si="5"/>
        <v>6.5177017430931423</v>
      </c>
      <c r="AD52" s="215"/>
      <c r="AE52" s="215">
        <f t="shared" si="5"/>
        <v>0.33546124061552524</v>
      </c>
      <c r="AF52" s="215">
        <f t="shared" si="5"/>
        <v>0.4767218079236652</v>
      </c>
    </row>
    <row r="53" spans="1:32" x14ac:dyDescent="0.3">
      <c r="R53" s="2" t="s">
        <v>137</v>
      </c>
      <c r="S53" s="2">
        <f>_xlfn.STDEV.S(S42:S49)</f>
        <v>6.9045157363829324E-2</v>
      </c>
      <c r="T53" s="2">
        <f>_xlfn.STDEV.S(T42:T49)</f>
        <v>2.3220049049552745</v>
      </c>
      <c r="U53" s="2">
        <f t="shared" ref="U53:AF53" si="6">_xlfn.STDEV.S(U42:U49)</f>
        <v>3.5227329958823028</v>
      </c>
      <c r="V53" s="2"/>
      <c r="W53" s="2"/>
      <c r="X53" s="2"/>
      <c r="Y53" s="2"/>
      <c r="Z53" s="2"/>
      <c r="AA53" s="2"/>
      <c r="AB53" s="2">
        <f t="shared" si="6"/>
        <v>2.8908618771572852</v>
      </c>
      <c r="AC53" s="2">
        <f t="shared" si="6"/>
        <v>3.6228871220996934</v>
      </c>
      <c r="AD53" s="2"/>
      <c r="AE53" s="2">
        <f t="shared" si="6"/>
        <v>0.12431419547841235</v>
      </c>
      <c r="AF53" s="2">
        <f t="shared" si="6"/>
        <v>0.10928918731305186</v>
      </c>
    </row>
    <row r="55" spans="1:32" ht="15" thickBot="1" x14ac:dyDescent="0.35"/>
    <row r="56" spans="1:32" ht="28.8" x14ac:dyDescent="0.3">
      <c r="A56" s="99" t="s">
        <v>133</v>
      </c>
      <c r="B56" s="98" t="s">
        <v>45</v>
      </c>
      <c r="C56" s="266" t="s">
        <v>109</v>
      </c>
      <c r="D56" s="226" t="s">
        <v>150</v>
      </c>
      <c r="E56" s="226" t="s">
        <v>157</v>
      </c>
      <c r="F56" s="226" t="s">
        <v>158</v>
      </c>
      <c r="G56" s="226" t="s">
        <v>159</v>
      </c>
      <c r="H56" s="226" t="s">
        <v>160</v>
      </c>
      <c r="I56" s="228" t="s">
        <v>47</v>
      </c>
      <c r="J56" s="228" t="s">
        <v>46</v>
      </c>
      <c r="K56" s="228" t="s">
        <v>48</v>
      </c>
      <c r="L56" s="228" t="s">
        <v>49</v>
      </c>
      <c r="M56" s="228" t="s">
        <v>50</v>
      </c>
      <c r="N56" s="98" t="s">
        <v>104</v>
      </c>
      <c r="O56" s="98" t="s">
        <v>9</v>
      </c>
      <c r="P56" s="98" t="s">
        <v>6</v>
      </c>
      <c r="Q56" s="98" t="s">
        <v>34</v>
      </c>
      <c r="R56" s="98" t="s">
        <v>113</v>
      </c>
      <c r="S56" s="229" t="s">
        <v>52</v>
      </c>
      <c r="T56" s="229" t="s">
        <v>53</v>
      </c>
      <c r="U56" s="229" t="s">
        <v>54</v>
      </c>
      <c r="V56" s="230" t="s">
        <v>55</v>
      </c>
      <c r="W56" s="230" t="s">
        <v>56</v>
      </c>
      <c r="X56" s="230" t="s">
        <v>57</v>
      </c>
      <c r="Y56" s="230" t="s">
        <v>58</v>
      </c>
      <c r="Z56" s="230" t="s">
        <v>59</v>
      </c>
      <c r="AA56" s="230" t="s">
        <v>60</v>
      </c>
      <c r="AB56" s="229" t="s">
        <v>61</v>
      </c>
      <c r="AC56" s="229" t="s">
        <v>65</v>
      </c>
      <c r="AD56" s="231" t="s">
        <v>62</v>
      </c>
      <c r="AE56" s="229" t="s">
        <v>63</v>
      </c>
      <c r="AF56" s="232" t="s">
        <v>64</v>
      </c>
    </row>
    <row r="57" spans="1:32" x14ac:dyDescent="0.3">
      <c r="A57" s="2" t="s">
        <v>134</v>
      </c>
      <c r="B57" s="2" t="s">
        <v>70</v>
      </c>
      <c r="C57" s="2" t="s">
        <v>110</v>
      </c>
      <c r="D57" s="2" t="s">
        <v>152</v>
      </c>
      <c r="E57" s="238">
        <v>0.2</v>
      </c>
      <c r="F57" s="238">
        <v>0.28009000000000001</v>
      </c>
      <c r="G57" s="237">
        <v>120.81480000000001</v>
      </c>
      <c r="H57" s="2">
        <v>40</v>
      </c>
      <c r="I57" s="2">
        <v>1000</v>
      </c>
      <c r="J57" s="2">
        <v>25</v>
      </c>
      <c r="K57" s="2">
        <v>1.5</v>
      </c>
      <c r="L57" s="2">
        <v>1.5</v>
      </c>
      <c r="M57" s="2">
        <v>0.7</v>
      </c>
      <c r="N57" s="208">
        <v>0.01</v>
      </c>
      <c r="O57" s="65">
        <v>1.05437471085419E-3</v>
      </c>
      <c r="P57" s="2">
        <f>5*60+31.28</f>
        <v>331.28</v>
      </c>
      <c r="Q57" s="51">
        <f>P57/60</f>
        <v>5.5213333333333328</v>
      </c>
      <c r="R57" s="2">
        <v>491</v>
      </c>
      <c r="S57" s="65">
        <v>6.0474330476258199E-2</v>
      </c>
      <c r="T57" s="101">
        <v>0.80628107870271104</v>
      </c>
      <c r="U57" s="28">
        <v>0.917299244931577</v>
      </c>
      <c r="V57" s="64">
        <v>9.6469999999999993E-3</v>
      </c>
      <c r="W57" s="64">
        <v>8.5518540000000005</v>
      </c>
      <c r="X57" s="64">
        <v>7.1656500000000003</v>
      </c>
      <c r="Y57" s="64">
        <v>44.150669999999998</v>
      </c>
      <c r="Z57" s="64">
        <v>42.528283999999999</v>
      </c>
      <c r="AA57" s="64">
        <v>1E-4</v>
      </c>
      <c r="AB57" s="28">
        <v>3.91745413934524</v>
      </c>
      <c r="AC57" s="28">
        <v>3.4102711653503799</v>
      </c>
      <c r="AD57" s="64">
        <v>1.6426339999999999</v>
      </c>
      <c r="AE57" s="2">
        <v>0.27767596716205301</v>
      </c>
      <c r="AF57" s="65">
        <v>0.62829096093755399</v>
      </c>
    </row>
    <row r="58" spans="1:32" x14ac:dyDescent="0.3">
      <c r="A58" s="2" t="s">
        <v>135</v>
      </c>
      <c r="B58" s="2" t="s">
        <v>70</v>
      </c>
      <c r="C58" s="2" t="s">
        <v>110</v>
      </c>
      <c r="D58" s="2" t="s">
        <v>151</v>
      </c>
      <c r="E58" s="238">
        <v>5.9499999999999997E-2</v>
      </c>
      <c r="F58" s="238">
        <v>0.12887999999999999</v>
      </c>
      <c r="G58" s="237">
        <v>119.19372</v>
      </c>
      <c r="H58" s="2">
        <v>34</v>
      </c>
      <c r="I58" s="2">
        <v>1000</v>
      </c>
      <c r="J58" s="2">
        <v>25</v>
      </c>
      <c r="K58" s="2">
        <v>1.5</v>
      </c>
      <c r="L58" s="2">
        <v>1.5</v>
      </c>
      <c r="M58" s="2">
        <v>0.7</v>
      </c>
      <c r="N58" s="208">
        <v>0.01</v>
      </c>
      <c r="O58" s="65">
        <v>7.5686483089474103E-4</v>
      </c>
      <c r="P58" s="2">
        <f>5*60+55.08</f>
        <v>355.08</v>
      </c>
      <c r="Q58" s="51">
        <f>P58/60</f>
        <v>5.9180000000000001</v>
      </c>
      <c r="R58" s="2">
        <v>168</v>
      </c>
      <c r="S58" s="2">
        <v>0.110272721924296</v>
      </c>
      <c r="T58" s="101">
        <v>1.17076295572537</v>
      </c>
      <c r="U58" s="28">
        <v>2.25578090010531</v>
      </c>
      <c r="V58" s="64">
        <v>9.6469999999999993E-3</v>
      </c>
      <c r="W58" s="64">
        <v>8.5518540000000005</v>
      </c>
      <c r="X58" s="64">
        <v>7.1656500000000003</v>
      </c>
      <c r="Y58" s="64">
        <v>44.150669999999998</v>
      </c>
      <c r="Z58" s="64">
        <v>42.528283999999999</v>
      </c>
      <c r="AA58" s="64">
        <v>1E-4</v>
      </c>
      <c r="AB58" s="28">
        <v>5.3631699111812496</v>
      </c>
      <c r="AC58" s="28">
        <v>9.2128024788256297</v>
      </c>
      <c r="AD58" s="64">
        <v>1.6426339999999999</v>
      </c>
      <c r="AE58" s="110">
        <v>1.01837154620533</v>
      </c>
      <c r="AF58" s="2">
        <v>0.15050491430758201</v>
      </c>
    </row>
    <row r="59" spans="1:32" x14ac:dyDescent="0.3">
      <c r="A59" s="2" t="s">
        <v>138</v>
      </c>
      <c r="B59" s="2" t="s">
        <v>70</v>
      </c>
      <c r="C59" s="2" t="s">
        <v>110</v>
      </c>
      <c r="D59" s="2" t="s">
        <v>151</v>
      </c>
      <c r="E59" s="238">
        <v>6.9739999999999996E-2</v>
      </c>
      <c r="F59" s="238">
        <v>0.14746000000000001</v>
      </c>
      <c r="G59" s="237">
        <v>120.92178</v>
      </c>
      <c r="H59" s="2">
        <v>37</v>
      </c>
      <c r="I59" s="2">
        <v>1000</v>
      </c>
      <c r="J59" s="2">
        <v>25</v>
      </c>
      <c r="K59" s="2">
        <v>1.5</v>
      </c>
      <c r="L59" s="2">
        <v>1.5</v>
      </c>
      <c r="M59" s="2">
        <v>0.7</v>
      </c>
      <c r="N59" s="208">
        <v>0.01</v>
      </c>
      <c r="O59" s="65">
        <v>6.4367444323311796E-4</v>
      </c>
      <c r="P59" s="2">
        <f>15*60+22.24</f>
        <v>922.24</v>
      </c>
      <c r="Q59" s="51">
        <f>P59/60</f>
        <v>15.370666666666667</v>
      </c>
      <c r="R59" s="2">
        <v>1001</v>
      </c>
      <c r="S59" s="2">
        <v>8.6457123240578596E-2</v>
      </c>
      <c r="T59" s="101">
        <v>0.60511754362607695</v>
      </c>
      <c r="U59" s="28">
        <v>1.4096919303894699</v>
      </c>
      <c r="V59" s="64">
        <v>9.6469999999999993E-3</v>
      </c>
      <c r="W59" s="64">
        <v>8.5518540000000005</v>
      </c>
      <c r="X59" s="64">
        <v>7.1656500000000003</v>
      </c>
      <c r="Y59" s="64">
        <v>44.150669999999998</v>
      </c>
      <c r="Z59" s="64">
        <v>42.528283999999999</v>
      </c>
      <c r="AA59" s="64">
        <v>1E-4</v>
      </c>
      <c r="AB59" s="28">
        <v>5.54125213678254</v>
      </c>
      <c r="AC59" s="28">
        <v>0.49724142545709898</v>
      </c>
      <c r="AD59" s="64">
        <v>1.6426339999999999</v>
      </c>
      <c r="AE59" s="2">
        <v>0.117665351146806</v>
      </c>
      <c r="AF59" s="65">
        <v>0.71892168022052105</v>
      </c>
    </row>
    <row r="60" spans="1:32" x14ac:dyDescent="0.3">
      <c r="A60" s="2" t="s">
        <v>183</v>
      </c>
      <c r="B60" s="2" t="s">
        <v>70</v>
      </c>
      <c r="C60" s="2" t="s">
        <v>140</v>
      </c>
      <c r="D60" s="2" t="s">
        <v>151</v>
      </c>
      <c r="E60" s="238">
        <v>5.9499999999999997E-2</v>
      </c>
      <c r="F60" s="2">
        <v>0.15695000000000001</v>
      </c>
      <c r="G60" s="2">
        <v>121.17444</v>
      </c>
      <c r="H60" s="2">
        <v>30</v>
      </c>
      <c r="I60" s="2">
        <v>1000</v>
      </c>
      <c r="J60" s="2">
        <v>25</v>
      </c>
      <c r="K60" s="2">
        <v>1.5</v>
      </c>
      <c r="L60" s="2">
        <v>1.5</v>
      </c>
      <c r="M60" s="2">
        <v>0.7</v>
      </c>
      <c r="N60" s="208">
        <v>0.01</v>
      </c>
      <c r="O60" s="65">
        <v>7.2432533472031901E-4</v>
      </c>
      <c r="P60" s="2">
        <f>60+0.53</f>
        <v>60.53</v>
      </c>
      <c r="Q60" s="51">
        <f>P60/60</f>
        <v>1.0088333333333332</v>
      </c>
      <c r="R60" s="2">
        <v>108</v>
      </c>
      <c r="S60" s="2">
        <v>0.20737125139700999</v>
      </c>
      <c r="T60" s="28">
        <v>2.9540123964987499</v>
      </c>
      <c r="U60" s="28">
        <v>2.5559566332007999</v>
      </c>
      <c r="V60" s="64">
        <v>9.6469999999999993E-3</v>
      </c>
      <c r="W60" s="64">
        <v>8.5518540000000005</v>
      </c>
      <c r="X60" s="64">
        <v>7.1656500000000003</v>
      </c>
      <c r="Y60" s="64">
        <v>44.150669999999998</v>
      </c>
      <c r="Z60" s="64">
        <v>42.528283999999999</v>
      </c>
      <c r="AA60" s="64">
        <v>1E-4</v>
      </c>
      <c r="AB60" s="28">
        <v>3.2346623768793901</v>
      </c>
      <c r="AC60" s="28">
        <v>3.4276780144013901</v>
      </c>
      <c r="AD60" s="64">
        <v>1.6426339999999999</v>
      </c>
      <c r="AE60" s="2">
        <v>0.48174393207586202</v>
      </c>
      <c r="AF60" s="2">
        <v>0.332899589400666</v>
      </c>
    </row>
    <row r="61" spans="1:32" x14ac:dyDescent="0.3">
      <c r="A61" s="2" t="s">
        <v>184</v>
      </c>
      <c r="B61" s="2" t="s">
        <v>70</v>
      </c>
      <c r="C61" s="2" t="s">
        <v>122</v>
      </c>
      <c r="D61" s="2" t="s">
        <v>151</v>
      </c>
      <c r="E61" s="238">
        <v>4.9919999999999999E-2</v>
      </c>
      <c r="F61" s="238">
        <v>0.14782999999999999</v>
      </c>
      <c r="G61" s="237">
        <v>128.59369000000001</v>
      </c>
      <c r="H61" s="2">
        <v>62</v>
      </c>
      <c r="I61" s="2">
        <v>1000</v>
      </c>
      <c r="J61" s="2">
        <v>25</v>
      </c>
      <c r="K61" s="2">
        <v>1.5</v>
      </c>
      <c r="L61" s="2">
        <v>1.5</v>
      </c>
      <c r="M61" s="2">
        <v>0.7</v>
      </c>
      <c r="N61" s="208">
        <v>0.01</v>
      </c>
      <c r="O61" s="65">
        <v>1.88054082771313E-3</v>
      </c>
      <c r="P61" s="2">
        <f>2*60+32.24</f>
        <v>152.24</v>
      </c>
      <c r="Q61" s="51">
        <f>P61/60</f>
        <v>2.5373333333333337</v>
      </c>
      <c r="R61" s="2">
        <v>432</v>
      </c>
      <c r="S61" s="2">
        <v>3.306098316587E-2</v>
      </c>
      <c r="T61" s="101">
        <v>0.85101829995948897</v>
      </c>
      <c r="U61" s="114">
        <v>2.1196550196688402</v>
      </c>
      <c r="V61" s="64">
        <v>9.6469999999999993E-3</v>
      </c>
      <c r="W61" s="64">
        <v>8.5518540000000005</v>
      </c>
      <c r="X61" s="64">
        <v>7.1656500000000003</v>
      </c>
      <c r="Y61" s="64">
        <v>44.150669999999998</v>
      </c>
      <c r="Z61" s="64">
        <v>42.528283999999999</v>
      </c>
      <c r="AA61" s="64">
        <v>1E-4</v>
      </c>
      <c r="AB61" s="28">
        <v>2.44704417604575</v>
      </c>
      <c r="AC61" s="28">
        <v>7.7954768578171203</v>
      </c>
      <c r="AD61" s="64">
        <v>1.6426339999999999</v>
      </c>
      <c r="AE61" s="2">
        <v>0.100000201296137</v>
      </c>
      <c r="AF61" s="2">
        <v>0.94046177354485205</v>
      </c>
    </row>
    <row r="62" spans="1:32" x14ac:dyDescent="0.3">
      <c r="A62" s="2" t="s">
        <v>185</v>
      </c>
      <c r="B62" s="2" t="s">
        <v>70</v>
      </c>
      <c r="C62" s="2" t="s">
        <v>122</v>
      </c>
      <c r="D62" s="2" t="s">
        <v>151</v>
      </c>
      <c r="E62" s="2">
        <v>5.2519999999999997E-2</v>
      </c>
      <c r="F62" s="2">
        <v>0.14022999999999999</v>
      </c>
      <c r="G62" s="2">
        <v>120.97647000000001</v>
      </c>
      <c r="H62" s="2">
        <v>54</v>
      </c>
      <c r="I62" s="2">
        <v>1000</v>
      </c>
      <c r="J62" s="2">
        <v>25</v>
      </c>
      <c r="K62" s="2">
        <v>1.5</v>
      </c>
      <c r="L62" s="2">
        <v>1.5</v>
      </c>
      <c r="M62" s="2">
        <v>0.7</v>
      </c>
      <c r="N62" s="208">
        <v>0.01</v>
      </c>
      <c r="O62" s="2">
        <v>2.1189638355423499E-3</v>
      </c>
      <c r="P62" s="2">
        <f>60+33.87</f>
        <v>93.87</v>
      </c>
      <c r="Q62" s="51">
        <f t="shared" ref="Q62:Q64" si="7">P62/60</f>
        <v>1.5645</v>
      </c>
      <c r="R62" s="2">
        <v>160</v>
      </c>
      <c r="S62" s="2">
        <v>0.10497160376817399</v>
      </c>
      <c r="T62" s="28">
        <v>1.81113648420804</v>
      </c>
      <c r="U62" s="28">
        <v>1.4008234445816401</v>
      </c>
      <c r="V62" s="64">
        <v>9.6469999999999993E-3</v>
      </c>
      <c r="W62" s="64">
        <v>8.5518540000000005</v>
      </c>
      <c r="X62" s="64">
        <v>7.1656500000000003</v>
      </c>
      <c r="Y62" s="64">
        <v>44.150669999999998</v>
      </c>
      <c r="Z62" s="64">
        <v>42.528283999999999</v>
      </c>
      <c r="AA62" s="64">
        <v>1E-4</v>
      </c>
      <c r="AB62" s="28">
        <v>2.60984128166039</v>
      </c>
      <c r="AC62" s="101">
        <v>0.25611441352126701</v>
      </c>
      <c r="AD62" s="64">
        <v>1.6426339999999999</v>
      </c>
      <c r="AE62" s="2">
        <v>0.52902190090615497</v>
      </c>
      <c r="AF62" s="2">
        <v>0.23427506645869101</v>
      </c>
    </row>
    <row r="63" spans="1:32" x14ac:dyDescent="0.3">
      <c r="A63" s="2" t="s">
        <v>186</v>
      </c>
      <c r="B63" s="2" t="s">
        <v>70</v>
      </c>
      <c r="C63" s="2" t="s">
        <v>116</v>
      </c>
      <c r="D63" s="2" t="s">
        <v>151</v>
      </c>
      <c r="E63" s="2">
        <v>7.4940000000000007E-2</v>
      </c>
      <c r="F63" s="2">
        <v>0.14054</v>
      </c>
      <c r="G63" s="2">
        <v>119.65543</v>
      </c>
      <c r="H63" s="2">
        <v>58</v>
      </c>
      <c r="I63" s="2">
        <v>1000</v>
      </c>
      <c r="J63" s="2">
        <v>25</v>
      </c>
      <c r="K63" s="2">
        <v>1.5</v>
      </c>
      <c r="L63" s="2">
        <v>1.5</v>
      </c>
      <c r="M63" s="2">
        <v>0.7</v>
      </c>
      <c r="N63" s="208">
        <v>0.01</v>
      </c>
      <c r="O63" s="2">
        <v>2.5065368345805802E-3</v>
      </c>
      <c r="P63" s="2">
        <f>2*60+36.72</f>
        <v>156.72</v>
      </c>
      <c r="Q63" s="51">
        <f t="shared" si="7"/>
        <v>2.6120000000000001</v>
      </c>
      <c r="R63" s="2">
        <v>153</v>
      </c>
      <c r="S63" s="2">
        <v>7.8621865559943202E-2</v>
      </c>
      <c r="T63" s="101">
        <v>0.23093201499208299</v>
      </c>
      <c r="U63" s="28">
        <v>1.83848445981227</v>
      </c>
      <c r="V63" s="64">
        <v>9.6469999999999993E-3</v>
      </c>
      <c r="W63" s="64">
        <v>8.5518540000000005</v>
      </c>
      <c r="X63" s="64">
        <v>7.1656500000000003</v>
      </c>
      <c r="Y63" s="64">
        <v>44.150669999999998</v>
      </c>
      <c r="Z63" s="64">
        <v>42.528283999999999</v>
      </c>
      <c r="AA63" s="64">
        <v>1E-4</v>
      </c>
      <c r="AB63" s="28">
        <v>9.9985034014893692</v>
      </c>
      <c r="AC63" s="101">
        <v>0.10064899698815</v>
      </c>
      <c r="AD63" s="64">
        <v>1.6426339999999999</v>
      </c>
      <c r="AE63" s="2">
        <v>0.48079074282344603</v>
      </c>
      <c r="AF63" s="2">
        <v>0.50037732726501705</v>
      </c>
    </row>
    <row r="64" spans="1:32" x14ac:dyDescent="0.3">
      <c r="A64" s="2" t="s">
        <v>188</v>
      </c>
      <c r="B64" s="2" t="s">
        <v>70</v>
      </c>
      <c r="C64" s="2" t="s">
        <v>116</v>
      </c>
      <c r="D64" s="2" t="s">
        <v>189</v>
      </c>
      <c r="E64" s="2">
        <v>7.8109999999999999E-2</v>
      </c>
      <c r="F64" s="2">
        <v>0.16527</v>
      </c>
      <c r="G64" s="2">
        <v>121.52355</v>
      </c>
      <c r="H64" s="2">
        <v>32</v>
      </c>
      <c r="I64" s="2">
        <v>1000</v>
      </c>
      <c r="J64" s="2">
        <v>25</v>
      </c>
      <c r="K64" s="2">
        <v>1.5</v>
      </c>
      <c r="L64" s="2">
        <v>1.5</v>
      </c>
      <c r="M64" s="2">
        <v>0.7</v>
      </c>
      <c r="N64" s="208">
        <v>0.01</v>
      </c>
      <c r="O64" s="2">
        <v>9.2472072928004301E-4</v>
      </c>
      <c r="P64" s="2">
        <f>3*60+48.32</f>
        <v>228.32</v>
      </c>
      <c r="Q64" s="51">
        <f t="shared" si="7"/>
        <v>3.805333333333333</v>
      </c>
      <c r="R64" s="2">
        <v>87</v>
      </c>
      <c r="S64" s="2">
        <v>0.17745534764967999</v>
      </c>
      <c r="T64" s="28">
        <v>5.6298853605892303</v>
      </c>
      <c r="U64" s="101">
        <v>0.64609460084592596</v>
      </c>
      <c r="V64" s="64">
        <v>9.6469999999999993E-3</v>
      </c>
      <c r="W64" s="64">
        <v>8.5518540000000005</v>
      </c>
      <c r="X64" s="64">
        <v>7.1656500000000003</v>
      </c>
      <c r="Y64" s="64">
        <v>44.150669999999998</v>
      </c>
      <c r="Z64" s="64">
        <v>42.528283999999999</v>
      </c>
      <c r="AA64" s="64">
        <v>1E-4</v>
      </c>
      <c r="AB64" s="28">
        <v>3.12755478753372</v>
      </c>
      <c r="AC64" s="28">
        <v>2.9544679403201899</v>
      </c>
      <c r="AD64" s="64">
        <v>1.6426339999999999</v>
      </c>
      <c r="AE64" s="2">
        <v>0.52849544374017199</v>
      </c>
      <c r="AF64" s="2">
        <v>0.10986835706202</v>
      </c>
    </row>
    <row r="65" spans="1:32" x14ac:dyDescent="0.3">
      <c r="A65" s="2" t="s">
        <v>187</v>
      </c>
      <c r="B65" s="2" t="s">
        <v>70</v>
      </c>
      <c r="C65" s="2" t="s">
        <v>116</v>
      </c>
      <c r="D65" s="2" t="s">
        <v>151</v>
      </c>
      <c r="E65" s="2">
        <v>4.7879999999999999E-2</v>
      </c>
      <c r="F65" s="2">
        <v>0.13164999999999999</v>
      </c>
      <c r="G65" s="2">
        <v>121.00412</v>
      </c>
      <c r="H65" s="2">
        <v>31</v>
      </c>
      <c r="I65" s="2">
        <v>1000</v>
      </c>
      <c r="J65" s="2">
        <v>25</v>
      </c>
      <c r="K65" s="2">
        <v>1.5</v>
      </c>
      <c r="L65" s="2">
        <v>1.5</v>
      </c>
      <c r="M65" s="2">
        <v>0.7</v>
      </c>
      <c r="N65" s="208">
        <v>0.01</v>
      </c>
      <c r="O65" s="2">
        <v>1.73092545738551E-3</v>
      </c>
      <c r="P65" s="2">
        <v>50.16</v>
      </c>
      <c r="Q65" s="51">
        <f>P65/60</f>
        <v>0.83599999999999997</v>
      </c>
      <c r="R65" s="2">
        <v>87</v>
      </c>
      <c r="S65" s="2">
        <v>0.20102964185372199</v>
      </c>
      <c r="T65" s="28">
        <v>2.94853983476197</v>
      </c>
      <c r="U65" s="101">
        <v>0.86368794878733401</v>
      </c>
      <c r="V65" s="64">
        <v>9.6469999999999993E-3</v>
      </c>
      <c r="W65" s="64">
        <v>8.5518540000000005</v>
      </c>
      <c r="X65" s="64">
        <v>7.1656500000000003</v>
      </c>
      <c r="Y65" s="64">
        <v>44.150669999999998</v>
      </c>
      <c r="Z65" s="64">
        <v>42.528283999999999</v>
      </c>
      <c r="AA65" s="64">
        <v>1E-4</v>
      </c>
      <c r="AB65" s="28">
        <v>7.0208069734406697</v>
      </c>
      <c r="AC65" s="28">
        <v>6.6848072808319596</v>
      </c>
      <c r="AD65" s="64">
        <v>1.6426339999999999</v>
      </c>
      <c r="AE65" s="2">
        <v>0.51114647179317296</v>
      </c>
      <c r="AF65" s="2">
        <v>0.17851425620450601</v>
      </c>
    </row>
    <row r="66" spans="1:32" x14ac:dyDescent="0.3">
      <c r="A66" s="261"/>
      <c r="B66" s="261"/>
      <c r="C66" s="262"/>
      <c r="D66" s="260"/>
      <c r="E66" s="260"/>
      <c r="F66" s="260"/>
      <c r="G66" s="260"/>
      <c r="H66" s="260"/>
      <c r="I66" s="263"/>
      <c r="J66" s="263"/>
      <c r="K66" s="263"/>
      <c r="L66" s="263"/>
      <c r="M66" s="263"/>
      <c r="N66" s="261"/>
      <c r="O66" s="261"/>
      <c r="P66" s="261"/>
      <c r="Q66" s="261"/>
      <c r="R66" s="261"/>
      <c r="S66" s="263"/>
      <c r="T66" s="263"/>
      <c r="U66" s="263"/>
      <c r="V66" s="263"/>
      <c r="W66" s="263"/>
      <c r="X66" s="263"/>
      <c r="Y66" s="263"/>
      <c r="Z66" s="263"/>
      <c r="AA66" s="263"/>
      <c r="AB66" s="263"/>
      <c r="AC66" s="263"/>
      <c r="AD66" s="264"/>
      <c r="AE66" s="263"/>
      <c r="AF66" s="263"/>
    </row>
    <row r="67" spans="1:32" x14ac:dyDescent="0.3">
      <c r="H67">
        <f>SUM(H57:H65)</f>
        <v>378</v>
      </c>
      <c r="N67" s="214"/>
      <c r="Q67" s="265"/>
      <c r="T67" s="114"/>
      <c r="U67" s="114"/>
      <c r="V67" s="115"/>
      <c r="W67" s="115"/>
      <c r="X67" s="115"/>
      <c r="Y67" s="115"/>
      <c r="Z67" s="115"/>
      <c r="AA67" s="115"/>
      <c r="AB67" s="114"/>
      <c r="AC67" s="114"/>
      <c r="AD67" s="115"/>
    </row>
    <row r="68" spans="1:32" x14ac:dyDescent="0.3">
      <c r="N68" s="214"/>
      <c r="O68" s="119"/>
      <c r="Q68" s="265"/>
      <c r="R68" s="210" t="s">
        <v>136</v>
      </c>
      <c r="S68" s="215">
        <f>AVERAGE(S57:S65)</f>
        <v>0.11774609655950356</v>
      </c>
      <c r="T68" s="210">
        <f>AVERAGE(T57:T65)</f>
        <v>1.8897428854515244</v>
      </c>
      <c r="U68" s="210">
        <f>AVERAGE(U57:U65)</f>
        <v>1.5563860202581297</v>
      </c>
      <c r="V68" s="210"/>
      <c r="W68" s="210"/>
      <c r="X68" s="210"/>
      <c r="Y68" s="210"/>
      <c r="Z68" s="210"/>
      <c r="AA68" s="210"/>
      <c r="AB68" s="210">
        <f>AVERAGE(AB57:AB65)</f>
        <v>4.8066987982620359</v>
      </c>
      <c r="AC68" s="210">
        <f>AVERAGE(AC57:AC65)</f>
        <v>3.815500952612576</v>
      </c>
      <c r="AD68" s="210"/>
      <c r="AE68" s="210">
        <f>AVERAGE(AE57:AE65)</f>
        <v>0.44943461746101487</v>
      </c>
      <c r="AF68" s="210">
        <f>AVERAGE(AF57:AF65)</f>
        <v>0.42156821393348992</v>
      </c>
    </row>
    <row r="69" spans="1:32" x14ac:dyDescent="0.3">
      <c r="R69" s="2" t="s">
        <v>137</v>
      </c>
      <c r="S69" s="2">
        <f>_xlfn.STDEV.S(S57:S65)</f>
        <v>6.2962667391211521E-2</v>
      </c>
      <c r="T69" s="2">
        <f>_xlfn.STDEV.S(T57:T65)</f>
        <v>1.7110030477768026</v>
      </c>
      <c r="U69" s="2">
        <f>_xlfn.STDEV.S(U57:U65)</f>
        <v>0.67525531905871516</v>
      </c>
      <c r="V69" s="2"/>
      <c r="W69" s="2"/>
      <c r="X69" s="2"/>
      <c r="Y69" s="2"/>
      <c r="Z69" s="2"/>
      <c r="AA69" s="2"/>
      <c r="AB69" s="2">
        <f>_xlfn.STDEV.S(AB57:AB65)</f>
        <v>2.4794674534780832</v>
      </c>
      <c r="AC69" s="2">
        <f>_xlfn.STDEV.S(AC57:AC65)</f>
        <v>3.3863732501122064</v>
      </c>
      <c r="AD69" s="2"/>
      <c r="AE69" s="2">
        <f>_xlfn.STDEV.S(AE57:AE65)</f>
        <v>0.27472388898322808</v>
      </c>
      <c r="AF69" s="2">
        <f>_xlfn.STDEV.S(AF57:AF65)</f>
        <v>0.29138955201867056</v>
      </c>
    </row>
    <row r="73" spans="1:32" x14ac:dyDescent="0.3">
      <c r="A73" s="209"/>
    </row>
  </sheetData>
  <autoFilter ref="A1:AA1" xr:uid="{382E0A3D-09D8-49EB-98BB-1A19629C4812}">
    <sortState xmlns:xlrd2="http://schemas.microsoft.com/office/spreadsheetml/2017/richdata2" ref="A2:AA5">
      <sortCondition ref="A1"/>
    </sortState>
  </autoFilter>
  <phoneticPr fontId="6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FD297-C4EF-47A3-9BB7-0714479252AA}">
  <dimension ref="A1:M32"/>
  <sheetViews>
    <sheetView tabSelected="1" zoomScaleNormal="100" workbookViewId="0">
      <selection activeCell="L18" sqref="L18"/>
    </sheetView>
  </sheetViews>
  <sheetFormatPr baseColWidth="10" defaultRowHeight="14.4" x14ac:dyDescent="0.3"/>
  <cols>
    <col min="1" max="1" width="4" customWidth="1"/>
    <col min="10" max="10" width="10" bestFit="1" customWidth="1"/>
    <col min="11" max="11" width="15.88671875" bestFit="1" customWidth="1"/>
  </cols>
  <sheetData>
    <row r="1" spans="1:13" x14ac:dyDescent="0.3">
      <c r="L1" t="s">
        <v>173</v>
      </c>
      <c r="M1">
        <v>7</v>
      </c>
    </row>
    <row r="2" spans="1:13" x14ac:dyDescent="0.3">
      <c r="C2" s="104" t="s">
        <v>52</v>
      </c>
      <c r="D2" s="104" t="s">
        <v>53</v>
      </c>
      <c r="E2" s="104" t="s">
        <v>54</v>
      </c>
      <c r="F2" s="104" t="s">
        <v>61</v>
      </c>
      <c r="G2" s="104" t="s">
        <v>65</v>
      </c>
      <c r="H2" s="104" t="s">
        <v>63</v>
      </c>
      <c r="I2" s="104" t="s">
        <v>64</v>
      </c>
      <c r="J2" s="104" t="s">
        <v>162</v>
      </c>
      <c r="K2" s="104" t="s">
        <v>170</v>
      </c>
      <c r="L2" s="104" t="s">
        <v>172</v>
      </c>
    </row>
    <row r="3" spans="1:13" x14ac:dyDescent="0.3">
      <c r="B3" s="220" t="s">
        <v>127</v>
      </c>
      <c r="C3" s="242">
        <f>'Pruebas variedades'!S20</f>
        <v>9.2298363684499451E-2</v>
      </c>
      <c r="D3" s="242">
        <f>'Pruebas variedades'!T20</f>
        <v>1.4329067184418673</v>
      </c>
      <c r="E3" s="242">
        <f>'Pruebas variedades'!U20</f>
        <v>5.7996119857887543</v>
      </c>
      <c r="F3" s="242">
        <f>'Pruebas variedades'!AB20</f>
        <v>3.5090837563444373</v>
      </c>
      <c r="G3" s="242">
        <f>'Pruebas variedades'!AC20</f>
        <v>6.4898138659096531</v>
      </c>
      <c r="H3" s="242">
        <f>'Pruebas variedades'!AE20</f>
        <v>0.35703827704971747</v>
      </c>
      <c r="I3" s="242">
        <f>'Pruebas variedades'!AF20</f>
        <v>0.6505524194218153</v>
      </c>
      <c r="J3" s="2">
        <f>SUM('Pruebas variedades'!H2:H5)+4</f>
        <v>207</v>
      </c>
      <c r="K3" s="2">
        <v>4</v>
      </c>
      <c r="L3" s="2">
        <f>J3-$M$1</f>
        <v>200</v>
      </c>
    </row>
    <row r="4" spans="1:13" x14ac:dyDescent="0.3">
      <c r="B4" s="239" t="s">
        <v>126</v>
      </c>
      <c r="C4" s="242">
        <f>'Pruebas variedades'!S21</f>
        <v>5.6623375029387607E-2</v>
      </c>
      <c r="D4" s="242">
        <f>'Pruebas variedades'!T21</f>
        <v>1.0674755455728331</v>
      </c>
      <c r="E4" s="242">
        <f>'Pruebas variedades'!U21</f>
        <v>3.7373191145113278</v>
      </c>
      <c r="F4" s="242">
        <f>'Pruebas variedades'!AB21</f>
        <v>2.1862359325412095</v>
      </c>
      <c r="G4" s="242">
        <f>'Pruebas variedades'!AC21</f>
        <v>1.7784686194618968</v>
      </c>
      <c r="H4" s="242">
        <f>'Pruebas variedades'!AE21</f>
        <v>0.42569788985141976</v>
      </c>
      <c r="I4" s="242">
        <f>'Pruebas variedades'!AF21</f>
        <v>0.31051964173200736</v>
      </c>
      <c r="J4" s="2"/>
      <c r="K4" s="2"/>
      <c r="L4" s="2"/>
    </row>
    <row r="5" spans="1:13" x14ac:dyDescent="0.3">
      <c r="B5" s="240" t="s">
        <v>128</v>
      </c>
      <c r="C5" s="243">
        <f>'Pruebas variedades'!S22</f>
        <v>0.11458296113220082</v>
      </c>
      <c r="D5" s="243">
        <f>'Pruebas variedades'!T22</f>
        <v>2.3816558095654399</v>
      </c>
      <c r="E5" s="243">
        <f>'Pruebas variedades'!U22</f>
        <v>2.44159155529674</v>
      </c>
      <c r="F5" s="243">
        <f>'Pruebas variedades'!AB22</f>
        <v>4.5671855256312925</v>
      </c>
      <c r="G5" s="243">
        <f>'Pruebas variedades'!AC22</f>
        <v>6.072589850115178</v>
      </c>
      <c r="H5" s="243">
        <f>'Pruebas variedades'!AE22</f>
        <v>0.47815488558102925</v>
      </c>
      <c r="I5" s="243">
        <f>'Pruebas variedades'!AF22</f>
        <v>0.45938950201988871</v>
      </c>
      <c r="J5" s="2">
        <f>SUM('Pruebas variedades'!H6:H9)+4</f>
        <v>150</v>
      </c>
      <c r="K5" s="2">
        <v>4</v>
      </c>
      <c r="L5" s="2">
        <f>J5-$M$1</f>
        <v>143</v>
      </c>
    </row>
    <row r="6" spans="1:13" x14ac:dyDescent="0.3">
      <c r="B6" s="240" t="s">
        <v>129</v>
      </c>
      <c r="C6" s="243">
        <f>'Pruebas variedades'!S23</f>
        <v>4.6463449257637505E-2</v>
      </c>
      <c r="D6" s="243">
        <f>'Pruebas variedades'!T23</f>
        <v>1.1080029017991904</v>
      </c>
      <c r="E6" s="243">
        <f>'Pruebas variedades'!U23</f>
        <v>1.1256344609963469</v>
      </c>
      <c r="F6" s="243">
        <f>'Pruebas variedades'!AB23</f>
        <v>1.1562535226175066</v>
      </c>
      <c r="G6" s="243">
        <f>'Pruebas variedades'!AC23</f>
        <v>2.6481579045737234</v>
      </c>
      <c r="H6" s="243">
        <f>'Pruebas variedades'!AE23</f>
        <v>0.3160706704621371</v>
      </c>
      <c r="I6" s="243">
        <f>'Pruebas variedades'!AF23</f>
        <v>0.19388252982129142</v>
      </c>
      <c r="J6" s="2"/>
      <c r="K6" s="2"/>
      <c r="L6" s="2"/>
    </row>
    <row r="7" spans="1:13" x14ac:dyDescent="0.3">
      <c r="B7" s="241" t="s">
        <v>130</v>
      </c>
      <c r="C7" s="244">
        <f>'Pruebas variedades'!S24</f>
        <v>4.7734143073010528E-2</v>
      </c>
      <c r="D7" s="244">
        <f>'Pruebas variedades'!T24</f>
        <v>2.5384836885725202</v>
      </c>
      <c r="E7" s="244">
        <f>'Pruebas variedades'!U24</f>
        <v>5.1231144449777268</v>
      </c>
      <c r="F7" s="244">
        <f>'Pruebas variedades'!AB24</f>
        <v>1.7718659520169024</v>
      </c>
      <c r="G7" s="244">
        <f>'Pruebas variedades'!AC24</f>
        <v>6.4202575709229679</v>
      </c>
      <c r="H7" s="244">
        <f>'Pruebas variedades'!AE24</f>
        <v>0.34408270272760899</v>
      </c>
      <c r="I7" s="244">
        <f>'Pruebas variedades'!AF24</f>
        <v>0.49614549811132402</v>
      </c>
      <c r="J7" s="2">
        <f>SUM('Pruebas variedades'!H10:H13)+4</f>
        <v>181</v>
      </c>
      <c r="K7" s="2">
        <v>4</v>
      </c>
      <c r="L7" s="2">
        <f>J7-$M$1</f>
        <v>174</v>
      </c>
    </row>
    <row r="8" spans="1:13" x14ac:dyDescent="0.3">
      <c r="B8" s="241" t="s">
        <v>131</v>
      </c>
      <c r="C8" s="244">
        <f>'Pruebas variedades'!S25</f>
        <v>3.0174715758036277E-2</v>
      </c>
      <c r="D8" s="244">
        <f>'Pruebas variedades'!T25</f>
        <v>1.1666618279564698</v>
      </c>
      <c r="E8" s="244">
        <f>'Pruebas variedades'!U25</f>
        <v>3.840019873114644</v>
      </c>
      <c r="F8" s="244">
        <f>'Pruebas variedades'!AB25</f>
        <v>1.7579086692049222</v>
      </c>
      <c r="G8" s="244">
        <f>'Pruebas variedades'!AC25</f>
        <v>1.838960974355333</v>
      </c>
      <c r="H8" s="244">
        <f>'Pruebas variedades'!AE25</f>
        <v>0.20677196411711046</v>
      </c>
      <c r="I8" s="244">
        <f>'Pruebas variedades'!AF25</f>
        <v>0.31429178315771072</v>
      </c>
      <c r="J8" s="2"/>
      <c r="K8" s="2"/>
      <c r="L8" s="2"/>
    </row>
    <row r="9" spans="1:13" x14ac:dyDescent="0.3">
      <c r="B9" s="167" t="s">
        <v>141</v>
      </c>
      <c r="C9" s="245">
        <f>'Pruebas variedades'!S26</f>
        <v>6.3936872538024325E-2</v>
      </c>
      <c r="D9" s="245">
        <f>'Pruebas variedades'!T26</f>
        <v>2.8736702489515067</v>
      </c>
      <c r="E9" s="245">
        <f>'Pruebas variedades'!U26</f>
        <v>2.1100142542674427</v>
      </c>
      <c r="F9" s="245">
        <f>'Pruebas variedades'!AB26</f>
        <v>5.1995756745121327</v>
      </c>
      <c r="G9" s="245">
        <f>'Pruebas variedades'!AC26</f>
        <v>7.298476669536158</v>
      </c>
      <c r="H9" s="245">
        <f>'Pruebas variedades'!AE26</f>
        <v>0.47023883013880124</v>
      </c>
      <c r="I9" s="245">
        <f>'Pruebas variedades'!AF26</f>
        <v>0.32327892204422176</v>
      </c>
      <c r="J9" s="2">
        <f>SUM('Pruebas variedades'!H14:H17)+4</f>
        <v>222</v>
      </c>
      <c r="K9" s="2">
        <v>4</v>
      </c>
      <c r="L9" s="2">
        <f>J9-$M$1</f>
        <v>215</v>
      </c>
    </row>
    <row r="10" spans="1:13" x14ac:dyDescent="0.3">
      <c r="B10" s="167" t="s">
        <v>143</v>
      </c>
      <c r="C10" s="245">
        <f>'Pruebas variedades'!S27</f>
        <v>3.0317363820099252E-2</v>
      </c>
      <c r="D10" s="245">
        <f>'Pruebas variedades'!T27</f>
        <v>2.7627166177350237</v>
      </c>
      <c r="E10" s="245">
        <f>'Pruebas variedades'!U27</f>
        <v>1.0244911095725024</v>
      </c>
      <c r="F10" s="245">
        <f>'Pruebas variedades'!AB27</f>
        <v>3.4591356342734225</v>
      </c>
      <c r="G10" s="245">
        <f>'Pruebas variedades'!AC27</f>
        <v>2.8831813091689531</v>
      </c>
      <c r="H10" s="245">
        <f>'Pruebas variedades'!AE27</f>
        <v>0.26934286105384592</v>
      </c>
      <c r="I10" s="245">
        <f>'Pruebas variedades'!AF27</f>
        <v>0.19665006528609602</v>
      </c>
      <c r="J10" s="2"/>
      <c r="K10" s="2"/>
      <c r="L10" s="2"/>
    </row>
    <row r="14" spans="1:13" x14ac:dyDescent="0.3">
      <c r="C14" s="104" t="s">
        <v>52</v>
      </c>
      <c r="D14" s="104" t="s">
        <v>53</v>
      </c>
      <c r="E14" s="104" t="s">
        <v>54</v>
      </c>
      <c r="F14" s="104" t="s">
        <v>61</v>
      </c>
      <c r="G14" s="104" t="s">
        <v>65</v>
      </c>
      <c r="H14" s="104" t="s">
        <v>63</v>
      </c>
      <c r="I14" s="104" t="s">
        <v>64</v>
      </c>
    </row>
    <row r="15" spans="1:13" x14ac:dyDescent="0.3">
      <c r="A15" s="287" t="s">
        <v>169</v>
      </c>
      <c r="B15" s="2" t="s">
        <v>163</v>
      </c>
      <c r="C15" s="2">
        <f>(C3-C5)/(SQRT(C4^2+C6^2))</f>
        <v>-0.30424086954303181</v>
      </c>
      <c r="D15" s="2">
        <f t="shared" ref="D15:H15" si="0">(D3-D5)/(SQRT(D4^2+D6^2))</f>
        <v>-0.61664645426135622</v>
      </c>
      <c r="E15" s="2">
        <f t="shared" si="0"/>
        <v>0.86033522536107254</v>
      </c>
      <c r="F15" s="2">
        <f t="shared" si="0"/>
        <v>-0.42783290544609914</v>
      </c>
      <c r="G15" s="2">
        <f t="shared" si="0"/>
        <v>0.13079385652279485</v>
      </c>
      <c r="H15" s="2">
        <f t="shared" si="0"/>
        <v>-0.22843272575364412</v>
      </c>
      <c r="I15" s="2">
        <f>(I3-I5)/(SQRT(I4^2+I6^2))</f>
        <v>0.52219219255121152</v>
      </c>
    </row>
    <row r="16" spans="1:13" x14ac:dyDescent="0.3">
      <c r="A16" s="287"/>
      <c r="B16" s="2" t="s">
        <v>164</v>
      </c>
      <c r="C16" s="2">
        <f>(C3-C7)/(SQRT(C4^2+C8^2))</f>
        <v>0.69456140514765274</v>
      </c>
      <c r="D16" s="2">
        <f t="shared" ref="D16:I16" si="1">(D3-D7)/(SQRT(D4^2+D8^2))</f>
        <v>-0.69914383877794362</v>
      </c>
      <c r="E16" s="2">
        <f t="shared" si="1"/>
        <v>0.12624803190722034</v>
      </c>
      <c r="F16" s="2">
        <f t="shared" si="1"/>
        <v>0.61925636659598504</v>
      </c>
      <c r="G16" s="2">
        <f t="shared" si="1"/>
        <v>2.7188837340463984E-2</v>
      </c>
      <c r="H16" s="2">
        <f t="shared" si="1"/>
        <v>2.7375276111239043E-2</v>
      </c>
      <c r="I16" s="2">
        <f t="shared" si="1"/>
        <v>0.34948205833030288</v>
      </c>
    </row>
    <row r="17" spans="1:9" x14ac:dyDescent="0.3">
      <c r="A17" s="287"/>
      <c r="B17" s="2" t="s">
        <v>165</v>
      </c>
      <c r="C17" s="2">
        <f>(C3-C9)/(SQRT(C4^2+C10^2))</f>
        <v>0.44156913097067862</v>
      </c>
      <c r="D17" s="2">
        <f t="shared" ref="D17:I17" si="2">(D3-D9)/(SQRT(D4^2+D10^2))</f>
        <v>-0.48645283960574437</v>
      </c>
      <c r="E17" s="2">
        <f t="shared" si="2"/>
        <v>0.95210634372422565</v>
      </c>
      <c r="F17" s="2">
        <f t="shared" si="2"/>
        <v>-0.41311153470108591</v>
      </c>
      <c r="G17" s="2">
        <f t="shared" si="2"/>
        <v>-0.23871414622214812</v>
      </c>
      <c r="H17" s="2">
        <f t="shared" si="2"/>
        <v>-0.22471564616894601</v>
      </c>
      <c r="I17" s="2">
        <f t="shared" si="2"/>
        <v>0.89041669774595866</v>
      </c>
    </row>
    <row r="18" spans="1:9" x14ac:dyDescent="0.3">
      <c r="A18" s="287"/>
      <c r="B18" s="2" t="s">
        <v>166</v>
      </c>
      <c r="C18" s="2">
        <f>(C7-C5)/(SQRT(C8^2+C6^2))</f>
        <v>-1.2066169536862981</v>
      </c>
      <c r="D18" s="2">
        <f t="shared" ref="D18:I18" si="3">(D7-D5)/(SQRT(D8^2+D6^2))</f>
        <v>9.7471245218122421E-2</v>
      </c>
      <c r="E18" s="2">
        <f t="shared" si="3"/>
        <v>0.67011261445725534</v>
      </c>
      <c r="F18" s="2">
        <f t="shared" si="3"/>
        <v>-1.3285215593913737</v>
      </c>
      <c r="G18" s="2">
        <f t="shared" si="3"/>
        <v>0.10783560962189444</v>
      </c>
      <c r="H18" s="2">
        <f t="shared" si="3"/>
        <v>-0.35497249527613528</v>
      </c>
      <c r="I18" s="2">
        <f t="shared" si="3"/>
        <v>9.9533472995435801E-2</v>
      </c>
    </row>
    <row r="19" spans="1:9" x14ac:dyDescent="0.3">
      <c r="A19" s="287"/>
      <c r="B19" s="2" t="s">
        <v>167</v>
      </c>
      <c r="C19" s="2">
        <f>(C9-C5)/(SQRT(C10^2+C6^2))</f>
        <v>-0.91287639837884627</v>
      </c>
      <c r="D19" s="2">
        <f t="shared" ref="D19:I19" si="4">(D9-D5)/(SQRT(D10^2+D6^2))</f>
        <v>0.16529293203855033</v>
      </c>
      <c r="E19" s="2">
        <f t="shared" si="4"/>
        <v>-0.21784920928410009</v>
      </c>
      <c r="F19" s="2">
        <f t="shared" si="4"/>
        <v>0.17338749973723486</v>
      </c>
      <c r="G19" s="2">
        <f t="shared" si="4"/>
        <v>0.31314350417034309</v>
      </c>
      <c r="H19" s="2">
        <f t="shared" si="4"/>
        <v>-1.9062592124909222E-2</v>
      </c>
      <c r="I19" s="2">
        <f t="shared" si="4"/>
        <v>-0.49287715653563524</v>
      </c>
    </row>
    <row r="20" spans="1:9" x14ac:dyDescent="0.3">
      <c r="A20" s="287"/>
      <c r="B20" s="2" t="s">
        <v>168</v>
      </c>
      <c r="C20" s="2">
        <f>(C9-C7)/(SQRT(C10^2+C8^2))</f>
        <v>0.3787943183125167</v>
      </c>
      <c r="D20" s="2">
        <f t="shared" ref="D20:I20" si="5">(D9-D7)/(SQRT(D10^2+D8^2))</f>
        <v>0.11176796088997636</v>
      </c>
      <c r="E20" s="2">
        <f t="shared" si="5"/>
        <v>-0.7581395567682343</v>
      </c>
      <c r="F20" s="2">
        <f t="shared" si="5"/>
        <v>0.88338744042363659</v>
      </c>
      <c r="G20" s="2">
        <f t="shared" si="5"/>
        <v>0.25680993853067741</v>
      </c>
      <c r="H20" s="2">
        <f t="shared" si="5"/>
        <v>0.37152947804412989</v>
      </c>
      <c r="I20" s="2">
        <f t="shared" si="5"/>
        <v>-0.46627029941558018</v>
      </c>
    </row>
    <row r="21" spans="1:9" x14ac:dyDescent="0.3">
      <c r="A21" s="288" t="s">
        <v>171</v>
      </c>
      <c r="B21" s="2" t="s">
        <v>163</v>
      </c>
      <c r="C21" s="2">
        <f>(C4^2+C6^2)^2/(C4^4/$L$3+C6^4/$L$5)</f>
        <v>342.70284570401367</v>
      </c>
      <c r="D21" s="2">
        <f t="shared" ref="D21:H21" si="6">(D4^2+D6^2)^2/(D4^4/$L$3+D6^4/$L$5)</f>
        <v>328.99864791696416</v>
      </c>
      <c r="E21" s="2">
        <f t="shared" si="6"/>
        <v>235.22418585621651</v>
      </c>
      <c r="F21" s="2">
        <f t="shared" si="6"/>
        <v>295.22749911753164</v>
      </c>
      <c r="G21" s="2">
        <f t="shared" si="6"/>
        <v>262.8524303888147</v>
      </c>
      <c r="H21" s="2">
        <f t="shared" si="6"/>
        <v>337.73803551202604</v>
      </c>
      <c r="I21" s="2">
        <f>(I4^2+I6^2)^2/(I4^4/$L$3+I6^4/$L$5)</f>
        <v>318.61165417075699</v>
      </c>
    </row>
    <row r="22" spans="1:9" x14ac:dyDescent="0.3">
      <c r="A22" s="288"/>
      <c r="B22" s="2" t="s">
        <v>164</v>
      </c>
      <c r="C22" s="2">
        <f>(C4^2+C8^2)^2/(C4^4/$L$3+C8^4/$L$7)</f>
        <v>301.75154529452226</v>
      </c>
      <c r="D22" s="2">
        <f t="shared" ref="D22:I22" si="7">(D4^2+D8^2)^2/(D4^4/$L$3+D8^4/$L$7)</f>
        <v>364.83237640970998</v>
      </c>
      <c r="E22" s="2">
        <f t="shared" si="7"/>
        <v>370.52412436129072</v>
      </c>
      <c r="F22" s="2">
        <f t="shared" si="7"/>
        <v>366.24666288108506</v>
      </c>
      <c r="G22" s="2">
        <f t="shared" si="7"/>
        <v>370.05848343567254</v>
      </c>
      <c r="H22" s="2">
        <f t="shared" si="7"/>
        <v>287.13316705690886</v>
      </c>
      <c r="I22" s="2">
        <f t="shared" si="7"/>
        <v>371.51467425121683</v>
      </c>
    </row>
    <row r="23" spans="1:9" x14ac:dyDescent="0.3">
      <c r="A23" s="288"/>
      <c r="B23" s="2" t="s">
        <v>165</v>
      </c>
      <c r="C23" s="2">
        <f>(C4^2+C10^2)^2/(C4^4/$L$3+C10^4/$L$9)</f>
        <v>307.59181632931364</v>
      </c>
      <c r="D23" s="2">
        <f t="shared" ref="D23:I23" si="8">(D4^2+D10^2)^2/(D4^4/$L$3+D10^4/$L$9)</f>
        <v>277.34336225285068</v>
      </c>
      <c r="E23" s="2">
        <f t="shared" si="8"/>
        <v>229.97903808919679</v>
      </c>
      <c r="F23" s="2">
        <f t="shared" si="8"/>
        <v>359.41799945582557</v>
      </c>
      <c r="G23" s="2">
        <f t="shared" si="8"/>
        <v>354.55812635167752</v>
      </c>
      <c r="H23" s="2">
        <f t="shared" si="8"/>
        <v>341.29996186811411</v>
      </c>
      <c r="I23" s="2">
        <f t="shared" si="8"/>
        <v>341.4968397934739</v>
      </c>
    </row>
    <row r="24" spans="1:9" x14ac:dyDescent="0.3">
      <c r="A24" s="288"/>
      <c r="B24" s="2" t="s">
        <v>166</v>
      </c>
      <c r="C24" s="2">
        <f>(C8^2+C6^2)^2/(C8^4/$L$7+C6^4/$L$5)</f>
        <v>252.19203918189302</v>
      </c>
      <c r="D24" s="2">
        <f>(D8^2+D6^2)^2/(D8^4/$L$7+D6^4/$L$5)</f>
        <v>316.31683982645825</v>
      </c>
      <c r="E24" s="2">
        <f>(E8^2+E6^2)^2/(E8^4/$L$7+E6^4/$L$5)</f>
        <v>203.36019496223906</v>
      </c>
      <c r="F24" s="2">
        <f t="shared" ref="F24:I24" si="9">(F8^2+F6^2)^2/(F8^4/$L$7+F6^4/$L$5)</f>
        <v>290.87665893032789</v>
      </c>
      <c r="G24" s="2">
        <f t="shared" si="9"/>
        <v>263.76336313023643</v>
      </c>
      <c r="H24" s="2">
        <f t="shared" si="9"/>
        <v>253.44168694500007</v>
      </c>
      <c r="I24" s="2">
        <f t="shared" si="9"/>
        <v>281.9471045416517</v>
      </c>
    </row>
    <row r="25" spans="1:9" x14ac:dyDescent="0.3">
      <c r="A25" s="288"/>
      <c r="B25" s="2" t="s">
        <v>167</v>
      </c>
      <c r="C25" s="2">
        <f>(C10^2+C6^2)^2/(C10^4/$L$9+C6^4/$L$5)</f>
        <v>259.41155807812788</v>
      </c>
      <c r="D25" s="2">
        <f t="shared" ref="D25:I25" si="10">(D10^2+D6^2)^2/(D10^4/$L$9+D6^4/$L$5)</f>
        <v>278.87828399035828</v>
      </c>
      <c r="E25" s="2">
        <f t="shared" si="10"/>
        <v>328.23324609465595</v>
      </c>
      <c r="F25" s="2">
        <f t="shared" si="10"/>
        <v>260.83241505057828</v>
      </c>
      <c r="G25" s="2">
        <f t="shared" si="10"/>
        <v>353.02453970675589</v>
      </c>
      <c r="H25" s="2">
        <f t="shared" si="10"/>
        <v>315.45372254121713</v>
      </c>
      <c r="I25" s="2">
        <f t="shared" si="10"/>
        <v>345.41928372612529</v>
      </c>
    </row>
    <row r="26" spans="1:9" x14ac:dyDescent="0.3">
      <c r="A26" s="288"/>
      <c r="B26" s="2" t="s">
        <v>168</v>
      </c>
      <c r="C26" s="2">
        <f>(C10^2+C8^2)^2/(C10^4/$L$9+C8^4/$L$7)</f>
        <v>385.05290533508668</v>
      </c>
      <c r="D26" s="2">
        <f t="shared" ref="D26:I26" si="11">(D10^2+D8^2)^2/(D10^4/$L$9+D8^4/$L$7)</f>
        <v>287.23135618332515</v>
      </c>
      <c r="E26" s="2">
        <f t="shared" si="11"/>
        <v>198.8364275225361</v>
      </c>
      <c r="F26" s="2">
        <f t="shared" si="11"/>
        <v>314.47470843423264</v>
      </c>
      <c r="G26" s="2">
        <f t="shared" si="11"/>
        <v>353.27130189963742</v>
      </c>
      <c r="H26" s="2">
        <f t="shared" si="11"/>
        <v>380.00700304426476</v>
      </c>
      <c r="I26" s="2">
        <f t="shared" si="11"/>
        <v>299.72931651812962</v>
      </c>
    </row>
    <row r="27" spans="1:9" x14ac:dyDescent="0.3">
      <c r="A27" s="287" t="s">
        <v>174</v>
      </c>
      <c r="B27" s="2" t="s">
        <v>163</v>
      </c>
      <c r="C27" s="2">
        <f>_xlfn.T.DIST.2T(ABS(C15),C21)</f>
        <v>0.76112942236197612</v>
      </c>
      <c r="D27" s="2">
        <f>_xlfn.T.DIST.2T(ABS(D15),D21)</f>
        <v>0.53789570643253115</v>
      </c>
      <c r="E27" s="2">
        <f t="shared" ref="E27:I27" si="12">_xlfn.T.DIST.2T(ABS(E15),E21)</f>
        <v>0.39048114586664306</v>
      </c>
      <c r="F27" s="2">
        <f t="shared" si="12"/>
        <v>0.6690849331633828</v>
      </c>
      <c r="G27" s="2">
        <f t="shared" si="12"/>
        <v>0.8960387538229293</v>
      </c>
      <c r="H27" s="2">
        <f t="shared" si="12"/>
        <v>0.81944839839191341</v>
      </c>
      <c r="I27" s="2">
        <f t="shared" si="12"/>
        <v>0.60190008070986489</v>
      </c>
    </row>
    <row r="28" spans="1:9" x14ac:dyDescent="0.3">
      <c r="A28" s="287"/>
      <c r="B28" s="2" t="s">
        <v>164</v>
      </c>
      <c r="C28" s="2">
        <f>_xlfn.T.DIST.2T(ABS(C16),C22)</f>
        <v>0.48786596166400498</v>
      </c>
      <c r="D28" s="2">
        <f>_xlfn.T.DIST.2T(ABS(D16),D22)</f>
        <v>0.4849086362309748</v>
      </c>
      <c r="E28" s="2">
        <f t="shared" ref="E28:I28" si="13">_xlfn.T.DIST.2T(ABS(E16),E22)</f>
        <v>0.89960416570089918</v>
      </c>
      <c r="F28" s="2">
        <f t="shared" si="13"/>
        <v>0.53613275282041362</v>
      </c>
      <c r="G28" s="2">
        <f t="shared" si="13"/>
        <v>0.97832377717644059</v>
      </c>
      <c r="H28" s="2">
        <f t="shared" si="13"/>
        <v>0.97817944285967884</v>
      </c>
      <c r="I28" s="2">
        <f t="shared" si="13"/>
        <v>0.72692572480279538</v>
      </c>
    </row>
    <row r="29" spans="1:9" x14ac:dyDescent="0.3">
      <c r="A29" s="287"/>
      <c r="B29" s="2" t="s">
        <v>165</v>
      </c>
      <c r="C29" s="2">
        <f>_xlfn.T.DIST.2T(ABS(C17),C23)</f>
        <v>0.65911187770254109</v>
      </c>
      <c r="D29" s="2">
        <f t="shared" ref="D29:I29" si="14">_xlfn.T.DIST.2T(ABS(D17),D23)</f>
        <v>0.62703077758079317</v>
      </c>
      <c r="E29" s="2">
        <f t="shared" si="14"/>
        <v>0.34204689165409519</v>
      </c>
      <c r="F29" s="2">
        <f t="shared" si="14"/>
        <v>0.67977153169404314</v>
      </c>
      <c r="G29" s="2">
        <f t="shared" si="14"/>
        <v>0.81146537707155153</v>
      </c>
      <c r="H29" s="2">
        <f t="shared" si="14"/>
        <v>0.82233508510016673</v>
      </c>
      <c r="I29" s="2">
        <f t="shared" si="14"/>
        <v>0.37386995627402042</v>
      </c>
    </row>
    <row r="30" spans="1:9" x14ac:dyDescent="0.3">
      <c r="A30" s="287"/>
      <c r="B30" s="2" t="s">
        <v>166</v>
      </c>
      <c r="C30" s="2">
        <f>_xlfn.T.DIST.2T(ABS(C18),C24)</f>
        <v>0.22871118229572251</v>
      </c>
      <c r="D30" s="2">
        <f t="shared" ref="D30:I30" si="15">_xlfn.T.DIST.2T(ABS(D18),D24)</f>
        <v>0.92241396149164356</v>
      </c>
      <c r="E30" s="2">
        <f t="shared" si="15"/>
        <v>0.50354757657519222</v>
      </c>
      <c r="F30" s="2">
        <f t="shared" si="15"/>
        <v>0.18505033520355565</v>
      </c>
      <c r="G30" s="2">
        <f t="shared" si="15"/>
        <v>0.91420831441622197</v>
      </c>
      <c r="H30" s="2">
        <f t="shared" si="15"/>
        <v>0.72290592630516715</v>
      </c>
      <c r="I30" s="2">
        <f t="shared" si="15"/>
        <v>0.92078568269478567</v>
      </c>
    </row>
    <row r="31" spans="1:9" x14ac:dyDescent="0.3">
      <c r="A31" s="287"/>
      <c r="B31" s="2" t="s">
        <v>167</v>
      </c>
      <c r="C31" s="2">
        <f>_xlfn.T.DIST.2T(ABS(C19),C25)</f>
        <v>0.36215650762631857</v>
      </c>
      <c r="D31" s="2">
        <f t="shared" ref="D31:I31" si="16">_xlfn.T.DIST.2T(ABS(D19),D25)</f>
        <v>0.86883355496880854</v>
      </c>
      <c r="E31" s="2">
        <f t="shared" si="16"/>
        <v>0.82768206501703578</v>
      </c>
      <c r="F31" s="2">
        <f t="shared" si="16"/>
        <v>0.86248176061591098</v>
      </c>
      <c r="G31" s="2">
        <f t="shared" si="16"/>
        <v>0.7543565715145174</v>
      </c>
      <c r="H31" s="2">
        <f t="shared" si="16"/>
        <v>0.98480324177358458</v>
      </c>
      <c r="I31" s="2">
        <f t="shared" si="16"/>
        <v>0.62241293440928369</v>
      </c>
    </row>
    <row r="32" spans="1:9" x14ac:dyDescent="0.3">
      <c r="A32" s="287"/>
      <c r="B32" s="2" t="s">
        <v>168</v>
      </c>
      <c r="C32" s="2">
        <f>_xlfn.T.DIST.2T(ABS(C20),C26)</f>
        <v>0.70504941004738975</v>
      </c>
      <c r="D32" s="2">
        <f>_xlfn.T.DIST.2T(ABS(D20),D26)</f>
        <v>0.91108551912889091</v>
      </c>
      <c r="E32" s="2">
        <f t="shared" ref="E32:I32" si="17">_xlfn.T.DIST.2T(ABS(E20),E26)</f>
        <v>0.44926886390448917</v>
      </c>
      <c r="F32" s="2">
        <f t="shared" si="17"/>
        <v>0.37770281009272311</v>
      </c>
      <c r="G32" s="2">
        <f t="shared" si="17"/>
        <v>0.79747511117386782</v>
      </c>
      <c r="H32" s="2">
        <f t="shared" si="17"/>
        <v>0.71045027143551409</v>
      </c>
      <c r="I32" s="2">
        <f t="shared" si="17"/>
        <v>0.64136154677104651</v>
      </c>
    </row>
  </sheetData>
  <mergeCells count="3">
    <mergeCell ref="A15:A20"/>
    <mergeCell ref="A21:A26"/>
    <mergeCell ref="A27:A32"/>
  </mergeCells>
  <conditionalFormatting sqref="C27:I32">
    <cfRule type="cellIs" dxfId="3" priority="1" operator="greaterThan">
      <formula>0.05</formula>
    </cfRule>
    <cfRule type="cellIs" dxfId="2" priority="2" operator="lessThan">
      <formula>0.05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BAF27-CEDB-4C6E-9684-D0A7DA63A489}">
  <dimension ref="A1:M16"/>
  <sheetViews>
    <sheetView workbookViewId="0">
      <selection activeCell="B19" sqref="B19"/>
    </sheetView>
  </sheetViews>
  <sheetFormatPr baseColWidth="10" defaultRowHeight="14.4" x14ac:dyDescent="0.3"/>
  <cols>
    <col min="1" max="1" width="7" bestFit="1" customWidth="1"/>
    <col min="11" max="11" width="18.44140625" customWidth="1"/>
  </cols>
  <sheetData>
    <row r="1" spans="1:13" x14ac:dyDescent="0.3">
      <c r="L1" t="s">
        <v>173</v>
      </c>
      <c r="M1">
        <v>7</v>
      </c>
    </row>
    <row r="2" spans="1:13" x14ac:dyDescent="0.3">
      <c r="C2" s="104" t="s">
        <v>52</v>
      </c>
      <c r="D2" s="104" t="s">
        <v>53</v>
      </c>
      <c r="E2" s="104" t="s">
        <v>54</v>
      </c>
      <c r="F2" s="104" t="s">
        <v>61</v>
      </c>
      <c r="G2" s="104" t="s">
        <v>65</v>
      </c>
      <c r="H2" s="104" t="s">
        <v>63</v>
      </c>
      <c r="I2" s="104" t="s">
        <v>64</v>
      </c>
      <c r="J2" s="104" t="s">
        <v>162</v>
      </c>
      <c r="K2" s="104" t="s">
        <v>170</v>
      </c>
      <c r="L2" s="104" t="s">
        <v>172</v>
      </c>
    </row>
    <row r="3" spans="1:13" x14ac:dyDescent="0.3">
      <c r="A3" s="267" t="s">
        <v>175</v>
      </c>
      <c r="B3" s="220" t="s">
        <v>136</v>
      </c>
      <c r="C3" s="2">
        <f>'Pruebas variedades'!S29</f>
        <v>7.9638085106933793E-2</v>
      </c>
      <c r="D3" s="2">
        <f>'Pruebas variedades'!T29</f>
        <v>2.3066791163828335</v>
      </c>
      <c r="E3" s="2">
        <f>'Pruebas variedades'!U29</f>
        <v>3.8685830600826661</v>
      </c>
      <c r="F3" s="2">
        <f>'Pruebas variedades'!AB29</f>
        <v>3.7619277271261913</v>
      </c>
      <c r="G3" s="2">
        <f>'Pruebas variedades'!AC29</f>
        <v>6.5702844891209882</v>
      </c>
      <c r="H3" s="2">
        <f>'Pruebas variedades'!AE29</f>
        <v>0.41237867387428928</v>
      </c>
      <c r="I3" s="2">
        <f>'Pruebas variedades'!AF29</f>
        <v>0.48234158539931243</v>
      </c>
      <c r="J3" s="2">
        <f>'Pruebas variedades'!H20+'Pruebas variedades'!H22+'Pruebas variedades'!H24+'Pruebas variedades'!H26+4</f>
        <v>748</v>
      </c>
      <c r="K3" s="2">
        <v>16</v>
      </c>
      <c r="L3" s="2">
        <f>J3-$M$1</f>
        <v>741</v>
      </c>
    </row>
    <row r="4" spans="1:13" x14ac:dyDescent="0.3">
      <c r="A4" s="267"/>
      <c r="B4" s="239" t="s">
        <v>137</v>
      </c>
      <c r="C4" s="2">
        <f>'Pruebas variedades'!S30</f>
        <v>4.6308682152289234E-2</v>
      </c>
      <c r="D4" s="2">
        <f>'Pruebas variedades'!T30</f>
        <v>1.6054050424037105</v>
      </c>
      <c r="E4" s="2">
        <f>'Pruebas variedades'!U30</f>
        <v>2.9979569500736098</v>
      </c>
      <c r="F4" s="2">
        <f>'Pruebas variedades'!AB30</f>
        <v>2.4559509590726711</v>
      </c>
      <c r="G4" s="2">
        <f>'Pruebas variedades'!AC30</f>
        <v>2.1422480115510791</v>
      </c>
      <c r="H4" s="2">
        <f>'Pruebas variedades'!AE30</f>
        <v>0.28877483499635925</v>
      </c>
      <c r="I4" s="2">
        <f>'Pruebas variedades'!AF30</f>
        <v>0.26225217075700041</v>
      </c>
      <c r="J4" s="2"/>
      <c r="K4" s="2"/>
      <c r="L4" s="2"/>
    </row>
    <row r="5" spans="1:13" x14ac:dyDescent="0.3">
      <c r="A5" s="268" t="s">
        <v>176</v>
      </c>
      <c r="B5" s="220" t="s">
        <v>136</v>
      </c>
      <c r="C5" s="101">
        <f>'Pruebas variedades'!S68</f>
        <v>0.11774609655950356</v>
      </c>
      <c r="D5" s="2">
        <f>'Pruebas variedades'!T68</f>
        <v>1.8897428854515244</v>
      </c>
      <c r="E5" s="2">
        <f>'Pruebas variedades'!U68</f>
        <v>1.5563860202581297</v>
      </c>
      <c r="F5" s="2">
        <f>'Pruebas variedades'!AB68</f>
        <v>4.8066987982620359</v>
      </c>
      <c r="G5" s="2">
        <f>'Pruebas variedades'!AC68</f>
        <v>3.815500952612576</v>
      </c>
      <c r="H5" s="2">
        <f>'Pruebas variedades'!AE68</f>
        <v>0.44943461746101487</v>
      </c>
      <c r="I5" s="2">
        <f>'Pruebas variedades'!AF68</f>
        <v>0.42156821393348992</v>
      </c>
      <c r="J5" s="2">
        <f>'Pruebas variedades'!H67</f>
        <v>378</v>
      </c>
      <c r="K5" s="2">
        <v>9</v>
      </c>
      <c r="L5" s="2">
        <f>J5-$M$1</f>
        <v>371</v>
      </c>
    </row>
    <row r="6" spans="1:13" x14ac:dyDescent="0.3">
      <c r="A6" s="268"/>
      <c r="B6" s="239" t="s">
        <v>137</v>
      </c>
      <c r="C6" s="101">
        <f>'Pruebas variedades'!S69</f>
        <v>6.2962667391211521E-2</v>
      </c>
      <c r="D6" s="2">
        <f>'Pruebas variedades'!T69</f>
        <v>1.7110030477768026</v>
      </c>
      <c r="E6" s="2">
        <f>'Pruebas variedades'!U69</f>
        <v>0.67525531905871516</v>
      </c>
      <c r="F6" s="2">
        <f>'Pruebas variedades'!AB69</f>
        <v>2.4794674534780832</v>
      </c>
      <c r="G6" s="2">
        <f>'Pruebas variedades'!AC69</f>
        <v>3.3863732501122064</v>
      </c>
      <c r="H6" s="2">
        <f>'Pruebas variedades'!AE69</f>
        <v>0.27472388898322808</v>
      </c>
      <c r="I6" s="101">
        <f>'Pruebas variedades'!AF69</f>
        <v>0.29138955201867056</v>
      </c>
      <c r="J6" s="2"/>
      <c r="K6" s="2"/>
      <c r="L6" s="2"/>
    </row>
    <row r="13" spans="1:13" x14ac:dyDescent="0.3">
      <c r="C13" s="179" t="s">
        <v>52</v>
      </c>
      <c r="D13" s="179" t="s">
        <v>53</v>
      </c>
      <c r="E13" s="179" t="s">
        <v>54</v>
      </c>
      <c r="F13" s="179" t="s">
        <v>61</v>
      </c>
      <c r="G13" s="179" t="s">
        <v>65</v>
      </c>
      <c r="H13" s="179" t="s">
        <v>63</v>
      </c>
      <c r="I13" s="179" t="s">
        <v>64</v>
      </c>
    </row>
    <row r="14" spans="1:13" x14ac:dyDescent="0.3">
      <c r="A14" s="2" t="s">
        <v>169</v>
      </c>
      <c r="B14" s="268" t="s">
        <v>177</v>
      </c>
      <c r="C14" s="2">
        <f>(C3-C5)/(SQRT(C4^2+C6^2))</f>
        <v>-0.48757186260276647</v>
      </c>
      <c r="D14" s="2">
        <f t="shared" ref="D14:I14" si="0">(D3-D5)/(SQRT(D4^2+D6^2))</f>
        <v>0.17770376280246258</v>
      </c>
      <c r="E14" s="2">
        <f t="shared" si="0"/>
        <v>0.75240797569678963</v>
      </c>
      <c r="F14" s="2">
        <f t="shared" si="0"/>
        <v>-0.29936927782845973</v>
      </c>
      <c r="G14" s="2">
        <f t="shared" si="0"/>
        <v>0.68747775734381267</v>
      </c>
      <c r="H14" s="2">
        <f t="shared" si="0"/>
        <v>-9.2970456872114721E-2</v>
      </c>
      <c r="I14" s="2">
        <f t="shared" si="0"/>
        <v>0.15502398634369044</v>
      </c>
    </row>
    <row r="15" spans="1:13" x14ac:dyDescent="0.3">
      <c r="A15" s="2" t="s">
        <v>171</v>
      </c>
      <c r="B15" s="268"/>
      <c r="C15" s="2">
        <f>(C4^2+C6^2)^2/(C4^4/$L$3+C6^4/$L$5)</f>
        <v>768.37544163398638</v>
      </c>
      <c r="D15" s="2">
        <f t="shared" ref="D15:I15" si="1">(D4^2+D6^2)^2/(D4^4/$L$3+D6^4/$L$5)</f>
        <v>945.05432202797158</v>
      </c>
      <c r="E15" s="2">
        <f t="shared" si="1"/>
        <v>813.90856740931235</v>
      </c>
      <c r="F15" s="2">
        <f t="shared" si="1"/>
        <v>982.5682520848552</v>
      </c>
      <c r="G15" s="2">
        <f t="shared" si="1"/>
        <v>673.36665924790327</v>
      </c>
      <c r="H15" s="2">
        <f t="shared" si="1"/>
        <v>1020.1905186850424</v>
      </c>
      <c r="I15" s="2">
        <f t="shared" si="1"/>
        <v>914.90072273990484</v>
      </c>
    </row>
    <row r="16" spans="1:13" x14ac:dyDescent="0.3">
      <c r="A16" s="2" t="s">
        <v>174</v>
      </c>
      <c r="B16" s="268"/>
      <c r="C16" s="2">
        <f>_xlfn.T.DIST.2T(ABS(C14),C15)</f>
        <v>0.62599227681428982</v>
      </c>
      <c r="D16" s="2">
        <f t="shared" ref="D16:I16" si="2">_xlfn.T.DIST.2T(ABS(D14),D15)</f>
        <v>0.85899371299967653</v>
      </c>
      <c r="E16" s="2">
        <f t="shared" si="2"/>
        <v>0.45202353739157852</v>
      </c>
      <c r="F16" s="2">
        <f t="shared" si="2"/>
        <v>0.76472164836253853</v>
      </c>
      <c r="G16" s="2">
        <f t="shared" si="2"/>
        <v>0.49201855845855347</v>
      </c>
      <c r="H16" s="2">
        <f t="shared" si="2"/>
        <v>0.92594528865489645</v>
      </c>
      <c r="I16" s="2">
        <f t="shared" si="2"/>
        <v>0.87683663442018966</v>
      </c>
    </row>
  </sheetData>
  <mergeCells count="3">
    <mergeCell ref="A3:A4"/>
    <mergeCell ref="A5:A6"/>
    <mergeCell ref="B14:B16"/>
  </mergeCells>
  <conditionalFormatting sqref="C16:I16">
    <cfRule type="cellIs" dxfId="1" priority="1" operator="greaterThan">
      <formula>0.05</formula>
    </cfRule>
    <cfRule type="cellIs" dxfId="0" priority="2" operator="lessThan">
      <formula>0.05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Hoja2</vt:lpstr>
      <vt:lpstr>Pruebas PSO</vt:lpstr>
      <vt:lpstr>Pruebas PSO termination</vt:lpstr>
      <vt:lpstr>Pruebas variedades</vt:lpstr>
      <vt:lpstr>Análisis estadístico variedades</vt:lpstr>
      <vt:lpstr>Análisis estadístico volúmenes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Fernanda</dc:creator>
  <cp:lastModifiedBy>MARIA FERNANDA FOLCH</cp:lastModifiedBy>
  <dcterms:created xsi:type="dcterms:W3CDTF">2015-06-05T18:19:34Z</dcterms:created>
  <dcterms:modified xsi:type="dcterms:W3CDTF">2026-04-15T17:11:08Z</dcterms:modified>
</cp:coreProperties>
</file>