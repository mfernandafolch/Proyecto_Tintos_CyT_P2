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hiperparametros\resultados_cv_pso_20260408_171225\"/>
    </mc:Choice>
  </mc:AlternateContent>
  <xr:revisionPtr revIDLastSave="0" documentId="13_ncr:1_{01988514-0FD9-4C69-BECB-A1E585F916F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Hoja2" sheetId="3" r:id="rId2"/>
    <sheet name="Hoja2 (2)" sheetId="4" r:id="rId3"/>
  </sheets>
  <definedNames>
    <definedName name="_xlnm._FilterDatabase" localSheetId="0" hidden="1">Sheet1!$A$1:$O$1</definedName>
    <definedName name="_xlchart.v1.0" hidden="1">Hoja2!$D$12:$D$16</definedName>
    <definedName name="_xlchart.v1.1" hidden="1">Hoja2!$D$17:$D$21</definedName>
    <definedName name="_xlchart.v1.10" hidden="1">Hoja2!$F$2</definedName>
    <definedName name="_xlchart.v1.100" hidden="1">'Hoja2 (2)'!$D$22:$D$26</definedName>
    <definedName name="_xlchart.v1.101" hidden="1">'Hoja2 (2)'!$D$27:$D$31</definedName>
    <definedName name="_xlchart.v1.102" hidden="1">'Hoja2 (2)'!$D$2:$D$6</definedName>
    <definedName name="_xlchart.v1.103" hidden="1">'Hoja2 (2)'!$D$7:$D$11</definedName>
    <definedName name="_xlchart.v1.104" hidden="1">'Hoja2 (2)'!$C$12:$C$16</definedName>
    <definedName name="_xlchart.v1.105" hidden="1">'Hoja2 (2)'!$C$2:$C$6</definedName>
    <definedName name="_xlchart.v1.106" hidden="1">'Hoja2 (2)'!$C$32:$C$36</definedName>
    <definedName name="_xlchart.v1.107" hidden="1">'Hoja2 (2)'!$C$7:$C$11</definedName>
    <definedName name="_xlchart.v1.108" hidden="1">'Hoja2 (2)'!$D$12:$D$16</definedName>
    <definedName name="_xlchart.v1.109" hidden="1">'Hoja2 (2)'!$D$2:$D$6</definedName>
    <definedName name="_xlchart.v1.11" hidden="1">Hoja2!$F$3</definedName>
    <definedName name="_xlchart.v1.110" hidden="1">'Hoja2 (2)'!$D$32:$D$36</definedName>
    <definedName name="_xlchart.v1.111" hidden="1">'Hoja2 (2)'!$D$7:$D$11</definedName>
    <definedName name="_xlchart.v1.112" hidden="1">'Hoja2 (2)'!$C$12:$C$16</definedName>
    <definedName name="_xlchart.v1.113" hidden="1">'Hoja2 (2)'!$C$17:$C$21</definedName>
    <definedName name="_xlchart.v1.114" hidden="1">'Hoja2 (2)'!$C$22:$C$26</definedName>
    <definedName name="_xlchart.v1.115" hidden="1">'Hoja2 (2)'!$C$27:$C$31</definedName>
    <definedName name="_xlchart.v1.116" hidden="1">'Hoja2 (2)'!$C$2:$C$6</definedName>
    <definedName name="_xlchart.v1.117" hidden="1">'Hoja2 (2)'!$C$32:$C$36</definedName>
    <definedName name="_xlchart.v1.118" hidden="1">'Hoja2 (2)'!$C$37:$C$41</definedName>
    <definedName name="_xlchart.v1.119" hidden="1">'Hoja2 (2)'!$C$42:$C$46</definedName>
    <definedName name="_xlchart.v1.12" hidden="1">Hoja2!$F$4</definedName>
    <definedName name="_xlchart.v1.120" hidden="1">'Hoja2 (2)'!$C$7:$C$11</definedName>
    <definedName name="_xlchart.v1.121" hidden="1">'Hoja2 (2)'!$D$12:$D$16</definedName>
    <definedName name="_xlchart.v1.122" hidden="1">'Hoja2 (2)'!$D$17:$D$21</definedName>
    <definedName name="_xlchart.v1.123" hidden="1">'Hoja2 (2)'!$D$22:$D$26</definedName>
    <definedName name="_xlchart.v1.124" hidden="1">'Hoja2 (2)'!$D$27:$D$31</definedName>
    <definedName name="_xlchart.v1.125" hidden="1">'Hoja2 (2)'!$D$2:$D$6</definedName>
    <definedName name="_xlchart.v1.126" hidden="1">'Hoja2 (2)'!$D$32:$D$36</definedName>
    <definedName name="_xlchart.v1.127" hidden="1">'Hoja2 (2)'!$D$37:$D$41</definedName>
    <definedName name="_xlchart.v1.128" hidden="1">'Hoja2 (2)'!$D$42:$D$46</definedName>
    <definedName name="_xlchart.v1.129" hidden="1">'Hoja2 (2)'!$D$7:$D$11</definedName>
    <definedName name="_xlchart.v1.13" hidden="1">Hoja2!$F$5</definedName>
    <definedName name="_xlchart.v1.130" hidden="1">'Hoja2 (2)'!$F$1</definedName>
    <definedName name="_xlchart.v1.131" hidden="1">'Hoja2 (2)'!$F$2:$F$10</definedName>
    <definedName name="_xlchart.v1.132" hidden="1">'Hoja2 (2)'!$G$1</definedName>
    <definedName name="_xlchart.v1.133" hidden="1">'Hoja2 (2)'!$G$2:$G$10</definedName>
    <definedName name="_xlchart.v1.134" hidden="1">'Hoja2 (2)'!$H$1</definedName>
    <definedName name="_xlchart.v1.135" hidden="1">'Hoja2 (2)'!$H$2:$H$10</definedName>
    <definedName name="_xlchart.v1.136" hidden="1">'Hoja2 (2)'!$I$1</definedName>
    <definedName name="_xlchart.v1.137" hidden="1">'Hoja2 (2)'!$I$2:$I$10</definedName>
    <definedName name="_xlchart.v1.138" hidden="1">'Hoja2 (2)'!$J$1</definedName>
    <definedName name="_xlchart.v1.139" hidden="1">'Hoja2 (2)'!$J$2:$J$10</definedName>
    <definedName name="_xlchart.v1.14" hidden="1">Hoja2!$F$6</definedName>
    <definedName name="_xlchart.v1.140" hidden="1">'Hoja2 (2)'!$C$12:$C$16</definedName>
    <definedName name="_xlchart.v1.141" hidden="1">'Hoja2 (2)'!$C$17:$C$21</definedName>
    <definedName name="_xlchart.v1.142" hidden="1">'Hoja2 (2)'!$C$22:$C$26</definedName>
    <definedName name="_xlchart.v1.143" hidden="1">'Hoja2 (2)'!$C$27:$C$31</definedName>
    <definedName name="_xlchart.v1.144" hidden="1">'Hoja2 (2)'!$C$2:$C$6</definedName>
    <definedName name="_xlchart.v1.145" hidden="1">'Hoja2 (2)'!$C$7:$C$11</definedName>
    <definedName name="_xlchart.v1.146" hidden="1">'Hoja2 (2)'!$D$12:$D$16</definedName>
    <definedName name="_xlchart.v1.147" hidden="1">'Hoja2 (2)'!$D$17:$D$21</definedName>
    <definedName name="_xlchart.v1.148" hidden="1">'Hoja2 (2)'!$D$22:$D$26</definedName>
    <definedName name="_xlchart.v1.149" hidden="1">'Hoja2 (2)'!$D$27:$D$31</definedName>
    <definedName name="_xlchart.v1.15" hidden="1">Hoja2!$F$7</definedName>
    <definedName name="_xlchart.v1.150" hidden="1">'Hoja2 (2)'!$D$2:$D$6</definedName>
    <definedName name="_xlchart.v1.151" hidden="1">'Hoja2 (2)'!$D$7:$D$11</definedName>
    <definedName name="_xlchart.v1.152" hidden="1">'Hoja2 (2)'!$F$1</definedName>
    <definedName name="_xlchart.v1.153" hidden="1">'Hoja2 (2)'!$F$2:$F$10</definedName>
    <definedName name="_xlchart.v1.154" hidden="1">'Hoja2 (2)'!$G$1</definedName>
    <definedName name="_xlchart.v1.155" hidden="1">'Hoja2 (2)'!$G$2:$G$10</definedName>
    <definedName name="_xlchart.v1.156" hidden="1">'Hoja2 (2)'!$H$1</definedName>
    <definedName name="_xlchart.v1.157" hidden="1">'Hoja2 (2)'!$H$2:$H$10</definedName>
    <definedName name="_xlchart.v1.158" hidden="1">'Hoja2 (2)'!$I$1</definedName>
    <definedName name="_xlchart.v1.159" hidden="1">'Hoja2 (2)'!$I$2:$I$10</definedName>
    <definedName name="_xlchart.v1.16" hidden="1">Hoja2!$F$8</definedName>
    <definedName name="_xlchart.v1.160" hidden="1">'Hoja2 (2)'!$J$1</definedName>
    <definedName name="_xlchart.v1.161" hidden="1">'Hoja2 (2)'!$J$2:$J$10</definedName>
    <definedName name="_xlchart.v1.162" hidden="1">'Hoja2 (2)'!$C$12:$C$16</definedName>
    <definedName name="_xlchart.v1.163" hidden="1">'Hoja2 (2)'!$C$17:$C$21</definedName>
    <definedName name="_xlchart.v1.164" hidden="1">'Hoja2 (2)'!$C$22:$C$26</definedName>
    <definedName name="_xlchart.v1.165" hidden="1">'Hoja2 (2)'!$C$27:$C$31</definedName>
    <definedName name="_xlchart.v1.166" hidden="1">'Hoja2 (2)'!$C$2:$C$6</definedName>
    <definedName name="_xlchart.v1.167" hidden="1">'Hoja2 (2)'!$C$37:$C$41</definedName>
    <definedName name="_xlchart.v1.168" hidden="1">'Hoja2 (2)'!$C$42:$C$46</definedName>
    <definedName name="_xlchart.v1.169" hidden="1">'Hoja2 (2)'!$C$7:$C$11</definedName>
    <definedName name="_xlchart.v1.17" hidden="1">Hoja2!$F$9</definedName>
    <definedName name="_xlchart.v1.170" hidden="1">'Hoja2 (2)'!$D$12:$D$16</definedName>
    <definedName name="_xlchart.v1.171" hidden="1">'Hoja2 (2)'!$D$17:$D$21</definedName>
    <definedName name="_xlchart.v1.172" hidden="1">'Hoja2 (2)'!$D$22:$D$26</definedName>
    <definedName name="_xlchart.v1.173" hidden="1">'Hoja2 (2)'!$D$27:$D$31</definedName>
    <definedName name="_xlchart.v1.174" hidden="1">'Hoja2 (2)'!$D$2:$D$6</definedName>
    <definedName name="_xlchart.v1.175" hidden="1">'Hoja2 (2)'!$D$32:$D$36</definedName>
    <definedName name="_xlchart.v1.176" hidden="1">'Hoja2 (2)'!$D$37:$D$41</definedName>
    <definedName name="_xlchart.v1.177" hidden="1">'Hoja2 (2)'!$D$42:$D$46</definedName>
    <definedName name="_xlchart.v1.178" hidden="1">'Hoja2 (2)'!$D$7:$D$11</definedName>
    <definedName name="_xlchart.v1.179" hidden="1">'Hoja2 (2)'!$C$12:$C$16</definedName>
    <definedName name="_xlchart.v1.18" hidden="1">Hoja2!$B$12:$B$16</definedName>
    <definedName name="_xlchart.v1.180" hidden="1">'Hoja2 (2)'!$C$17:$C$21</definedName>
    <definedName name="_xlchart.v1.181" hidden="1">'Hoja2 (2)'!$C$22:$C$26</definedName>
    <definedName name="_xlchart.v1.182" hidden="1">'Hoja2 (2)'!$C$27:$C$31</definedName>
    <definedName name="_xlchart.v1.183" hidden="1">'Hoja2 (2)'!$C$2:$C$6</definedName>
    <definedName name="_xlchart.v1.184" hidden="1">'Hoja2 (2)'!$C$32:$C$36</definedName>
    <definedName name="_xlchart.v1.185" hidden="1">'Hoja2 (2)'!$C$37:$C$41</definedName>
    <definedName name="_xlchart.v1.186" hidden="1">'Hoja2 (2)'!$C$42:$C$46</definedName>
    <definedName name="_xlchart.v1.187" hidden="1">'Hoja2 (2)'!$C$7:$C$11</definedName>
    <definedName name="_xlchart.v1.188" hidden="1">'Hoja2 (2)'!$D$12:$D$16</definedName>
    <definedName name="_xlchart.v1.189" hidden="1">'Hoja2 (2)'!$D$17:$D$21</definedName>
    <definedName name="_xlchart.v1.19" hidden="1">Hoja2!$B$17:$B$21</definedName>
    <definedName name="_xlchart.v1.190" hidden="1">'Hoja2 (2)'!$D$22:$D$26</definedName>
    <definedName name="_xlchart.v1.191" hidden="1">'Hoja2 (2)'!$D$27:$D$31</definedName>
    <definedName name="_xlchart.v1.192" hidden="1">'Hoja2 (2)'!$D$2:$D$6</definedName>
    <definedName name="_xlchart.v1.193" hidden="1">'Hoja2 (2)'!$D$32:$D$36</definedName>
    <definedName name="_xlchart.v1.194" hidden="1">'Hoja2 (2)'!$D$37:$D$41</definedName>
    <definedName name="_xlchart.v1.195" hidden="1">'Hoja2 (2)'!$D$42:$D$46</definedName>
    <definedName name="_xlchart.v1.196" hidden="1">'Hoja2 (2)'!$D$7:$D$11</definedName>
    <definedName name="_xlchart.v1.197" hidden="1">'Hoja2 (2)'!$F$1</definedName>
    <definedName name="_xlchart.v1.198" hidden="1">'Hoja2 (2)'!$F$2:$F$10</definedName>
    <definedName name="_xlchart.v1.199" hidden="1">'Hoja2 (2)'!$G$1</definedName>
    <definedName name="_xlchart.v1.2" hidden="1">Hoja2!$D$22:$D$26</definedName>
    <definedName name="_xlchart.v1.20" hidden="1">Hoja2!$B$22:$B$26</definedName>
    <definedName name="_xlchart.v1.200" hidden="1">'Hoja2 (2)'!$G$2:$G$10</definedName>
    <definedName name="_xlchart.v1.201" hidden="1">'Hoja2 (2)'!$H$1</definedName>
    <definedName name="_xlchart.v1.202" hidden="1">'Hoja2 (2)'!$H$2:$H$10</definedName>
    <definedName name="_xlchart.v1.203" hidden="1">'Hoja2 (2)'!$I$1</definedName>
    <definedName name="_xlchart.v1.204" hidden="1">'Hoja2 (2)'!$I$2:$I$10</definedName>
    <definedName name="_xlchart.v1.205" hidden="1">'Hoja2 (2)'!$J$1</definedName>
    <definedName name="_xlchart.v1.206" hidden="1">'Hoja2 (2)'!$J$2:$J$10</definedName>
    <definedName name="_xlchart.v1.207" hidden="1">'Hoja2 (2)'!$C$7:$C$11</definedName>
    <definedName name="_xlchart.v1.208" hidden="1">'Hoja2 (2)'!$D$12:$D$16</definedName>
    <definedName name="_xlchart.v1.209" hidden="1">'Hoja2 (2)'!$D$17:$D$21</definedName>
    <definedName name="_xlchart.v1.21" hidden="1">Hoja2!$B$27:$B$31</definedName>
    <definedName name="_xlchart.v1.210" hidden="1">'Hoja2 (2)'!$D$22:$D$26</definedName>
    <definedName name="_xlchart.v1.211" hidden="1">'Hoja2 (2)'!$D$27:$D$31</definedName>
    <definedName name="_xlchart.v1.212" hidden="1">'Hoja2 (2)'!$D$2:$D$6</definedName>
    <definedName name="_xlchart.v1.213" hidden="1">'Hoja2 (2)'!$D$32:$D$36</definedName>
    <definedName name="_xlchart.v1.214" hidden="1">'Hoja2 (2)'!$D$37:$D$41</definedName>
    <definedName name="_xlchart.v1.215" hidden="1">'Hoja2 (2)'!$D$42:$D$46</definedName>
    <definedName name="_xlchart.v1.216" hidden="1">'Hoja2 (2)'!$D$7:$D$11</definedName>
    <definedName name="_xlchart.v1.217" hidden="1">'Hoja2 (2)'!$F$10</definedName>
    <definedName name="_xlchart.v1.218" hidden="1">'Hoja2 (2)'!$F$2</definedName>
    <definedName name="_xlchart.v1.219" hidden="1">'Hoja2 (2)'!$F$3</definedName>
    <definedName name="_xlchart.v1.22" hidden="1">Hoja2!$B$2:$B$6</definedName>
    <definedName name="_xlchart.v1.220" hidden="1">'Hoja2 (2)'!$F$4</definedName>
    <definedName name="_xlchart.v1.221" hidden="1">'Hoja2 (2)'!$F$5</definedName>
    <definedName name="_xlchart.v1.222" hidden="1">'Hoja2 (2)'!$F$6</definedName>
    <definedName name="_xlchart.v1.223" hidden="1">'Hoja2 (2)'!$F$7</definedName>
    <definedName name="_xlchart.v1.224" hidden="1">'Hoja2 (2)'!$F$8</definedName>
    <definedName name="_xlchart.v1.225" hidden="1">'Hoja2 (2)'!$F$9</definedName>
    <definedName name="_xlchart.v1.226" hidden="1">'Hoja2 (2)'!$B$12:$B$16</definedName>
    <definedName name="_xlchart.v1.227" hidden="1">'Hoja2 (2)'!$B$17:$B$21</definedName>
    <definedName name="_xlchart.v1.228" hidden="1">'Hoja2 (2)'!$B$22:$B$26</definedName>
    <definedName name="_xlchart.v1.229" hidden="1">'Hoja2 (2)'!$B$27:$B$31</definedName>
    <definedName name="_xlchart.v1.23" hidden="1">Hoja2!$B$32:$B$36</definedName>
    <definedName name="_xlchart.v1.230" hidden="1">'Hoja2 (2)'!$B$2:$B$6</definedName>
    <definedName name="_xlchart.v1.231" hidden="1">'Hoja2 (2)'!$B$32:$B$36</definedName>
    <definedName name="_xlchart.v1.232" hidden="1">'Hoja2 (2)'!$B$37:$B$41</definedName>
    <definedName name="_xlchart.v1.233" hidden="1">'Hoja2 (2)'!$B$42:$B$46</definedName>
    <definedName name="_xlchart.v1.234" hidden="1">'Hoja2 (2)'!$B$7:$B$11</definedName>
    <definedName name="_xlchart.v1.235" hidden="1">'Hoja2 (2)'!$F$10</definedName>
    <definedName name="_xlchart.v1.236" hidden="1">'Hoja2 (2)'!$F$2</definedName>
    <definedName name="_xlchart.v1.237" hidden="1">'Hoja2 (2)'!$F$3</definedName>
    <definedName name="_xlchart.v1.238" hidden="1">'Hoja2 (2)'!$F$4</definedName>
    <definedName name="_xlchart.v1.239" hidden="1">'Hoja2 (2)'!$F$5</definedName>
    <definedName name="_xlchart.v1.24" hidden="1">Hoja2!$B$37:$B$41</definedName>
    <definedName name="_xlchart.v1.240" hidden="1">'Hoja2 (2)'!$F$6</definedName>
    <definedName name="_xlchart.v1.241" hidden="1">'Hoja2 (2)'!$F$7</definedName>
    <definedName name="_xlchart.v1.242" hidden="1">'Hoja2 (2)'!$F$8</definedName>
    <definedName name="_xlchart.v1.243" hidden="1">'Hoja2 (2)'!$F$9</definedName>
    <definedName name="_xlchart.v1.25" hidden="1">Hoja2!$B$42:$B$46</definedName>
    <definedName name="_xlchart.v1.26" hidden="1">Hoja2!$B$7:$B$11</definedName>
    <definedName name="_xlchart.v1.27" hidden="1">Hoja2!$F$10</definedName>
    <definedName name="_xlchart.v1.28" hidden="1">Hoja2!$F$2</definedName>
    <definedName name="_xlchart.v1.29" hidden="1">Hoja2!$F$3</definedName>
    <definedName name="_xlchart.v1.3" hidden="1">Hoja2!$D$27:$D$31</definedName>
    <definedName name="_xlchart.v1.30" hidden="1">Hoja2!$F$4</definedName>
    <definedName name="_xlchart.v1.31" hidden="1">Hoja2!$F$5</definedName>
    <definedName name="_xlchart.v1.32" hidden="1">Hoja2!$F$6</definedName>
    <definedName name="_xlchart.v1.33" hidden="1">Hoja2!$F$7</definedName>
    <definedName name="_xlchart.v1.34" hidden="1">Hoja2!$F$8</definedName>
    <definedName name="_xlchart.v1.35" hidden="1">Hoja2!$F$9</definedName>
    <definedName name="_xlchart.v1.36" hidden="1">'Hoja2 (2)'!$C$12:$C$16</definedName>
    <definedName name="_xlchart.v1.37" hidden="1">'Hoja2 (2)'!$C$17:$C$21</definedName>
    <definedName name="_xlchart.v1.38" hidden="1">'Hoja2 (2)'!$C$22:$C$26</definedName>
    <definedName name="_xlchart.v1.39" hidden="1">'Hoja2 (2)'!$C$27:$C$31</definedName>
    <definedName name="_xlchart.v1.4" hidden="1">Hoja2!$D$2:$D$6</definedName>
    <definedName name="_xlchart.v1.40" hidden="1">'Hoja2 (2)'!$C$2:$C$6</definedName>
    <definedName name="_xlchart.v1.41" hidden="1">'Hoja2 (2)'!$C$32:$C$36</definedName>
    <definedName name="_xlchart.v1.42" hidden="1">'Hoja2 (2)'!$C$37:$C$41</definedName>
    <definedName name="_xlchart.v1.43" hidden="1">'Hoja2 (2)'!$C$42:$C$46</definedName>
    <definedName name="_xlchart.v1.44" hidden="1">'Hoja2 (2)'!$C$7:$C$11</definedName>
    <definedName name="_xlchart.v1.45" hidden="1">'Hoja2 (2)'!$D$12:$D$16</definedName>
    <definedName name="_xlchart.v1.46" hidden="1">'Hoja2 (2)'!$D$17:$D$21</definedName>
    <definedName name="_xlchart.v1.47" hidden="1">'Hoja2 (2)'!$D$22:$D$26</definedName>
    <definedName name="_xlchart.v1.48" hidden="1">'Hoja2 (2)'!$D$27:$D$31</definedName>
    <definedName name="_xlchart.v1.49" hidden="1">'Hoja2 (2)'!$D$2:$D$6</definedName>
    <definedName name="_xlchart.v1.5" hidden="1">Hoja2!$D$32:$D$36</definedName>
    <definedName name="_xlchart.v1.50" hidden="1">'Hoja2 (2)'!$D$32:$D$36</definedName>
    <definedName name="_xlchart.v1.51" hidden="1">'Hoja2 (2)'!$D$37:$D$41</definedName>
    <definedName name="_xlchart.v1.52" hidden="1">'Hoja2 (2)'!$D$42:$D$46</definedName>
    <definedName name="_xlchart.v1.53" hidden="1">'Hoja2 (2)'!$D$7:$D$11</definedName>
    <definedName name="_xlchart.v1.54" hidden="1">'Hoja2 (2)'!$F$1</definedName>
    <definedName name="_xlchart.v1.55" hidden="1">'Hoja2 (2)'!$F$2:$F$10</definedName>
    <definedName name="_xlchart.v1.56" hidden="1">'Hoja2 (2)'!$G$1</definedName>
    <definedName name="_xlchart.v1.57" hidden="1">'Hoja2 (2)'!$G$2:$G$10</definedName>
    <definedName name="_xlchart.v1.58" hidden="1">'Hoja2 (2)'!$H$1</definedName>
    <definedName name="_xlchart.v1.59" hidden="1">'Hoja2 (2)'!$H$2:$H$10</definedName>
    <definedName name="_xlchart.v1.6" hidden="1">Hoja2!$D$37:$D$41</definedName>
    <definedName name="_xlchart.v1.60" hidden="1">'Hoja2 (2)'!$I$1</definedName>
    <definedName name="_xlchart.v1.61" hidden="1">'Hoja2 (2)'!$I$2:$I$10</definedName>
    <definedName name="_xlchart.v1.62" hidden="1">'Hoja2 (2)'!$J$1</definedName>
    <definedName name="_xlchart.v1.63" hidden="1">'Hoja2 (2)'!$J$2:$J$10</definedName>
    <definedName name="_xlchart.v1.64" hidden="1">'Hoja2 (2)'!$C$12:$C$16</definedName>
    <definedName name="_xlchart.v1.65" hidden="1">'Hoja2 (2)'!$C$17:$C$21</definedName>
    <definedName name="_xlchart.v1.66" hidden="1">'Hoja2 (2)'!$C$22:$C$26</definedName>
    <definedName name="_xlchart.v1.67" hidden="1">'Hoja2 (2)'!$C$27:$C$31</definedName>
    <definedName name="_xlchart.v1.68" hidden="1">'Hoja2 (2)'!$C$2:$C$6</definedName>
    <definedName name="_xlchart.v1.69" hidden="1">'Hoja2 (2)'!$C$32:$C$36</definedName>
    <definedName name="_xlchart.v1.7" hidden="1">Hoja2!$D$42:$D$46</definedName>
    <definedName name="_xlchart.v1.70" hidden="1">'Hoja2 (2)'!$C$37:$C$41</definedName>
    <definedName name="_xlchart.v1.71" hidden="1">'Hoja2 (2)'!$C$42:$C$46</definedName>
    <definedName name="_xlchart.v1.72" hidden="1">'Hoja2 (2)'!$C$7:$C$11</definedName>
    <definedName name="_xlchart.v1.73" hidden="1">'Hoja2 (2)'!$D$12:$D$16</definedName>
    <definedName name="_xlchart.v1.74" hidden="1">'Hoja2 (2)'!$D$17:$D$21</definedName>
    <definedName name="_xlchart.v1.75" hidden="1">'Hoja2 (2)'!$D$22:$D$26</definedName>
    <definedName name="_xlchart.v1.76" hidden="1">'Hoja2 (2)'!$D$27:$D$31</definedName>
    <definedName name="_xlchart.v1.77" hidden="1">'Hoja2 (2)'!$D$2:$D$6</definedName>
    <definedName name="_xlchart.v1.78" hidden="1">'Hoja2 (2)'!$D$32:$D$36</definedName>
    <definedName name="_xlchart.v1.79" hidden="1">'Hoja2 (2)'!$D$37:$D$41</definedName>
    <definedName name="_xlchart.v1.8" hidden="1">Hoja2!$D$7:$D$11</definedName>
    <definedName name="_xlchart.v1.80" hidden="1">'Hoja2 (2)'!$D$42:$D$46</definedName>
    <definedName name="_xlchart.v1.81" hidden="1">'Hoja2 (2)'!$D$7:$D$11</definedName>
    <definedName name="_xlchart.v1.82" hidden="1">'Hoja2 (2)'!$F$1</definedName>
    <definedName name="_xlchart.v1.83" hidden="1">'Hoja2 (2)'!$F$2:$F$10</definedName>
    <definedName name="_xlchart.v1.84" hidden="1">'Hoja2 (2)'!$G$1</definedName>
    <definedName name="_xlchart.v1.85" hidden="1">'Hoja2 (2)'!$G$2:$G$10</definedName>
    <definedName name="_xlchart.v1.86" hidden="1">'Hoja2 (2)'!$H$1</definedName>
    <definedName name="_xlchart.v1.87" hidden="1">'Hoja2 (2)'!$H$2:$H$10</definedName>
    <definedName name="_xlchart.v1.88" hidden="1">'Hoja2 (2)'!$I$1</definedName>
    <definedName name="_xlchart.v1.89" hidden="1">'Hoja2 (2)'!$I$2:$I$10</definedName>
    <definedName name="_xlchart.v1.9" hidden="1">Hoja2!$F$10</definedName>
    <definedName name="_xlchart.v1.90" hidden="1">'Hoja2 (2)'!$J$1</definedName>
    <definedName name="_xlchart.v1.91" hidden="1">'Hoja2 (2)'!$J$2:$J$10</definedName>
    <definedName name="_xlchart.v1.92" hidden="1">'Hoja2 (2)'!$C$12:$C$16</definedName>
    <definedName name="_xlchart.v1.93" hidden="1">'Hoja2 (2)'!$C$17:$C$21</definedName>
    <definedName name="_xlchart.v1.94" hidden="1">'Hoja2 (2)'!$C$22:$C$26</definedName>
    <definedName name="_xlchart.v1.95" hidden="1">'Hoja2 (2)'!$C$27:$C$31</definedName>
    <definedName name="_xlchart.v1.96" hidden="1">'Hoja2 (2)'!$C$2:$C$6</definedName>
    <definedName name="_xlchart.v1.97" hidden="1">'Hoja2 (2)'!$C$7:$C$11</definedName>
    <definedName name="_xlchart.v1.98" hidden="1">'Hoja2 (2)'!$D$12:$D$16</definedName>
    <definedName name="_xlchart.v1.99" hidden="1">'Hoja2 (2)'!$D$17:$D$21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4" l="1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J10" i="4"/>
  <c r="I10" i="4"/>
  <c r="H10" i="4"/>
  <c r="G10" i="4"/>
  <c r="C10" i="4"/>
  <c r="J9" i="4"/>
  <c r="I9" i="4"/>
  <c r="H9" i="4"/>
  <c r="G9" i="4"/>
  <c r="C9" i="4"/>
  <c r="J8" i="4"/>
  <c r="I8" i="4"/>
  <c r="H8" i="4"/>
  <c r="G8" i="4"/>
  <c r="C8" i="4"/>
  <c r="J7" i="4"/>
  <c r="I7" i="4"/>
  <c r="H7" i="4"/>
  <c r="G7" i="4"/>
  <c r="C7" i="4"/>
  <c r="J6" i="4"/>
  <c r="I6" i="4"/>
  <c r="H6" i="4"/>
  <c r="G6" i="4"/>
  <c r="C6" i="4"/>
  <c r="J5" i="4"/>
  <c r="I5" i="4"/>
  <c r="H5" i="4"/>
  <c r="G5" i="4"/>
  <c r="C5" i="4"/>
  <c r="J4" i="4"/>
  <c r="I4" i="4"/>
  <c r="H4" i="4"/>
  <c r="G4" i="4"/>
  <c r="C4" i="4"/>
  <c r="J3" i="4"/>
  <c r="I3" i="4"/>
  <c r="H3" i="4"/>
  <c r="G3" i="4"/>
  <c r="C3" i="4"/>
  <c r="J2" i="4"/>
  <c r="I2" i="4"/>
  <c r="H2" i="4"/>
  <c r="G2" i="4"/>
  <c r="C2" i="4"/>
  <c r="M52" i="1"/>
  <c r="M51" i="1"/>
  <c r="M50" i="1"/>
  <c r="M53" i="1"/>
  <c r="M54" i="1"/>
  <c r="M55" i="1"/>
  <c r="M56" i="1"/>
  <c r="M57" i="1"/>
  <c r="M5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2" i="1"/>
  <c r="C6" i="3"/>
  <c r="C3" i="3"/>
  <c r="C4" i="3"/>
  <c r="C5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2" i="3"/>
  <c r="J10" i="3"/>
  <c r="J9" i="3"/>
  <c r="J8" i="3"/>
  <c r="J7" i="3"/>
  <c r="H7" i="3"/>
  <c r="J6" i="3"/>
  <c r="J5" i="3"/>
  <c r="J4" i="3"/>
  <c r="J3" i="3"/>
  <c r="J2" i="3"/>
  <c r="H10" i="3"/>
  <c r="H9" i="3"/>
  <c r="H8" i="3"/>
  <c r="H6" i="3"/>
  <c r="H5" i="3"/>
  <c r="H4" i="3"/>
  <c r="H3" i="3"/>
  <c r="H2" i="3"/>
  <c r="G10" i="3"/>
  <c r="G9" i="3"/>
  <c r="G8" i="3"/>
  <c r="G7" i="3"/>
  <c r="G6" i="3"/>
  <c r="I5" i="3"/>
  <c r="G5" i="3"/>
  <c r="I4" i="3"/>
  <c r="I3" i="3"/>
  <c r="I2" i="3"/>
  <c r="I6" i="3"/>
  <c r="I7" i="3"/>
  <c r="I8" i="3"/>
  <c r="I9" i="3"/>
  <c r="I10" i="3"/>
  <c r="G2" i="3"/>
  <c r="G4" i="3"/>
  <c r="G3" i="3"/>
  <c r="N3" i="1"/>
  <c r="N4" i="1"/>
  <c r="N5" i="1"/>
  <c r="N6" i="1"/>
  <c r="N7" i="1"/>
  <c r="N51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" i="1"/>
  <c r="N55" i="1" l="1"/>
  <c r="L51" i="1" s="1"/>
  <c r="N57" i="1"/>
  <c r="N50" i="1"/>
  <c r="N54" i="1"/>
  <c r="K51" i="1" s="1"/>
  <c r="N53" i="1"/>
  <c r="J51" i="1" s="1"/>
  <c r="N56" i="1"/>
  <c r="N58" i="1"/>
  <c r="N52" i="1"/>
  <c r="H51" i="1" s="1"/>
  <c r="G51" i="1" l="1"/>
  <c r="F51" i="1"/>
</calcChain>
</file>

<file path=xl/sharedStrings.xml><?xml version="1.0" encoding="utf-8"?>
<sst xmlns="http://schemas.openxmlformats.org/spreadsheetml/2006/main" count="168" uniqueCount="75">
  <si>
    <t>combo_id</t>
  </si>
  <si>
    <t>fold_id</t>
  </si>
  <si>
    <t>c1</t>
  </si>
  <si>
    <t>c2</t>
  </si>
  <si>
    <t>w</t>
  </si>
  <si>
    <t>pop_size</t>
  </si>
  <si>
    <t>train_indices</t>
  </si>
  <si>
    <t>val_index</t>
  </si>
  <si>
    <t>train_names</t>
  </si>
  <si>
    <t>train_cost_total</t>
  </si>
  <si>
    <t>val_cost</t>
  </si>
  <si>
    <t>elapsed_seconds</t>
  </si>
  <si>
    <t>best_theta_free</t>
  </si>
  <si>
    <t>[1, 2, 3, 4]</t>
  </si>
  <si>
    <t>["Data SY 24 LOU+VAL+FN estanque 36", "Data ME 24 QAGUA estanque 54", "Data CA 25 F.N. estanque 68", "Data CS 25 LOU estanque 61"]</t>
  </si>
  <si>
    <t>[0.05665757199294358, 3.9582942248067345, 8.418486942606204, 0.7990569966959513, 6.812728256349691, 0.36376837073733376, 0.5142789879424162]</t>
  </si>
  <si>
    <t>[0, 2, 3, 4]</t>
  </si>
  <si>
    <t>["Data CS 24 LOU estanque 54", "Data ME 24 QAGUA estanque 54", "Data CA 25 F.N. estanque 68", "Data CS 25 LOU estanque 61"]</t>
  </si>
  <si>
    <t>[0.5870113107590044, 3.57976405031716, 7.440439283351584, 0.791103671135938, 8.445084003404185, 0.33615148500257813, 0.6001408073176521]</t>
  </si>
  <si>
    <t>[0, 1, 3, 4]</t>
  </si>
  <si>
    <t>["Data CS 24 LOU estanque 54", "Data SY 24 LOU+VAL+FN estanque 36", "Data CA 25 F.N. estanque 68", "Data CS 25 LOU estanque 61"]</t>
  </si>
  <si>
    <t>[0.11772264332810184, 2.4149478469698713, 1.4032126608391797, 3.192442081100003, 3.6462705375568354, 0.6492435886379532, 0.21330113454530467]</t>
  </si>
  <si>
    <t>[0, 1, 2, 4]</t>
  </si>
  <si>
    <t>["Data CS 24 LOU estanque 54", "Data SY 24 LOU+VAL+FN estanque 36", "Data ME 24 QAGUA estanque 54", "Data CS 25 LOU estanque 61"]</t>
  </si>
  <si>
    <t>[0.06935926993907962, 3.7330726553280433, 6.615994702679708, 0.9144091011239442, 9.298304991427202, 0.288891727792399, 0.7303538405222991]</t>
  </si>
  <si>
    <t>[0, 1, 2, 3]</t>
  </si>
  <si>
    <t>["Data CS 24 LOU estanque 54", "Data SY 24 LOU+VAL+FN estanque 36", "Data ME 24 QAGUA estanque 54", "Data CA 25 F.N. estanque 68"]</t>
  </si>
  <si>
    <t>[0.17176506892797863, 2.950158421226937, 4.070288411798075, 1.5646787611362598, 8.943313138233941, 0.5126615613081309, 0.37582161330395997]</t>
  </si>
  <si>
    <t>[0.07963816195836508, 0.7931609468748165, 4.522890614703742, 2.5585706672270847, 5.689469253719272, 0.12536820259503587, 0.7712640427588474]</t>
  </si>
  <si>
    <t>[0.24866890353092153, 1.5759923884623106, 7.46045819736642, 0.8974789084728222, 8.773918624160737, 0.11363652579762086, 7.134191711857686]</t>
  </si>
  <si>
    <t>[0.0446996481003612, 2.2274021269176343, 2.405017295734287, 4.525392933480973, 5.218459299357521, 0.18839042169121245, 0.8006460811583103]</t>
  </si>
  <si>
    <t>[0.3793061885732417, 1.1807799530846357, 3.6405937749969253, 2.0448417701818156, 4.609431947064098, 0.2145015199508894, 0.8755918017695444]</t>
  </si>
  <si>
    <t>[0.07926845535699166, 1.826776299548264, 6.359633222493883, 1.5960376942001038, 9.95008396749479, 0.21992696375892196, 0.7500595623524796]</t>
  </si>
  <si>
    <t>[0.054237995201185184, 4.198196610722869, 6.527572155955156, 0.9894969337134002, 2.778774236302413, 0.3718029374492151, 0.48851466252033887]</t>
  </si>
  <si>
    <t>[0.1297560384862564, 1.0047645999539079, 1.3048990488404948, 6.25837741429792, 0.1935216220650687, 0.355798823184977, 0.5785448500209684]</t>
  </si>
  <si>
    <t>[0.07237624961787892, 3.104032231474565, 3.710984008358015, 1.7146200523343984, 3.8579131500425046, 0.4345724126757565, 0.4223463253153746]</t>
  </si>
  <si>
    <t>[0.9999608601071025, 1.269943685029703, 1.8194802011635571, 3.7726867000354134, 2.4405776710234695, 0.9330645859154435, 0.23779948911024038]</t>
  </si>
  <si>
    <t>[0.044423553555520134, 7.48230810909824, 1.2046747457069589, 8.782213875786706, 0.10000610066819017, 0.46692258218556065, 0.48084777361460274]</t>
  </si>
  <si>
    <t>[0.06332303382415756, 2.205292467591322, 5.246292525676727, 1.6900226945297152, 9.930654143666304, 0.25039856196300286, 0.6357795443496941]</t>
  </si>
  <si>
    <t>[0.07694994685077794, 1.0178835154494215, 9.533597289302657, 1.590697141604449, 8.566901462656787, 0.16587251955722465, 0.680862964760792]</t>
  </si>
  <si>
    <t>[0.05493634075975642, 2.8306818213353457, 7.355658867235305, 1.0464482284793382, 6.946646097444389, 0.2658681585703385, 0.6332762410457871]</t>
  </si>
  <si>
    <t>[0.06249967875692662, 4.473885948962305, 3.3951396852934788, 1.4945949369861797, 9.237067088550212, 0.4003732434458472, 0.5446480936634861]</t>
  </si>
  <si>
    <t>[0.09559360031200397, 0.5167913040449097, 4.873717537730768, 2.793044007923111, 7.721099540430576, 0.1005391143633564, 0.8663459277598504]</t>
  </si>
  <si>
    <t>[0.07854336552591289, 3.0727619921284317, 3.834472325681301, 1.7461217673209009, 5.824113159915618, 0.46532286746417867, 0.37393749550771815]</t>
  </si>
  <si>
    <t>[0.06269607951279238, 2.9104567690495142, 4.552765076830157, 1.6312023896890047, 9.994372201913059, 0.28664897060286487, 0.6554638376168843]</t>
  </si>
  <si>
    <t>[0.0814995208714864, 2.019430182057838, 6.228741266892429, 1.6807462164685634, 6.360236082917102, 0.3746358178411428, 0.48520812470065106]</t>
  </si>
  <si>
    <t>[0.12896891661407636, 1.018176864741461, 3.8003654145550305, 3.6170725211446237, 8.884354236077385, 0.48913661355811194, 0.4217332376255598]</t>
  </si>
  <si>
    <t>[0.09865472988309662, 1.0654971103750654, 3.8384278652291544, 3.010445643152782, 9.99954192130967, 0.21863691636654195, 0.7238377685354879]</t>
  </si>
  <si>
    <t>[0.0987826276784359, 1.4421894575586383, 1.2268996517731796, 6.105453407429939, 3.864699677868157, 0.35809413865670364, 0.5423207671089451]</t>
  </si>
  <si>
    <t>[0.03831294739834446, 6.2728590311136125, 8.362476635863299, 0.8166050759501604, 0.7631657576096245, 0.7186680486175319, 0.2475113407058414]</t>
  </si>
  <si>
    <t>[0.07892656123307425, 2.5843032277776565, 2.291175898267556, 2.7751086518945134, 6.915194874086962, 0.4044449923444538, 0.4953334231305854]</t>
  </si>
  <si>
    <t>[0.9994486388284308, 1.0053919198363002, 2.572882770903586, 3.4787703336667497, 7.830697027554619, 0.5717385724354977, 0.385797975922829]</t>
  </si>
  <si>
    <t>[0.05388815999572315, 6.997892736762004, 2.441260434287135, 0.9666659420699695, 0.11373348405946104, 0.8924886727129077, 0.10000452796463812]</t>
  </si>
  <si>
    <t>[0.08450309174702861, 0.8095464055557041, 6.035357164968532, 2.265666211681512, 9.99755642835059, 0.15215133141036252, 0.691371650479314]</t>
  </si>
  <si>
    <t>[0.04682438768945999, 4.7264544098032815, 3.686045191345297, 1.7922062313497664, 0.6894316778600091, 0.3700256312300314, 0.5512475956136182]</t>
  </si>
  <si>
    <t>[0.04123841320904282, 1.6323044643795526, 2.5107755989961156, 5.2496578981997555, 8.900252009563642, 0.12705132574283437, 0.8384390594625867]</t>
  </si>
  <si>
    <t>[0.0961373579479972, 2.3627494206359327, 3.111686279628312, 2.584719819199267, 7.937143616391876, 1.016519475137505, 0.19029858352547263]</t>
  </si>
  <si>
    <t>[0.09011125863647629, 2.1718652647674808, 4.478850724575719, 2.075134184861173, 8.957800036223057, 0.36777843314672304, 0.533842175968384]</t>
  </si>
  <si>
    <t>[0.08151517051828894, 2.023494597114412, 2.3331580810756676, 3.3958383867291704, 3.4364660196868466, 0.32037905456370985, 0.6105370169397489]</t>
  </si>
  <si>
    <t>[0.06631038093498827, 2.796597724868181, 3.422697489767688, 2.1394134874733677, 8.347771470076493, 0.30994191851855685, 0.6445574087142807]</t>
  </si>
  <si>
    <t>[0.047204375250589195, 2.4231349255099763, 1.4770769237932955, 8.700160694402372, 5.828516882974064, 0.20763972940877343, 0.7289389616318327]</t>
  </si>
  <si>
    <t>[0.08936337078902948, 2.640808439345473, 1.7428842511505458, 3.011431659722235, 5.777223511827287, 0.4188324611744032, 0.5086020994879576]</t>
  </si>
  <si>
    <t>[0.08367068606572876, 2.5950772893220337, 5.365981137240445, 1.611676555255109, 8.170062726602785, 0.3450877037858359, 0.5764125893342433]</t>
  </si>
  <si>
    <t>[0.05951779110567928, 3.43261248504955, 0.9512164606359822, 9.04971091248295, 0.14959055617462622, 0.424565760586525, 0.5052974345144186]</t>
  </si>
  <si>
    <t>[0.0430545979787778, 5.994844582445451, 4.827252122709318, 1.0841351699139838, 0.2138513850539121, 0.8574594395770176, 0.15886324002105637]</t>
  </si>
  <si>
    <t>[0.043624682501112635, 3.6244912692767173, 1.4393449339135715, 8.60150919439953, 6.490048848996904, 0.26522758036470234, 0.6650731301690521]</t>
  </si>
  <si>
    <t>[0.13406672247858228, 0.8789744843224717, 2.27249785680876, 6.082634835992413, 1.4548974073263783, 0.7825126923829876, 0.2989507724986789]</t>
  </si>
  <si>
    <t>[0.05703583875604325, 6.7127559437225885, 2.3098300463224866, 1.0247496753412277, 8.184765875133467, 0.8534131343038278, 0.10147530093220136]</t>
  </si>
  <si>
    <t>horas</t>
  </si>
  <si>
    <t>train_prom</t>
  </si>
  <si>
    <t>val_prom</t>
  </si>
  <si>
    <t>train_std</t>
  </si>
  <si>
    <t>val_std</t>
  </si>
  <si>
    <t>ave_cost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</si>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</sst>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164" fontId="0" fillId="0" borderId="3" xfId="0" applyNumberFormat="1" applyBorder="1"/>
    <xf numFmtId="164" fontId="0" fillId="0" borderId="0" xfId="0" applyNumberFormat="1"/>
    <xf numFmtId="164" fontId="0" fillId="0" borderId="8" xfId="0" applyNumberFormat="1" applyBorder="1"/>
    <xf numFmtId="165" fontId="0" fillId="0" borderId="0" xfId="0" applyNumberFormat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2" fillId="0" borderId="11" xfId="0" applyFont="1" applyBorder="1"/>
    <xf numFmtId="0" fontId="1" fillId="0" borderId="12" xfId="0" applyFont="1" applyBorder="1" applyAlignment="1">
      <alignment horizontal="center" vertical="top"/>
    </xf>
    <xf numFmtId="165" fontId="0" fillId="0" borderId="8" xfId="0" applyNumberFormat="1" applyBorder="1"/>
    <xf numFmtId="0" fontId="3" fillId="0" borderId="13" xfId="0" applyFont="1" applyBorder="1" applyAlignment="1">
      <alignment horizontal="center" vertical="top"/>
    </xf>
    <xf numFmtId="166" fontId="0" fillId="0" borderId="0" xfId="0" applyNumberFormat="1"/>
    <xf numFmtId="0" fontId="0" fillId="3" borderId="5" xfId="0" applyFill="1" applyBorder="1"/>
    <xf numFmtId="164" fontId="0" fillId="3" borderId="0" xfId="0" applyNumberFormat="1" applyFill="1"/>
    <xf numFmtId="165" fontId="0" fillId="3" borderId="0" xfId="0" applyNumberFormat="1" applyFill="1"/>
    <xf numFmtId="0" fontId="0" fillId="3" borderId="7" xfId="0" applyFill="1" applyBorder="1"/>
    <xf numFmtId="164" fontId="0" fillId="3" borderId="8" xfId="0" applyNumberFormat="1" applyFill="1" applyBorder="1"/>
    <xf numFmtId="165" fontId="0" fillId="3" borderId="8" xfId="0" applyNumberFormat="1" applyFill="1" applyBorder="1"/>
    <xf numFmtId="0" fontId="0" fillId="0" borderId="14" xfId="0" applyBorder="1"/>
    <xf numFmtId="164" fontId="0" fillId="0" borderId="14" xfId="0" applyNumberFormat="1" applyBorder="1"/>
    <xf numFmtId="165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165" fontId="0" fillId="0" borderId="15" xfId="0" applyNumberFormat="1" applyBorder="1"/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_xlchart.v1.26</cx:f>
      </cx:numDim>
    </cx:data>
    <cx:data id="2">
      <cx:numDim type="val">
        <cx:f>_xlchart.v1.18</cx:f>
      </cx:numDim>
    </cx:data>
    <cx:data id="3">
      <cx:numDim type="val">
        <cx:f>_xlchart.v1.19</cx:f>
      </cx:numDim>
    </cx:data>
    <cx:data id="4">
      <cx:numDim type="val">
        <cx:f>_xlchart.v1.20</cx:f>
      </cx:numDim>
    </cx:data>
    <cx:data id="5">
      <cx:numDim type="val">
        <cx:f>_xlchart.v1.21</cx:f>
      </cx:numDim>
    </cx:data>
    <cx:data id="6">
      <cx:numDim type="val">
        <cx:f>_xlchart.v1.23</cx:f>
      </cx:numDim>
    </cx:data>
    <cx:data id="7">
      <cx:numDim type="val">
        <cx:f>_xlchart.v1.24</cx:f>
      </cx:numDim>
    </cx:data>
    <cx:data id="8">
      <cx:numDim type="val">
        <cx:f>_xlchart.v1.25</cx:f>
      </cx:numDim>
    </cx:data>
  </cx:chartData>
  <cx:chart>
    <cx:title pos="t" align="ctr" overlay="0">
      <cx:tx>
        <cx:txData>
          <cx:v>Train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Train cost</a:t>
          </a:r>
        </a:p>
      </cx:txPr>
    </cx:title>
    <cx:plotArea>
      <cx:plotAreaRegion>
        <cx:series layoutId="boxWhisker" uniqueId="{AC52099B-95EA-4C1C-A908-DFA93BE74B1E}">
          <cx:tx>
            <cx:txData>
              <cx:f>_xlchart.v1.28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A62-4DBD-8E01-86C3D71B49FF}">
          <cx:tx>
            <cx:txData>
              <cx:f>_xlchart.v1.29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2-9A62-4DBD-8E01-86C3D71B49FF}">
          <cx:tx>
            <cx:txData>
              <cx:f>_xlchart.v1.30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3-9A62-4DBD-8E01-86C3D71B49FF}">
          <cx:tx>
            <cx:txData>
              <cx:f>_xlchart.v1.31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4-9A62-4DBD-8E01-86C3D71B49FF}">
          <cx:tx>
            <cx:txData>
              <cx:f>_xlchart.v1.32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5-9A62-4DBD-8E01-86C3D71B49FF}">
          <cx:tx>
            <cx:txData>
              <cx:f>_xlchart.v1.33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6-9A62-4DBD-8E01-86C3D71B49FF}">
          <cx:tx>
            <cx:txData>
              <cx:f>_xlchart.v1.34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7-9A62-4DBD-8E01-86C3D71B49FF}">
          <cx:tx>
            <cx:txData>
              <cx:f>_xlchart.v1.35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8-9A62-4DBD-8E01-86C3D71B49FF}">
          <cx:tx>
            <cx:txData>
              <cx:f>_xlchart.v1.27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16000000000000003"/>
        <cx:majorGridlines/>
        <cx:tickLabels/>
        <cx:numFmt formatCode="0,000" sourceLinked="0"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_xlchart.v1.8</cx:f>
      </cx:numDim>
    </cx:data>
    <cx:data id="2">
      <cx:numDim type="val">
        <cx:f>_xlchart.v1.0</cx:f>
      </cx:numDim>
    </cx:data>
    <cx:data id="3">
      <cx:numDim type="val">
        <cx:f>_xlchart.v1.1</cx:f>
      </cx:numDim>
    </cx:data>
    <cx:data id="4">
      <cx:numDim type="val">
        <cx:f>_xlchart.v1.2</cx:f>
      </cx:numDim>
    </cx:data>
    <cx:data id="5">
      <cx:numDim type="val">
        <cx:f>_xlchart.v1.3</cx:f>
      </cx:numDim>
    </cx:data>
    <cx:data id="6">
      <cx:numDim type="val">
        <cx:f>_xlchart.v1.5</cx:f>
      </cx:numDim>
    </cx:data>
    <cx:data id="7">
      <cx:numDim type="val">
        <cx:f>_xlchart.v1.6</cx:f>
      </cx:numDim>
    </cx:data>
    <cx:data id="8">
      <cx:numDim type="val">
        <cx:f>_xlchart.v1.7</cx:f>
      </cx:numDim>
    </cx:data>
  </cx:chartData>
  <cx:chart>
    <cx:title pos="t" align="ctr" overlay="0">
      <cx:tx>
        <cx:txData>
          <cx:v>Validation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Validation cost</a:t>
          </a:r>
        </a:p>
      </cx:txPr>
    </cx:title>
    <cx:plotArea>
      <cx:plotAreaRegion>
        <cx:series layoutId="boxWhisker" uniqueId="{AC52099B-95EA-4C1C-A908-DFA93BE74B1E}">
          <cx:tx>
            <cx:txData>
              <cx:f>_xlchart.v1.10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A62-4DBD-8E01-86C3D71B49FF}">
          <cx:tx>
            <cx:txData>
              <cx:f>_xlchart.v1.11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2-9A62-4DBD-8E01-86C3D71B49FF}">
          <cx:tx>
            <cx:txData>
              <cx:f>_xlchart.v1.12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3-9A62-4DBD-8E01-86C3D71B49FF}">
          <cx:tx>
            <cx:txData>
              <cx:f>_xlchart.v1.13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4-9A62-4DBD-8E01-86C3D71B49FF}">
          <cx:tx>
            <cx:txData>
              <cx:f>_xlchart.v1.14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5-9A62-4DBD-8E01-86C3D71B49FF}">
          <cx:tx>
            <cx:txData>
              <cx:f>_xlchart.v1.15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6-9A62-4DBD-8E01-86C3D71B49FF}">
          <cx:tx>
            <cx:txData>
              <cx:f>_xlchart.v1.16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7-9A62-4DBD-8E01-86C3D71B49FF}">
          <cx:tx>
            <cx:txData>
              <cx:f>_xlchart.v1.17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8-9A62-4DBD-8E01-86C3D71B49FF}">
          <cx:tx>
            <cx:txData>
              <cx:f>_xlchart.v1.9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16000000000000003"/>
        <cx:majorGridlines/>
        <cx:tickLabels/>
        <cx:numFmt formatCode="0,000" sourceLinked="0"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_xlchart.v1.68</cx:f>
      </cx:numDim>
    </cx:data>
    <cx:data id="1">
      <cx:numDim type="val">
        <cx:f>_xlchart.v1.77</cx:f>
      </cx:numDim>
    </cx:data>
    <cx:data id="2">
      <cx:numDim type="val">
        <cx:f>_xlchart.v1.72</cx:f>
      </cx:numDim>
    </cx:data>
    <cx:data id="3">
      <cx:numDim type="val">
        <cx:f>_xlchart.v1.81</cx:f>
      </cx:numDim>
    </cx:data>
    <cx:data id="4">
      <cx:numDim type="val">
        <cx:f>_xlchart.v1.64</cx:f>
      </cx:numDim>
    </cx:data>
    <cx:data id="5">
      <cx:numDim type="val">
        <cx:f>_xlchart.v1.73</cx:f>
      </cx:numDim>
    </cx:data>
    <cx:data id="6">
      <cx:numDim type="val">
        <cx:f>_xlchart.v1.65</cx:f>
      </cx:numDim>
    </cx:data>
    <cx:data id="7">
      <cx:numDim type="val">
        <cx:f>_xlchart.v1.74</cx:f>
      </cx:numDim>
    </cx:data>
    <cx:data id="8">
      <cx:numDim type="val">
        <cx:f>_xlchart.v1.66</cx:f>
      </cx:numDim>
    </cx:data>
    <cx:data id="9">
      <cx:numDim type="val">
        <cx:f>_xlchart.v1.75</cx:f>
      </cx:numDim>
    </cx:data>
    <cx:data id="10">
      <cx:numDim type="val">
        <cx:f>_xlchart.v1.67</cx:f>
      </cx:numDim>
    </cx:data>
    <cx:data id="11">
      <cx:numDim type="val">
        <cx:f>_xlchart.v1.76</cx:f>
      </cx:numDim>
    </cx:data>
    <cx:data id="12">
      <cx:numDim type="val">
        <cx:f>_xlchart.v1.69</cx:f>
      </cx:numDim>
    </cx:data>
    <cx:data id="13">
      <cx:numDim type="val">
        <cx:f>_xlchart.v1.78</cx:f>
      </cx:numDim>
    </cx:data>
    <cx:data id="14">
      <cx:numDim type="val">
        <cx:f>_xlchart.v1.70</cx:f>
      </cx:numDim>
    </cx:data>
    <cx:data id="15">
      <cx:numDim type="val">
        <cx:f>_xlchart.v1.79</cx:f>
      </cx:numDim>
    </cx:data>
    <cx:data id="16">
      <cx:numDim type="val">
        <cx:f>_xlchart.v1.71</cx:f>
      </cx:numDim>
    </cx:data>
    <cx:data id="17">
      <cx:numDim type="val">
        <cx:f>_xlchart.v1.80</cx:f>
      </cx:numDim>
    </cx:data>
  </cx:chartData>
  <cx:chart>
    <cx:plotArea>
      <cx:plotAreaRegion>
        <cx:series layoutId="boxWhisker" uniqueId="{00000005-DEDA-4B95-B354-5AEABB406134}" formatIdx="0">
          <cx:tx>
            <cx:txData>
              <cx:v>1 train cost</cx:v>
            </cx:txData>
          </cx:tx>
          <cx:dataId val="0"/>
          <cx:layoutPr>
            <cx:statistics quartileMethod="exclusive"/>
          </cx:layoutPr>
        </cx:series>
        <cx:series layoutId="boxWhisker" uniqueId="{00000006-DEDA-4B95-B354-5AEABB406134}" formatIdx="1">
          <cx:tx>
            <cx:txData>
              <cx:v>1 val cost</cx:v>
            </cx:txData>
          </cx:tx>
          <cx:dataId val="1"/>
          <cx:layoutPr>
            <cx:statistics quartileMethod="exclusive"/>
          </cx:layoutPr>
        </cx:series>
        <cx:series layoutId="boxWhisker" uniqueId="{00000008-DEDA-4B95-B354-5AEABB406134}">
          <cx:tx>
            <cx:txData>
              <cx:v>2 train cost</cx:v>
            </cx:txData>
          </cx:tx>
          <cx:dataId val="2"/>
          <cx:layoutPr>
            <cx:statistics quartileMethod="exclusive"/>
          </cx:layoutPr>
        </cx:series>
        <cx:series layoutId="boxWhisker" uniqueId="{00000009-DEDA-4B95-B354-5AEABB406134}">
          <cx:tx>
            <cx:txData>
              <cx:v>2 val cost</cx:v>
            </cx:txData>
          </cx:tx>
          <cx:dataId val="3"/>
          <cx:layoutPr>
            <cx:statistics quartileMethod="exclusive"/>
          </cx:layoutPr>
        </cx:series>
        <cx:series layoutId="boxWhisker" uniqueId="{0000000A-DEDA-4B95-B354-5AEABB406134}">
          <cx:tx>
            <cx:txData>
              <cx:v>3 train cost</cx:v>
            </cx:txData>
          </cx:tx>
          <cx:dataId val="4"/>
          <cx:layoutPr>
            <cx:statistics quartileMethod="exclusive"/>
          </cx:layoutPr>
        </cx:series>
        <cx:series layoutId="boxWhisker" uniqueId="{0000000B-DEDA-4B95-B354-5AEABB406134}">
          <cx:tx>
            <cx:txData>
              <cx:v>3 val cost</cx:v>
            </cx:txData>
          </cx:tx>
          <cx:dataId val="5"/>
          <cx:layoutPr>
            <cx:statistics quartileMethod="exclusive"/>
          </cx:layoutPr>
        </cx:series>
        <cx:series layoutId="boxWhisker" uniqueId="{0000000C-DEDA-4B95-B354-5AEABB406134}">
          <cx:tx>
            <cx:txData>
              <cx:v>4 train cost</cx:v>
            </cx:txData>
          </cx:tx>
          <cx:dataId val="6"/>
          <cx:layoutPr>
            <cx:statistics quartileMethod="exclusive"/>
          </cx:layoutPr>
        </cx:series>
        <cx:series layoutId="boxWhisker" uniqueId="{0000000D-DEDA-4B95-B354-5AEABB406134}">
          <cx:tx>
            <cx:txData>
              <cx:v>4 val cost</cx:v>
            </cx:txData>
          </cx:tx>
          <cx:dataId val="7"/>
          <cx:layoutPr>
            <cx:statistics quartileMethod="exclusive"/>
          </cx:layoutPr>
        </cx:series>
        <cx:series layoutId="boxWhisker" uniqueId="{0000000E-DEDA-4B95-B354-5AEABB406134}">
          <cx:tx>
            <cx:txData>
              <cx:v>5 train cost</cx:v>
            </cx:txData>
          </cx:tx>
          <cx:dataId val="8"/>
          <cx:layoutPr>
            <cx:statistics quartileMethod="exclusive"/>
          </cx:layoutPr>
        </cx:series>
        <cx:series layoutId="boxWhisker" uniqueId="{0000000F-DEDA-4B95-B354-5AEABB406134}">
          <cx:tx>
            <cx:txData>
              <cx:v>5 val cost</cx:v>
            </cx:txData>
          </cx:tx>
          <cx:dataId val="9"/>
          <cx:layoutPr>
            <cx:statistics quartileMethod="exclusive"/>
          </cx:layoutPr>
        </cx:series>
        <cx:series layoutId="boxWhisker" uniqueId="{00000010-DEDA-4B95-B354-5AEABB406134}">
          <cx:tx>
            <cx:txData>
              <cx:v>6 train cost</cx:v>
            </cx:txData>
          </cx:tx>
          <cx:dataId val="10"/>
          <cx:layoutPr>
            <cx:statistics quartileMethod="exclusive"/>
          </cx:layoutPr>
        </cx:series>
        <cx:series layoutId="boxWhisker" uniqueId="{00000011-DEDA-4B95-B354-5AEABB406134}">
          <cx:tx>
            <cx:txData>
              <cx:v>6 val cost</cx:v>
            </cx:txData>
          </cx:tx>
          <cx:dataId val="11"/>
          <cx:layoutPr>
            <cx:statistics quartileMethod="exclusive"/>
          </cx:layoutPr>
        </cx:series>
        <cx:series layoutId="boxWhisker" uniqueId="{00000012-DEDA-4B95-B354-5AEABB406134}">
          <cx:tx>
            <cx:txData>
              <cx:v>7 train cost</cx:v>
            </cx:txData>
          </cx:tx>
          <cx:dataId val="12"/>
          <cx:layoutPr>
            <cx:statistics quartileMethod="exclusive"/>
          </cx:layoutPr>
        </cx:series>
        <cx:series layoutId="boxWhisker" uniqueId="{00000013-DEDA-4B95-B354-5AEABB406134}">
          <cx:tx>
            <cx:txData>
              <cx:v>7 val cost</cx:v>
            </cx:txData>
          </cx:tx>
          <cx:dataId val="13"/>
          <cx:layoutPr>
            <cx:statistics quartileMethod="exclusive"/>
          </cx:layoutPr>
        </cx:series>
        <cx:series layoutId="boxWhisker" uniqueId="{00000014-DEDA-4B95-B354-5AEABB406134}">
          <cx:tx>
            <cx:txData>
              <cx:v>8 train cost</cx:v>
            </cx:txData>
          </cx:tx>
          <cx:dataId val="14"/>
          <cx:layoutPr>
            <cx:statistics quartileMethod="exclusive"/>
          </cx:layoutPr>
        </cx:series>
        <cx:series layoutId="boxWhisker" uniqueId="{00000015-DEDA-4B95-B354-5AEABB406134}">
          <cx:tx>
            <cx:txData>
              <cx:v>8 val cost</cx:v>
            </cx:txData>
          </cx:tx>
          <cx:dataId val="15"/>
          <cx:layoutPr>
            <cx:statistics quartileMethod="exclusive"/>
          </cx:layoutPr>
        </cx:series>
        <cx:series layoutId="boxWhisker" uniqueId="{00000016-DEDA-4B95-B354-5AEABB406134}">
          <cx:tx>
            <cx:txData>
              <cx:v>9 train cost</cx:v>
            </cx:txData>
          </cx:tx>
          <cx:dataId val="16"/>
          <cx:layoutPr>
            <cx:statistics quartileMethod="exclusive"/>
          </cx:layoutPr>
        </cx:series>
        <cx:series layoutId="boxWhisker" uniqueId="{00000017-DEDA-4B95-B354-5AEABB406134}">
          <cx:tx>
            <cx:txData>
              <cx:v>9 val cost</cx:v>
            </cx:txData>
          </cx:tx>
          <cx:dataId val="17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13200000000000001"/>
        <cx:majorGridlines/>
        <cx:minorGridlines/>
        <cx:majorTickMarks type="cross"/>
        <cx:minorTickMarks type="cross"/>
        <cx:tickLabels/>
        <cx:numFmt formatCode="0,00" sourceLinked="0"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110490</xdr:rowOff>
    </xdr:from>
    <xdr:to>
      <xdr:col>11</xdr:col>
      <xdr:colOff>464820</xdr:colOff>
      <xdr:row>28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5A0DB41-BDDB-E3CA-98BA-CC300451E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8240" y="2145030"/>
              <a:ext cx="5158740" cy="3036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320040</xdr:colOff>
      <xdr:row>28</xdr:row>
      <xdr:rowOff>129540</xdr:rowOff>
    </xdr:from>
    <xdr:to>
      <xdr:col>11</xdr:col>
      <xdr:colOff>480060</xdr:colOff>
      <xdr:row>45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2F7AFEB-D77D-4AD8-A8E5-8051C6C8E1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3480" y="5295900"/>
              <a:ext cx="5158740" cy="3036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11</xdr:row>
      <xdr:rowOff>26670</xdr:rowOff>
    </xdr:from>
    <xdr:to>
      <xdr:col>14</xdr:col>
      <xdr:colOff>144780</xdr:colOff>
      <xdr:row>37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38DA45C-3FB9-FDB0-D009-AC645B397C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5380" y="2061210"/>
              <a:ext cx="7239000" cy="4872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opLeftCell="I1" workbookViewId="0">
      <selection sqref="A1:O1"/>
    </sheetView>
  </sheetViews>
  <sheetFormatPr baseColWidth="10" defaultColWidth="8.88671875" defaultRowHeight="14.4" x14ac:dyDescent="0.3"/>
  <cols>
    <col min="1" max="1" width="13.88671875" bestFit="1" customWidth="1"/>
    <col min="2" max="2" width="11.33203125" bestFit="1" customWidth="1"/>
    <col min="6" max="6" width="12.77734375" bestFit="1" customWidth="1"/>
    <col min="7" max="7" width="16.109375" bestFit="1" customWidth="1"/>
    <col min="8" max="8" width="13.44140625" bestFit="1" customWidth="1"/>
    <col min="9" max="9" width="116.33203125" customWidth="1"/>
    <col min="10" max="10" width="18.6640625" bestFit="1" customWidth="1"/>
    <col min="11" max="11" width="12.33203125" bestFit="1" customWidth="1"/>
    <col min="12" max="12" width="19.6640625" bestFit="1" customWidth="1"/>
    <col min="13" max="13" width="12.33203125" bestFit="1" customWidth="1"/>
    <col min="14" max="14" width="19.6640625" customWidth="1"/>
    <col min="15" max="15" width="135.21875" bestFit="1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74</v>
      </c>
      <c r="N1" s="2" t="s">
        <v>68</v>
      </c>
      <c r="O1" s="1" t="s">
        <v>12</v>
      </c>
    </row>
    <row r="2" spans="1:15" x14ac:dyDescent="0.3">
      <c r="A2" s="3">
        <v>1</v>
      </c>
      <c r="B2" s="4">
        <v>1</v>
      </c>
      <c r="C2" s="4">
        <v>1.5</v>
      </c>
      <c r="D2" s="4">
        <v>1.5</v>
      </c>
      <c r="E2" s="4">
        <v>0.5</v>
      </c>
      <c r="F2" s="4">
        <v>20</v>
      </c>
      <c r="G2" s="4" t="s">
        <v>13</v>
      </c>
      <c r="H2" s="4">
        <v>0</v>
      </c>
      <c r="I2" s="4" t="s">
        <v>14</v>
      </c>
      <c r="J2" s="12">
        <v>3.7092048573396118E-2</v>
      </c>
      <c r="K2" s="12">
        <v>1.172093869167079E-2</v>
      </c>
      <c r="L2" s="4">
        <v>673.9983391999267</v>
      </c>
      <c r="M2">
        <f>L2/60</f>
        <v>11.233305653332112</v>
      </c>
      <c r="N2" s="4">
        <f t="shared" ref="N2:N46" si="0">L2/3600</f>
        <v>0.18722176088886852</v>
      </c>
      <c r="O2" s="5" t="s">
        <v>28</v>
      </c>
    </row>
    <row r="3" spans="1:15" x14ac:dyDescent="0.3">
      <c r="A3" s="6">
        <v>1</v>
      </c>
      <c r="B3">
        <v>2</v>
      </c>
      <c r="C3">
        <v>1.5</v>
      </c>
      <c r="D3">
        <v>1.5</v>
      </c>
      <c r="E3">
        <v>0.5</v>
      </c>
      <c r="F3">
        <v>20</v>
      </c>
      <c r="G3" t="s">
        <v>16</v>
      </c>
      <c r="H3">
        <v>1</v>
      </c>
      <c r="I3" t="s">
        <v>17</v>
      </c>
      <c r="J3" s="13">
        <v>0.15599845269902229</v>
      </c>
      <c r="K3" s="13">
        <v>2.2900716883617861E-2</v>
      </c>
      <c r="L3">
        <v>132.09111839998511</v>
      </c>
      <c r="M3">
        <f t="shared" ref="M3:M46" si="1">L3/60</f>
        <v>2.2015186399997519</v>
      </c>
      <c r="N3">
        <f t="shared" si="0"/>
        <v>3.6691977333329198E-2</v>
      </c>
      <c r="O3" s="7" t="s">
        <v>29</v>
      </c>
    </row>
    <row r="4" spans="1:15" x14ac:dyDescent="0.3">
      <c r="A4" s="6">
        <v>1</v>
      </c>
      <c r="B4">
        <v>3</v>
      </c>
      <c r="C4">
        <v>1.5</v>
      </c>
      <c r="D4">
        <v>1.5</v>
      </c>
      <c r="E4">
        <v>0.5</v>
      </c>
      <c r="F4">
        <v>20</v>
      </c>
      <c r="G4" t="s">
        <v>19</v>
      </c>
      <c r="H4">
        <v>2</v>
      </c>
      <c r="I4" t="s">
        <v>20</v>
      </c>
      <c r="J4" s="13">
        <v>3.1376868445215297E-2</v>
      </c>
      <c r="K4" s="13">
        <v>7.2078130573927882E-2</v>
      </c>
      <c r="L4">
        <v>302.85229499987332</v>
      </c>
      <c r="M4">
        <f t="shared" si="1"/>
        <v>5.0475382499978885</v>
      </c>
      <c r="N4">
        <f t="shared" si="0"/>
        <v>8.4125637499964809E-2</v>
      </c>
      <c r="O4" s="7" t="s">
        <v>30</v>
      </c>
    </row>
    <row r="5" spans="1:15" x14ac:dyDescent="0.3">
      <c r="A5" s="6">
        <v>1</v>
      </c>
      <c r="B5">
        <v>4</v>
      </c>
      <c r="C5">
        <v>1.5</v>
      </c>
      <c r="D5">
        <v>1.5</v>
      </c>
      <c r="E5">
        <v>0.5</v>
      </c>
      <c r="F5">
        <v>20</v>
      </c>
      <c r="G5" t="s">
        <v>22</v>
      </c>
      <c r="H5">
        <v>3</v>
      </c>
      <c r="I5" t="s">
        <v>23</v>
      </c>
      <c r="J5" s="13">
        <v>3.3704957823215677E-2</v>
      </c>
      <c r="K5" s="13">
        <v>3.7294720137639167E-2</v>
      </c>
      <c r="L5">
        <v>837.84761870000511</v>
      </c>
      <c r="M5">
        <f t="shared" si="1"/>
        <v>13.964126978333418</v>
      </c>
      <c r="N5">
        <f t="shared" si="0"/>
        <v>0.23273544963889031</v>
      </c>
      <c r="O5" s="7" t="s">
        <v>31</v>
      </c>
    </row>
    <row r="6" spans="1:15" ht="15" thickBot="1" x14ac:dyDescent="0.35">
      <c r="A6" s="8">
        <v>1</v>
      </c>
      <c r="B6" s="9">
        <v>5</v>
      </c>
      <c r="C6" s="9">
        <v>1.5</v>
      </c>
      <c r="D6" s="9">
        <v>1.5</v>
      </c>
      <c r="E6" s="9">
        <v>0.5</v>
      </c>
      <c r="F6" s="9">
        <v>20</v>
      </c>
      <c r="G6" s="9" t="s">
        <v>25</v>
      </c>
      <c r="H6" s="9">
        <v>4</v>
      </c>
      <c r="I6" s="9" t="s">
        <v>26</v>
      </c>
      <c r="J6" s="14">
        <v>1.422919547606802E-2</v>
      </c>
      <c r="K6" s="14">
        <v>4.0868497769095208E-2</v>
      </c>
      <c r="L6" s="9">
        <v>1123.316275399877</v>
      </c>
      <c r="M6" s="9">
        <f t="shared" si="1"/>
        <v>18.721937923331282</v>
      </c>
      <c r="N6" s="9">
        <f t="shared" si="0"/>
        <v>0.31203229872218807</v>
      </c>
      <c r="O6" s="10" t="s">
        <v>32</v>
      </c>
    </row>
    <row r="7" spans="1:15" x14ac:dyDescent="0.3">
      <c r="A7" s="3">
        <v>2</v>
      </c>
      <c r="B7" s="4">
        <v>1</v>
      </c>
      <c r="C7" s="4">
        <v>1.5</v>
      </c>
      <c r="D7" s="4">
        <v>1.5</v>
      </c>
      <c r="E7" s="4">
        <v>0.5</v>
      </c>
      <c r="F7" s="4">
        <v>25</v>
      </c>
      <c r="G7" s="4" t="s">
        <v>13</v>
      </c>
      <c r="H7" s="4">
        <v>0</v>
      </c>
      <c r="I7" s="4" t="s">
        <v>14</v>
      </c>
      <c r="J7" s="12">
        <v>4.5608199354003433E-2</v>
      </c>
      <c r="K7" s="12">
        <v>1.4230563740411991E-3</v>
      </c>
      <c r="L7" s="4">
        <v>250.35259560006671</v>
      </c>
      <c r="M7">
        <f t="shared" si="1"/>
        <v>4.1725432600011114</v>
      </c>
      <c r="N7" s="4">
        <f t="shared" si="0"/>
        <v>6.954238766668519E-2</v>
      </c>
      <c r="O7" s="5" t="s">
        <v>15</v>
      </c>
    </row>
    <row r="8" spans="1:15" x14ac:dyDescent="0.3">
      <c r="A8" s="6">
        <v>2</v>
      </c>
      <c r="B8">
        <v>2</v>
      </c>
      <c r="C8">
        <v>1.5</v>
      </c>
      <c r="D8">
        <v>1.5</v>
      </c>
      <c r="E8">
        <v>0.5</v>
      </c>
      <c r="F8">
        <v>25</v>
      </c>
      <c r="G8" t="s">
        <v>16</v>
      </c>
      <c r="H8">
        <v>1</v>
      </c>
      <c r="I8" t="s">
        <v>17</v>
      </c>
      <c r="J8" s="13">
        <v>5.4571198489538723E-2</v>
      </c>
      <c r="K8" s="13">
        <v>1.751868723559423E-2</v>
      </c>
      <c r="L8">
        <v>345.93943900009617</v>
      </c>
      <c r="M8">
        <f t="shared" si="1"/>
        <v>5.7656573166682694</v>
      </c>
      <c r="N8">
        <f t="shared" si="0"/>
        <v>9.6094288611137821E-2</v>
      </c>
      <c r="O8" s="7" t="s">
        <v>18</v>
      </c>
    </row>
    <row r="9" spans="1:15" x14ac:dyDescent="0.3">
      <c r="A9" s="6">
        <v>2</v>
      </c>
      <c r="B9">
        <v>3</v>
      </c>
      <c r="C9">
        <v>1.5</v>
      </c>
      <c r="D9">
        <v>1.5</v>
      </c>
      <c r="E9">
        <v>0.5</v>
      </c>
      <c r="F9">
        <v>25</v>
      </c>
      <c r="G9" t="s">
        <v>19</v>
      </c>
      <c r="H9">
        <v>2</v>
      </c>
      <c r="I9" t="s">
        <v>20</v>
      </c>
      <c r="J9" s="13">
        <v>3.742670869175764E-2</v>
      </c>
      <c r="K9" s="13">
        <v>7.6020497194364727E-3</v>
      </c>
      <c r="L9">
        <v>394.1584272000473</v>
      </c>
      <c r="M9">
        <f t="shared" si="1"/>
        <v>6.5693071200007882</v>
      </c>
      <c r="N9">
        <f t="shared" si="0"/>
        <v>0.10948845200001314</v>
      </c>
      <c r="O9" s="7" t="s">
        <v>21</v>
      </c>
    </row>
    <row r="10" spans="1:15" x14ac:dyDescent="0.3">
      <c r="A10" s="6">
        <v>2</v>
      </c>
      <c r="B10">
        <v>4</v>
      </c>
      <c r="C10">
        <v>1.5</v>
      </c>
      <c r="D10">
        <v>1.5</v>
      </c>
      <c r="E10">
        <v>0.5</v>
      </c>
      <c r="F10">
        <v>25</v>
      </c>
      <c r="G10" t="s">
        <v>22</v>
      </c>
      <c r="H10">
        <v>3</v>
      </c>
      <c r="I10" t="s">
        <v>23</v>
      </c>
      <c r="J10" s="13">
        <v>2.859601369462747E-2</v>
      </c>
      <c r="K10" s="13">
        <v>2.1292026621170669E-2</v>
      </c>
      <c r="L10">
        <v>717.95591349992901</v>
      </c>
      <c r="M10">
        <f t="shared" si="1"/>
        <v>11.965931891665484</v>
      </c>
      <c r="N10">
        <f t="shared" si="0"/>
        <v>0.19943219819442473</v>
      </c>
      <c r="O10" s="7" t="s">
        <v>24</v>
      </c>
    </row>
    <row r="11" spans="1:15" ht="15" thickBot="1" x14ac:dyDescent="0.35">
      <c r="A11" s="8">
        <v>2</v>
      </c>
      <c r="B11" s="9">
        <v>5</v>
      </c>
      <c r="C11" s="9">
        <v>1.5</v>
      </c>
      <c r="D11" s="9">
        <v>1.5</v>
      </c>
      <c r="E11" s="9">
        <v>0.5</v>
      </c>
      <c r="F11" s="9">
        <v>25</v>
      </c>
      <c r="G11" s="9" t="s">
        <v>25</v>
      </c>
      <c r="H11" s="9">
        <v>4</v>
      </c>
      <c r="I11" s="9" t="s">
        <v>26</v>
      </c>
      <c r="J11" s="14">
        <v>2.9459338938626241E-2</v>
      </c>
      <c r="K11" s="14">
        <v>1.984571948740271E-2</v>
      </c>
      <c r="L11" s="9">
        <v>501.45891789998859</v>
      </c>
      <c r="M11" s="9">
        <f t="shared" si="1"/>
        <v>8.3576486316664766</v>
      </c>
      <c r="N11" s="9">
        <f t="shared" si="0"/>
        <v>0.13929414386110794</v>
      </c>
      <c r="O11" s="10" t="s">
        <v>27</v>
      </c>
    </row>
    <row r="12" spans="1:15" x14ac:dyDescent="0.3">
      <c r="A12" s="3">
        <v>3</v>
      </c>
      <c r="B12" s="4">
        <v>1</v>
      </c>
      <c r="C12" s="4">
        <v>1.5</v>
      </c>
      <c r="D12" s="4">
        <v>1.5</v>
      </c>
      <c r="E12" s="4">
        <v>0.5</v>
      </c>
      <c r="F12" s="4">
        <v>30</v>
      </c>
      <c r="G12" s="4" t="s">
        <v>13</v>
      </c>
      <c r="H12" s="4">
        <v>0</v>
      </c>
      <c r="I12" s="4" t="s">
        <v>14</v>
      </c>
      <c r="J12" s="12">
        <v>3.9444228917353122E-2</v>
      </c>
      <c r="K12" s="12">
        <v>2.0886314429709001E-3</v>
      </c>
      <c r="L12" s="4">
        <v>872.49510930012912</v>
      </c>
      <c r="M12">
        <f t="shared" si="1"/>
        <v>14.541585155002151</v>
      </c>
      <c r="N12" s="4">
        <f t="shared" si="0"/>
        <v>0.2423597525833692</v>
      </c>
      <c r="O12" s="5" t="s">
        <v>33</v>
      </c>
    </row>
    <row r="13" spans="1:15" x14ac:dyDescent="0.3">
      <c r="A13" s="6">
        <v>3</v>
      </c>
      <c r="B13">
        <v>2</v>
      </c>
      <c r="C13">
        <v>1.5</v>
      </c>
      <c r="D13">
        <v>1.5</v>
      </c>
      <c r="E13">
        <v>0.5</v>
      </c>
      <c r="F13">
        <v>30</v>
      </c>
      <c r="G13" t="s">
        <v>16</v>
      </c>
      <c r="H13">
        <v>1</v>
      </c>
      <c r="I13" t="s">
        <v>17</v>
      </c>
      <c r="J13" s="13">
        <v>3.824192411171274E-2</v>
      </c>
      <c r="K13" s="13">
        <v>1.3718770833639289E-3</v>
      </c>
      <c r="L13">
        <v>701.18054930004291</v>
      </c>
      <c r="M13">
        <f t="shared" si="1"/>
        <v>11.686342488334049</v>
      </c>
      <c r="N13">
        <f t="shared" si="0"/>
        <v>0.19477237480556747</v>
      </c>
      <c r="O13" s="7" t="s">
        <v>34</v>
      </c>
    </row>
    <row r="14" spans="1:15" x14ac:dyDescent="0.3">
      <c r="A14" s="6">
        <v>3</v>
      </c>
      <c r="B14">
        <v>3</v>
      </c>
      <c r="C14">
        <v>1.5</v>
      </c>
      <c r="D14">
        <v>1.5</v>
      </c>
      <c r="E14">
        <v>0.5</v>
      </c>
      <c r="F14">
        <v>30</v>
      </c>
      <c r="G14" t="s">
        <v>19</v>
      </c>
      <c r="H14">
        <v>2</v>
      </c>
      <c r="I14" t="s">
        <v>20</v>
      </c>
      <c r="J14" s="13">
        <v>3.6339867604532769E-2</v>
      </c>
      <c r="K14" s="13">
        <v>4.932531901753078E-3</v>
      </c>
      <c r="L14">
        <v>924.34941580006853</v>
      </c>
      <c r="M14">
        <f t="shared" si="1"/>
        <v>15.405823596667808</v>
      </c>
      <c r="N14">
        <f t="shared" si="0"/>
        <v>0.25676372661113017</v>
      </c>
      <c r="O14" s="7" t="s">
        <v>35</v>
      </c>
    </row>
    <row r="15" spans="1:15" x14ac:dyDescent="0.3">
      <c r="A15" s="6">
        <v>3</v>
      </c>
      <c r="B15">
        <v>4</v>
      </c>
      <c r="C15">
        <v>1.5</v>
      </c>
      <c r="D15">
        <v>1.5</v>
      </c>
      <c r="E15">
        <v>0.5</v>
      </c>
      <c r="F15">
        <v>30</v>
      </c>
      <c r="G15" t="s">
        <v>22</v>
      </c>
      <c r="H15">
        <v>3</v>
      </c>
      <c r="I15" t="s">
        <v>23</v>
      </c>
      <c r="J15" s="13">
        <v>2.610156968288924E-2</v>
      </c>
      <c r="K15" s="13">
        <v>5.5095178487365157E-2</v>
      </c>
      <c r="L15">
        <v>1323.6064006998199</v>
      </c>
      <c r="M15">
        <f t="shared" si="1"/>
        <v>22.060106678330332</v>
      </c>
      <c r="N15">
        <f t="shared" si="0"/>
        <v>0.36766844463883885</v>
      </c>
      <c r="O15" s="7" t="s">
        <v>36</v>
      </c>
    </row>
    <row r="16" spans="1:15" ht="15" thickBot="1" x14ac:dyDescent="0.35">
      <c r="A16" s="8">
        <v>3</v>
      </c>
      <c r="B16" s="9">
        <v>5</v>
      </c>
      <c r="C16" s="9">
        <v>1.5</v>
      </c>
      <c r="D16" s="9">
        <v>1.5</v>
      </c>
      <c r="E16" s="9">
        <v>0.5</v>
      </c>
      <c r="F16" s="9">
        <v>30</v>
      </c>
      <c r="G16" s="9" t="s">
        <v>25</v>
      </c>
      <c r="H16" s="9">
        <v>4</v>
      </c>
      <c r="I16" s="9" t="s">
        <v>26</v>
      </c>
      <c r="J16" s="14">
        <v>2.329647681111786E-2</v>
      </c>
      <c r="K16" s="14">
        <v>2.95853656704319E-2</v>
      </c>
      <c r="L16" s="9">
        <v>1492.4793178001421</v>
      </c>
      <c r="M16" s="9">
        <f t="shared" si="1"/>
        <v>24.874655296669037</v>
      </c>
      <c r="N16" s="9">
        <f t="shared" si="0"/>
        <v>0.41457758827781727</v>
      </c>
      <c r="O16" s="10" t="s">
        <v>37</v>
      </c>
    </row>
    <row r="17" spans="1:15" x14ac:dyDescent="0.3">
      <c r="A17" s="3">
        <v>4</v>
      </c>
      <c r="B17" s="4">
        <v>1</v>
      </c>
      <c r="C17" s="4">
        <v>1.5</v>
      </c>
      <c r="D17" s="4">
        <v>1.5</v>
      </c>
      <c r="E17" s="4">
        <v>0.7</v>
      </c>
      <c r="F17" s="4">
        <v>20</v>
      </c>
      <c r="G17" s="4" t="s">
        <v>13</v>
      </c>
      <c r="H17" s="4">
        <v>0</v>
      </c>
      <c r="I17" s="4" t="s">
        <v>14</v>
      </c>
      <c r="J17" s="12">
        <v>3.523422680475434E-2</v>
      </c>
      <c r="K17" s="12">
        <v>5.8640441430261392E-3</v>
      </c>
      <c r="L17" s="4">
        <v>918.00331990001723</v>
      </c>
      <c r="M17">
        <f t="shared" si="1"/>
        <v>15.300055331666954</v>
      </c>
      <c r="N17" s="4">
        <f t="shared" si="0"/>
        <v>0.25500092219444925</v>
      </c>
      <c r="O17" s="5" t="s">
        <v>38</v>
      </c>
    </row>
    <row r="18" spans="1:15" x14ac:dyDescent="0.3">
      <c r="A18" s="6">
        <v>4</v>
      </c>
      <c r="B18">
        <v>2</v>
      </c>
      <c r="C18">
        <v>1.5</v>
      </c>
      <c r="D18">
        <v>1.5</v>
      </c>
      <c r="E18">
        <v>0.7</v>
      </c>
      <c r="F18">
        <v>20</v>
      </c>
      <c r="G18" t="s">
        <v>16</v>
      </c>
      <c r="H18">
        <v>1</v>
      </c>
      <c r="I18" t="s">
        <v>17</v>
      </c>
      <c r="J18" s="13">
        <v>3.5617895391070138E-2</v>
      </c>
      <c r="K18" s="13">
        <v>3.3362534037699371E-2</v>
      </c>
      <c r="L18">
        <v>1152.8253258001059</v>
      </c>
      <c r="M18">
        <f t="shared" si="1"/>
        <v>19.213755430001765</v>
      </c>
      <c r="N18">
        <f t="shared" si="0"/>
        <v>0.32022925716669609</v>
      </c>
      <c r="O18" s="7" t="s">
        <v>39</v>
      </c>
    </row>
    <row r="19" spans="1:15" x14ac:dyDescent="0.3">
      <c r="A19" s="6">
        <v>4</v>
      </c>
      <c r="B19">
        <v>3</v>
      </c>
      <c r="C19">
        <v>1.5</v>
      </c>
      <c r="D19">
        <v>1.5</v>
      </c>
      <c r="E19">
        <v>0.7</v>
      </c>
      <c r="F19">
        <v>20</v>
      </c>
      <c r="G19" t="s">
        <v>19</v>
      </c>
      <c r="H19">
        <v>2</v>
      </c>
      <c r="I19" t="s">
        <v>20</v>
      </c>
      <c r="J19" s="13">
        <v>3.4076437192012907E-2</v>
      </c>
      <c r="K19" s="13">
        <v>1.217945838324665E-2</v>
      </c>
      <c r="L19">
        <v>570.28363680001348</v>
      </c>
      <c r="M19">
        <f t="shared" si="1"/>
        <v>9.5047272800002247</v>
      </c>
      <c r="N19">
        <f t="shared" si="0"/>
        <v>0.15841212133333707</v>
      </c>
      <c r="O19" s="7" t="s">
        <v>40</v>
      </c>
    </row>
    <row r="20" spans="1:15" x14ac:dyDescent="0.3">
      <c r="A20" s="6">
        <v>4</v>
      </c>
      <c r="B20">
        <v>4</v>
      </c>
      <c r="C20">
        <v>1.5</v>
      </c>
      <c r="D20">
        <v>1.5</v>
      </c>
      <c r="E20">
        <v>0.7</v>
      </c>
      <c r="F20">
        <v>20</v>
      </c>
      <c r="G20" t="s">
        <v>22</v>
      </c>
      <c r="H20">
        <v>3</v>
      </c>
      <c r="I20" t="s">
        <v>23</v>
      </c>
      <c r="J20" s="13">
        <v>1.484257088828307E-2</v>
      </c>
      <c r="K20" s="13">
        <v>3.2317057276615248E-2</v>
      </c>
      <c r="L20">
        <v>1385.270447699819</v>
      </c>
      <c r="M20">
        <f t="shared" si="1"/>
        <v>23.087840794996982</v>
      </c>
      <c r="N20">
        <f t="shared" si="0"/>
        <v>0.38479734658328307</v>
      </c>
      <c r="O20" s="7" t="s">
        <v>41</v>
      </c>
    </row>
    <row r="21" spans="1:15" ht="15" thickBot="1" x14ac:dyDescent="0.35">
      <c r="A21" s="8">
        <v>4</v>
      </c>
      <c r="B21" s="9">
        <v>5</v>
      </c>
      <c r="C21" s="9">
        <v>1.5</v>
      </c>
      <c r="D21" s="9">
        <v>1.5</v>
      </c>
      <c r="E21" s="9">
        <v>0.7</v>
      </c>
      <c r="F21" s="9">
        <v>20</v>
      </c>
      <c r="G21" s="9" t="s">
        <v>25</v>
      </c>
      <c r="H21" s="9">
        <v>4</v>
      </c>
      <c r="I21" s="9" t="s">
        <v>26</v>
      </c>
      <c r="J21" s="14">
        <v>7.6424235219329541E-3</v>
      </c>
      <c r="K21" s="14">
        <v>4.5560919500689107E-2</v>
      </c>
      <c r="L21" s="9">
        <v>1395.112765900092</v>
      </c>
      <c r="M21" s="9">
        <f t="shared" si="1"/>
        <v>23.2518794316682</v>
      </c>
      <c r="N21" s="9">
        <f t="shared" si="0"/>
        <v>0.38753132386113665</v>
      </c>
      <c r="O21" s="10" t="s">
        <v>42</v>
      </c>
    </row>
    <row r="22" spans="1:15" x14ac:dyDescent="0.3">
      <c r="A22" s="3">
        <v>5</v>
      </c>
      <c r="B22" s="4">
        <v>1</v>
      </c>
      <c r="C22" s="4">
        <v>1.5</v>
      </c>
      <c r="D22" s="4">
        <v>1.5</v>
      </c>
      <c r="E22" s="4">
        <v>0.7</v>
      </c>
      <c r="F22" s="4">
        <v>25</v>
      </c>
      <c r="G22" s="4" t="s">
        <v>13</v>
      </c>
      <c r="H22" s="4">
        <v>0</v>
      </c>
      <c r="I22" s="4" t="s">
        <v>14</v>
      </c>
      <c r="J22" s="12">
        <v>3.6102106059594671E-2</v>
      </c>
      <c r="K22" s="12">
        <v>4.4746418264825939E-3</v>
      </c>
      <c r="L22" s="4">
        <v>1135.4298050999639</v>
      </c>
      <c r="M22">
        <f t="shared" si="1"/>
        <v>18.923830084999398</v>
      </c>
      <c r="N22" s="4">
        <f t="shared" si="0"/>
        <v>0.3153971680833233</v>
      </c>
      <c r="O22" s="5" t="s">
        <v>43</v>
      </c>
    </row>
    <row r="23" spans="1:15" x14ac:dyDescent="0.3">
      <c r="A23" s="6">
        <v>5</v>
      </c>
      <c r="B23">
        <v>2</v>
      </c>
      <c r="C23">
        <v>1.5</v>
      </c>
      <c r="D23">
        <v>1.5</v>
      </c>
      <c r="E23">
        <v>0.7</v>
      </c>
      <c r="F23">
        <v>25</v>
      </c>
      <c r="G23" t="s">
        <v>16</v>
      </c>
      <c r="H23">
        <v>1</v>
      </c>
      <c r="I23" t="s">
        <v>17</v>
      </c>
      <c r="J23" s="13">
        <v>3.6140015426741529E-2</v>
      </c>
      <c r="K23" s="13">
        <v>1.1762136731325531E-2</v>
      </c>
      <c r="L23">
        <v>459.99497180012992</v>
      </c>
      <c r="M23">
        <f t="shared" si="1"/>
        <v>7.6665828633354982</v>
      </c>
      <c r="N23">
        <f t="shared" si="0"/>
        <v>0.12777638105559164</v>
      </c>
      <c r="O23" s="7" t="s">
        <v>44</v>
      </c>
    </row>
    <row r="24" spans="1:15" x14ac:dyDescent="0.3">
      <c r="A24" s="6">
        <v>5</v>
      </c>
      <c r="B24">
        <v>3</v>
      </c>
      <c r="C24">
        <v>1.5</v>
      </c>
      <c r="D24">
        <v>1.5</v>
      </c>
      <c r="E24">
        <v>0.7</v>
      </c>
      <c r="F24">
        <v>25</v>
      </c>
      <c r="G24" t="s">
        <v>19</v>
      </c>
      <c r="H24">
        <v>2</v>
      </c>
      <c r="I24" t="s">
        <v>20</v>
      </c>
      <c r="J24" s="13">
        <v>3.6362696049238051E-2</v>
      </c>
      <c r="K24" s="13">
        <v>4.3581664033486523E-3</v>
      </c>
      <c r="L24">
        <v>814.05685000005178</v>
      </c>
      <c r="M24">
        <f t="shared" si="1"/>
        <v>13.56761416666753</v>
      </c>
      <c r="N24">
        <f t="shared" si="0"/>
        <v>0.22612690277779215</v>
      </c>
      <c r="O24" s="7" t="s">
        <v>45</v>
      </c>
    </row>
    <row r="25" spans="1:15" x14ac:dyDescent="0.3">
      <c r="A25" s="6">
        <v>5</v>
      </c>
      <c r="B25">
        <v>4</v>
      </c>
      <c r="C25">
        <v>1.5</v>
      </c>
      <c r="D25">
        <v>1.5</v>
      </c>
      <c r="E25">
        <v>0.7</v>
      </c>
      <c r="F25">
        <v>25</v>
      </c>
      <c r="G25" t="s">
        <v>22</v>
      </c>
      <c r="H25">
        <v>3</v>
      </c>
      <c r="I25" t="s">
        <v>23</v>
      </c>
      <c r="J25" s="13">
        <v>1.281453147188211E-2</v>
      </c>
      <c r="K25" s="13">
        <v>4.155380038366778E-2</v>
      </c>
      <c r="L25">
        <v>2878.3439883999531</v>
      </c>
      <c r="M25">
        <f t="shared" si="1"/>
        <v>47.972399806665884</v>
      </c>
      <c r="N25">
        <f t="shared" si="0"/>
        <v>0.79953999677776477</v>
      </c>
      <c r="O25" s="7" t="s">
        <v>46</v>
      </c>
    </row>
    <row r="26" spans="1:15" ht="15" thickBot="1" x14ac:dyDescent="0.35">
      <c r="A26" s="8">
        <v>5</v>
      </c>
      <c r="B26" s="9">
        <v>5</v>
      </c>
      <c r="C26" s="9">
        <v>1.5</v>
      </c>
      <c r="D26" s="9">
        <v>1.5</v>
      </c>
      <c r="E26" s="9">
        <v>0.7</v>
      </c>
      <c r="F26" s="9">
        <v>25</v>
      </c>
      <c r="G26" s="9" t="s">
        <v>25</v>
      </c>
      <c r="H26" s="9">
        <v>4</v>
      </c>
      <c r="I26" s="9" t="s">
        <v>26</v>
      </c>
      <c r="J26" s="14">
        <v>1.0589859911840801E-2</v>
      </c>
      <c r="K26" s="14">
        <v>3.6420267736647451E-2</v>
      </c>
      <c r="L26" s="9">
        <v>1210.975941499928</v>
      </c>
      <c r="M26" s="9">
        <f t="shared" si="1"/>
        <v>20.182932358332135</v>
      </c>
      <c r="N26" s="9">
        <f t="shared" si="0"/>
        <v>0.33638220597220225</v>
      </c>
      <c r="O26" s="10" t="s">
        <v>47</v>
      </c>
    </row>
    <row r="27" spans="1:15" x14ac:dyDescent="0.3">
      <c r="A27" s="3">
        <v>6</v>
      </c>
      <c r="B27" s="4">
        <v>1</v>
      </c>
      <c r="C27" s="4">
        <v>1.5</v>
      </c>
      <c r="D27" s="4">
        <v>1.5</v>
      </c>
      <c r="E27" s="4">
        <v>0.7</v>
      </c>
      <c r="F27" s="4">
        <v>30</v>
      </c>
      <c r="G27" s="4" t="s">
        <v>13</v>
      </c>
      <c r="H27" s="4">
        <v>0</v>
      </c>
      <c r="I27" s="4" t="s">
        <v>14</v>
      </c>
      <c r="J27" s="12">
        <v>3.489256247444128E-2</v>
      </c>
      <c r="K27" s="12">
        <v>9.4986091852781868E-3</v>
      </c>
      <c r="L27" s="4">
        <v>1637.567278200062</v>
      </c>
      <c r="M27">
        <f t="shared" si="1"/>
        <v>27.292787970001033</v>
      </c>
      <c r="N27" s="4">
        <f t="shared" si="0"/>
        <v>0.45487979950001722</v>
      </c>
      <c r="O27" s="5" t="s">
        <v>48</v>
      </c>
    </row>
    <row r="28" spans="1:15" x14ac:dyDescent="0.3">
      <c r="A28" s="6">
        <v>6</v>
      </c>
      <c r="B28">
        <v>2</v>
      </c>
      <c r="C28">
        <v>1.5</v>
      </c>
      <c r="D28">
        <v>1.5</v>
      </c>
      <c r="E28">
        <v>0.7</v>
      </c>
      <c r="F28">
        <v>30</v>
      </c>
      <c r="G28" t="s">
        <v>16</v>
      </c>
      <c r="H28">
        <v>1</v>
      </c>
      <c r="I28" t="s">
        <v>17</v>
      </c>
      <c r="J28" s="13">
        <v>3.5113982047452821E-2</v>
      </c>
      <c r="K28" s="13">
        <v>2.6069073081428449E-2</v>
      </c>
      <c r="L28">
        <v>2685.4738559999969</v>
      </c>
      <c r="M28">
        <f t="shared" si="1"/>
        <v>44.75789759999995</v>
      </c>
      <c r="N28">
        <f t="shared" si="0"/>
        <v>0.74596495999999912</v>
      </c>
      <c r="O28" s="7" t="s">
        <v>49</v>
      </c>
    </row>
    <row r="29" spans="1:15" x14ac:dyDescent="0.3">
      <c r="A29" s="6">
        <v>6</v>
      </c>
      <c r="B29">
        <v>3</v>
      </c>
      <c r="C29">
        <v>1.5</v>
      </c>
      <c r="D29">
        <v>1.5</v>
      </c>
      <c r="E29">
        <v>0.7</v>
      </c>
      <c r="F29">
        <v>30</v>
      </c>
      <c r="G29" t="s">
        <v>19</v>
      </c>
      <c r="H29">
        <v>2</v>
      </c>
      <c r="I29" t="s">
        <v>20</v>
      </c>
      <c r="J29" s="13">
        <v>3.7773399072616419E-2</v>
      </c>
      <c r="K29" s="13">
        <v>2.548648720092079E-3</v>
      </c>
      <c r="L29">
        <v>898.16708599985577</v>
      </c>
      <c r="M29">
        <f t="shared" si="1"/>
        <v>14.96945143333093</v>
      </c>
      <c r="N29">
        <f t="shared" si="0"/>
        <v>0.24949085722218217</v>
      </c>
      <c r="O29" s="7" t="s">
        <v>50</v>
      </c>
    </row>
    <row r="30" spans="1:15" x14ac:dyDescent="0.3">
      <c r="A30" s="6">
        <v>6</v>
      </c>
      <c r="B30">
        <v>4</v>
      </c>
      <c r="C30">
        <v>1.5</v>
      </c>
      <c r="D30">
        <v>1.5</v>
      </c>
      <c r="E30">
        <v>0.7</v>
      </c>
      <c r="F30">
        <v>30</v>
      </c>
      <c r="G30" t="s">
        <v>22</v>
      </c>
      <c r="H30">
        <v>3</v>
      </c>
      <c r="I30" t="s">
        <v>23</v>
      </c>
      <c r="J30" s="13">
        <v>2.5136142218850629E-2</v>
      </c>
      <c r="K30" s="13">
        <v>5.1252028769149569E-2</v>
      </c>
      <c r="L30">
        <v>1068.5176041999371</v>
      </c>
      <c r="M30">
        <f t="shared" si="1"/>
        <v>17.808626736665619</v>
      </c>
      <c r="N30">
        <f t="shared" si="0"/>
        <v>0.29681044561109365</v>
      </c>
      <c r="O30" s="7" t="s">
        <v>51</v>
      </c>
    </row>
    <row r="31" spans="1:15" ht="15" thickBot="1" x14ac:dyDescent="0.35">
      <c r="A31" s="8">
        <v>6</v>
      </c>
      <c r="B31" s="9">
        <v>5</v>
      </c>
      <c r="C31" s="9">
        <v>1.5</v>
      </c>
      <c r="D31" s="9">
        <v>1.5</v>
      </c>
      <c r="E31" s="9">
        <v>0.7</v>
      </c>
      <c r="F31" s="9">
        <v>30</v>
      </c>
      <c r="G31" s="9" t="s">
        <v>25</v>
      </c>
      <c r="H31" s="9">
        <v>4</v>
      </c>
      <c r="I31" s="9" t="s">
        <v>26</v>
      </c>
      <c r="J31" s="14">
        <v>2.320372531259755E-2</v>
      </c>
      <c r="K31" s="14">
        <v>1.905174802064059E-2</v>
      </c>
      <c r="L31" s="9">
        <v>6400.633007499855</v>
      </c>
      <c r="M31" s="9">
        <f t="shared" si="1"/>
        <v>106.67721679166425</v>
      </c>
      <c r="N31" s="9">
        <f t="shared" si="0"/>
        <v>1.7779536131944043</v>
      </c>
      <c r="O31" s="10" t="s">
        <v>52</v>
      </c>
    </row>
    <row r="32" spans="1:15" x14ac:dyDescent="0.3">
      <c r="A32" s="3">
        <v>7</v>
      </c>
      <c r="B32" s="4">
        <v>1</v>
      </c>
      <c r="C32" s="4">
        <v>1.5</v>
      </c>
      <c r="D32" s="4">
        <v>1.5</v>
      </c>
      <c r="E32" s="4">
        <v>0.9</v>
      </c>
      <c r="F32" s="4">
        <v>20</v>
      </c>
      <c r="G32" s="4" t="s">
        <v>13</v>
      </c>
      <c r="H32" s="4">
        <v>0</v>
      </c>
      <c r="I32" s="4" t="s">
        <v>14</v>
      </c>
      <c r="J32" s="12">
        <v>3.3607277285332221E-2</v>
      </c>
      <c r="K32" s="12">
        <v>8.1683753676376654E-3</v>
      </c>
      <c r="L32" s="4">
        <v>13793.81056270003</v>
      </c>
      <c r="M32">
        <f t="shared" si="1"/>
        <v>229.89684271166715</v>
      </c>
      <c r="N32" s="4">
        <f t="shared" si="0"/>
        <v>3.8316140451944527</v>
      </c>
      <c r="O32" s="5" t="s">
        <v>58</v>
      </c>
    </row>
    <row r="33" spans="1:15" x14ac:dyDescent="0.3">
      <c r="A33" s="6">
        <v>7</v>
      </c>
      <c r="B33">
        <v>2</v>
      </c>
      <c r="C33">
        <v>1.5</v>
      </c>
      <c r="D33">
        <v>1.5</v>
      </c>
      <c r="E33">
        <v>0.9</v>
      </c>
      <c r="F33">
        <v>20</v>
      </c>
      <c r="G33" t="s">
        <v>16</v>
      </c>
      <c r="H33">
        <v>1</v>
      </c>
      <c r="I33" t="s">
        <v>17</v>
      </c>
      <c r="J33" s="13">
        <v>3.6578111403873827E-2</v>
      </c>
      <c r="K33" s="13">
        <v>1.105345823939813E-2</v>
      </c>
      <c r="L33">
        <v>10496.267442699989</v>
      </c>
      <c r="M33">
        <f t="shared" si="1"/>
        <v>174.93779071166648</v>
      </c>
      <c r="N33">
        <f t="shared" si="0"/>
        <v>2.9156298451944416</v>
      </c>
      <c r="O33" s="7" t="s">
        <v>59</v>
      </c>
    </row>
    <row r="34" spans="1:15" x14ac:dyDescent="0.3">
      <c r="A34" s="6">
        <v>7</v>
      </c>
      <c r="B34">
        <v>3</v>
      </c>
      <c r="C34">
        <v>1.5</v>
      </c>
      <c r="D34">
        <v>1.5</v>
      </c>
      <c r="E34">
        <v>0.9</v>
      </c>
      <c r="F34">
        <v>20</v>
      </c>
      <c r="G34" t="s">
        <v>19</v>
      </c>
      <c r="H34">
        <v>2</v>
      </c>
      <c r="I34" t="s">
        <v>20</v>
      </c>
      <c r="J34" s="13">
        <v>3.003851293461552E-2</v>
      </c>
      <c r="K34" s="13">
        <v>9.6822739482970252E-2</v>
      </c>
      <c r="L34">
        <v>36668.97181820008</v>
      </c>
      <c r="M34">
        <f t="shared" si="1"/>
        <v>611.1495303033347</v>
      </c>
      <c r="N34">
        <f t="shared" si="0"/>
        <v>10.185825505055577</v>
      </c>
      <c r="O34" s="7" t="s">
        <v>60</v>
      </c>
    </row>
    <row r="35" spans="1:15" x14ac:dyDescent="0.3">
      <c r="A35" s="6">
        <v>7</v>
      </c>
      <c r="B35">
        <v>4</v>
      </c>
      <c r="C35">
        <v>1.5</v>
      </c>
      <c r="D35">
        <v>1.5</v>
      </c>
      <c r="E35">
        <v>0.9</v>
      </c>
      <c r="F35">
        <v>20</v>
      </c>
      <c r="G35" t="s">
        <v>22</v>
      </c>
      <c r="H35">
        <v>3</v>
      </c>
      <c r="I35" t="s">
        <v>23</v>
      </c>
      <c r="J35" s="13">
        <v>1.1669068148248951E-2</v>
      </c>
      <c r="K35" s="13">
        <v>3.8859185930349649E-2</v>
      </c>
      <c r="L35">
        <v>4394.9302461000634</v>
      </c>
      <c r="M35">
        <f t="shared" si="1"/>
        <v>73.24883743500105</v>
      </c>
      <c r="N35">
        <f t="shared" si="0"/>
        <v>1.2208139572500176</v>
      </c>
      <c r="O35" s="7" t="s">
        <v>61</v>
      </c>
    </row>
    <row r="36" spans="1:15" ht="15" thickBot="1" x14ac:dyDescent="0.35">
      <c r="A36" s="8">
        <v>7</v>
      </c>
      <c r="B36" s="9">
        <v>5</v>
      </c>
      <c r="C36" s="9">
        <v>1.5</v>
      </c>
      <c r="D36" s="9">
        <v>1.5</v>
      </c>
      <c r="E36" s="9">
        <v>0.9</v>
      </c>
      <c r="F36" s="9">
        <v>20</v>
      </c>
      <c r="G36" s="9" t="s">
        <v>25</v>
      </c>
      <c r="H36" s="9">
        <v>4</v>
      </c>
      <c r="I36" s="9" t="s">
        <v>26</v>
      </c>
      <c r="J36" s="14">
        <v>1.8065215457419199E-2</v>
      </c>
      <c r="K36" s="14">
        <v>3.2534644485929347E-2</v>
      </c>
      <c r="L36" s="9">
        <v>11949.954651300101</v>
      </c>
      <c r="M36" s="9">
        <f t="shared" si="1"/>
        <v>199.16591085500167</v>
      </c>
      <c r="N36" s="9">
        <f t="shared" si="0"/>
        <v>3.3194318475833611</v>
      </c>
      <c r="O36" s="10" t="s">
        <v>62</v>
      </c>
    </row>
    <row r="37" spans="1:15" x14ac:dyDescent="0.3">
      <c r="A37" s="3">
        <v>8</v>
      </c>
      <c r="B37" s="4">
        <v>1</v>
      </c>
      <c r="C37" s="4">
        <v>1.5</v>
      </c>
      <c r="D37" s="4">
        <v>1.5</v>
      </c>
      <c r="E37" s="4">
        <v>0.9</v>
      </c>
      <c r="F37" s="4">
        <v>25</v>
      </c>
      <c r="G37" s="4" t="s">
        <v>13</v>
      </c>
      <c r="H37" s="4">
        <v>0</v>
      </c>
      <c r="I37" s="4" t="s">
        <v>14</v>
      </c>
      <c r="J37" s="12">
        <v>3.5026141383485948E-2</v>
      </c>
      <c r="K37" s="12">
        <v>9.2490421238346741E-3</v>
      </c>
      <c r="L37" s="4">
        <v>15485.989227700051</v>
      </c>
      <c r="M37">
        <f t="shared" si="1"/>
        <v>258.09982046166749</v>
      </c>
      <c r="N37" s="4">
        <f t="shared" si="0"/>
        <v>4.3016636743611256</v>
      </c>
      <c r="O37" s="5" t="s">
        <v>53</v>
      </c>
    </row>
    <row r="38" spans="1:15" x14ac:dyDescent="0.3">
      <c r="A38" s="6">
        <v>8</v>
      </c>
      <c r="B38">
        <v>2</v>
      </c>
      <c r="C38">
        <v>1.5</v>
      </c>
      <c r="D38">
        <v>1.5</v>
      </c>
      <c r="E38">
        <v>0.9</v>
      </c>
      <c r="F38">
        <v>25</v>
      </c>
      <c r="G38" t="s">
        <v>16</v>
      </c>
      <c r="H38">
        <v>1</v>
      </c>
      <c r="I38" t="s">
        <v>17</v>
      </c>
      <c r="J38" s="13">
        <v>3.5164530967729028E-2</v>
      </c>
      <c r="K38" s="13">
        <v>1.6887159468723541E-2</v>
      </c>
      <c r="L38">
        <v>8244.1838620000053</v>
      </c>
      <c r="M38">
        <f t="shared" si="1"/>
        <v>137.40306436666677</v>
      </c>
      <c r="N38">
        <f t="shared" si="0"/>
        <v>2.2900510727777794</v>
      </c>
      <c r="O38" s="7" t="s">
        <v>54</v>
      </c>
    </row>
    <row r="39" spans="1:15" x14ac:dyDescent="0.3">
      <c r="A39" s="6">
        <v>8</v>
      </c>
      <c r="B39">
        <v>3</v>
      </c>
      <c r="C39">
        <v>1.5</v>
      </c>
      <c r="D39">
        <v>1.5</v>
      </c>
      <c r="E39">
        <v>0.9</v>
      </c>
      <c r="F39">
        <v>25</v>
      </c>
      <c r="G39" t="s">
        <v>19</v>
      </c>
      <c r="H39">
        <v>2</v>
      </c>
      <c r="I39" t="s">
        <v>20</v>
      </c>
      <c r="J39" s="13">
        <v>3.0511145187334759E-2</v>
      </c>
      <c r="K39" s="13">
        <v>0.12876312892675071</v>
      </c>
      <c r="L39">
        <v>12150.30876429984</v>
      </c>
      <c r="M39">
        <f t="shared" si="1"/>
        <v>202.505146071664</v>
      </c>
      <c r="N39">
        <f t="shared" si="0"/>
        <v>3.3750857678610666</v>
      </c>
      <c r="O39" s="7" t="s">
        <v>55</v>
      </c>
    </row>
    <row r="40" spans="1:15" x14ac:dyDescent="0.3">
      <c r="A40" s="6">
        <v>8</v>
      </c>
      <c r="B40">
        <v>4</v>
      </c>
      <c r="C40">
        <v>1.5</v>
      </c>
      <c r="D40">
        <v>1.5</v>
      </c>
      <c r="E40">
        <v>0.9</v>
      </c>
      <c r="F40">
        <v>25</v>
      </c>
      <c r="G40" t="s">
        <v>22</v>
      </c>
      <c r="H40">
        <v>3</v>
      </c>
      <c r="I40" t="s">
        <v>23</v>
      </c>
      <c r="J40" s="13">
        <v>1.284917091438151E-2</v>
      </c>
      <c r="K40" s="13">
        <v>3.8922545658453538E-2</v>
      </c>
      <c r="L40">
        <v>9919.3602275999729</v>
      </c>
      <c r="M40">
        <f t="shared" si="1"/>
        <v>165.32267045999956</v>
      </c>
      <c r="N40">
        <f t="shared" si="0"/>
        <v>2.7553778409999925</v>
      </c>
      <c r="O40" s="7" t="s">
        <v>56</v>
      </c>
    </row>
    <row r="41" spans="1:15" ht="15" thickBot="1" x14ac:dyDescent="0.35">
      <c r="A41" s="8">
        <v>8</v>
      </c>
      <c r="B41" s="9">
        <v>5</v>
      </c>
      <c r="C41" s="9">
        <v>1.5</v>
      </c>
      <c r="D41" s="9">
        <v>1.5</v>
      </c>
      <c r="E41" s="9">
        <v>0.9</v>
      </c>
      <c r="F41" s="9">
        <v>25</v>
      </c>
      <c r="G41" s="9" t="s">
        <v>25</v>
      </c>
      <c r="H41" s="9">
        <v>4</v>
      </c>
      <c r="I41" s="9" t="s">
        <v>26</v>
      </c>
      <c r="J41" s="14">
        <v>1.7037181753878521E-2</v>
      </c>
      <c r="K41" s="14">
        <v>3.0621350087310869E-2</v>
      </c>
      <c r="L41" s="9">
        <v>10971.15074689989</v>
      </c>
      <c r="M41" s="9">
        <f t="shared" si="1"/>
        <v>182.85251244833151</v>
      </c>
      <c r="N41" s="9">
        <f t="shared" si="0"/>
        <v>3.0475418741388585</v>
      </c>
      <c r="O41" s="10" t="s">
        <v>57</v>
      </c>
    </row>
    <row r="42" spans="1:15" x14ac:dyDescent="0.3">
      <c r="A42" s="3">
        <v>9</v>
      </c>
      <c r="B42" s="4">
        <v>1</v>
      </c>
      <c r="C42" s="4">
        <v>1.5</v>
      </c>
      <c r="D42" s="4">
        <v>1.5</v>
      </c>
      <c r="E42" s="4">
        <v>0.9</v>
      </c>
      <c r="F42" s="4">
        <v>30</v>
      </c>
      <c r="G42" s="4" t="s">
        <v>13</v>
      </c>
      <c r="H42" s="4">
        <v>0</v>
      </c>
      <c r="I42" s="4" t="s">
        <v>14</v>
      </c>
      <c r="J42" s="12">
        <v>3.371622569255172E-2</v>
      </c>
      <c r="K42" s="12">
        <v>8.0774734854602882E-3</v>
      </c>
      <c r="L42" s="4">
        <v>63383.238834599957</v>
      </c>
      <c r="M42">
        <f t="shared" si="1"/>
        <v>1056.3873139099992</v>
      </c>
      <c r="N42" s="4">
        <f t="shared" si="0"/>
        <v>17.606455231833323</v>
      </c>
      <c r="O42" s="5" t="s">
        <v>63</v>
      </c>
    </row>
    <row r="43" spans="1:15" x14ac:dyDescent="0.3">
      <c r="A43" s="6">
        <v>9</v>
      </c>
      <c r="B43">
        <v>2</v>
      </c>
      <c r="C43">
        <v>1.5</v>
      </c>
      <c r="D43">
        <v>1.5</v>
      </c>
      <c r="E43">
        <v>0.9</v>
      </c>
      <c r="F43">
        <v>30</v>
      </c>
      <c r="G43" t="s">
        <v>16</v>
      </c>
      <c r="H43">
        <v>1</v>
      </c>
      <c r="I43" t="s">
        <v>17</v>
      </c>
      <c r="J43" s="13">
        <v>3.4941336281717653E-2</v>
      </c>
      <c r="K43" s="13">
        <v>1.99072320562542E-2</v>
      </c>
      <c r="L43">
        <v>4558.3188327001408</v>
      </c>
      <c r="M43">
        <f t="shared" si="1"/>
        <v>75.971980545002353</v>
      </c>
      <c r="N43">
        <f t="shared" si="0"/>
        <v>1.2661996757500391</v>
      </c>
      <c r="O43" s="7" t="s">
        <v>64</v>
      </c>
    </row>
    <row r="44" spans="1:15" x14ac:dyDescent="0.3">
      <c r="A44" s="6">
        <v>9</v>
      </c>
      <c r="B44">
        <v>3</v>
      </c>
      <c r="C44">
        <v>1.5</v>
      </c>
      <c r="D44">
        <v>1.5</v>
      </c>
      <c r="E44">
        <v>0.9</v>
      </c>
      <c r="F44">
        <v>30</v>
      </c>
      <c r="G44" t="s">
        <v>19</v>
      </c>
      <c r="H44">
        <v>2</v>
      </c>
      <c r="I44" t="s">
        <v>20</v>
      </c>
      <c r="J44" s="13">
        <v>2.9813026460568451E-2</v>
      </c>
      <c r="K44" s="13">
        <v>8.099305573390593E-2</v>
      </c>
      <c r="L44">
        <v>31630.347274699951</v>
      </c>
      <c r="M44">
        <f t="shared" si="1"/>
        <v>527.17245457833246</v>
      </c>
      <c r="N44">
        <f t="shared" si="0"/>
        <v>8.7862075763055412</v>
      </c>
      <c r="O44" s="7" t="s">
        <v>65</v>
      </c>
    </row>
    <row r="45" spans="1:15" x14ac:dyDescent="0.3">
      <c r="A45" s="6">
        <v>9</v>
      </c>
      <c r="B45">
        <v>4</v>
      </c>
      <c r="C45">
        <v>1.5</v>
      </c>
      <c r="D45">
        <v>1.5</v>
      </c>
      <c r="E45">
        <v>0.9</v>
      </c>
      <c r="F45">
        <v>30</v>
      </c>
      <c r="G45" t="s">
        <v>22</v>
      </c>
      <c r="H45">
        <v>3</v>
      </c>
      <c r="I45" t="s">
        <v>23</v>
      </c>
      <c r="J45" s="13">
        <v>1.1615515221347929E-2</v>
      </c>
      <c r="K45" s="13">
        <v>4.5951852256868868E-2</v>
      </c>
      <c r="L45">
        <v>41609.984549999943</v>
      </c>
      <c r="M45">
        <f t="shared" si="1"/>
        <v>693.499742499999</v>
      </c>
      <c r="N45">
        <f t="shared" si="0"/>
        <v>11.558329041666651</v>
      </c>
      <c r="O45" s="7" t="s">
        <v>66</v>
      </c>
    </row>
    <row r="46" spans="1:15" ht="15" thickBot="1" x14ac:dyDescent="0.35">
      <c r="A46" s="8">
        <v>9</v>
      </c>
      <c r="B46" s="9">
        <v>5</v>
      </c>
      <c r="C46" s="9">
        <v>1.5</v>
      </c>
      <c r="D46" s="9">
        <v>1.5</v>
      </c>
      <c r="E46" s="9">
        <v>0.9</v>
      </c>
      <c r="F46" s="9">
        <v>30</v>
      </c>
      <c r="G46" s="9" t="s">
        <v>25</v>
      </c>
      <c r="H46" s="9">
        <v>4</v>
      </c>
      <c r="I46" s="9" t="s">
        <v>26</v>
      </c>
      <c r="J46" s="14">
        <v>2.320059480895531E-2</v>
      </c>
      <c r="K46" s="14">
        <v>1.859887051125229E-2</v>
      </c>
      <c r="L46" s="9">
        <v>4878.5253316999879</v>
      </c>
      <c r="M46" s="9">
        <f t="shared" si="1"/>
        <v>81.308755528333137</v>
      </c>
      <c r="N46" s="9">
        <f t="shared" si="0"/>
        <v>1.3551459254722189</v>
      </c>
      <c r="O46" s="10" t="s">
        <v>67</v>
      </c>
    </row>
    <row r="50" spans="6:14" x14ac:dyDescent="0.3">
      <c r="F50">
        <v>1</v>
      </c>
      <c r="G50">
        <v>2</v>
      </c>
      <c r="H50" s="11">
        <v>3</v>
      </c>
      <c r="J50">
        <v>4</v>
      </c>
      <c r="K50">
        <v>5</v>
      </c>
      <c r="L50">
        <v>6</v>
      </c>
      <c r="M50" s="22">
        <f>SUM(M2:M6)</f>
        <v>51.16842744499445</v>
      </c>
      <c r="N50">
        <f>SUM(N2:N6)</f>
        <v>0.852807124083241</v>
      </c>
    </row>
    <row r="51" spans="6:14" x14ac:dyDescent="0.3">
      <c r="F51">
        <f>N50+N57</f>
        <v>16.622527354222061</v>
      </c>
      <c r="G51">
        <f>N51+N56</f>
        <v>22.087166670611214</v>
      </c>
      <c r="H51" s="11">
        <f>N52+N58</f>
        <v>42.048479337944499</v>
      </c>
      <c r="J51">
        <f>N53</f>
        <v>1.5059709711389022</v>
      </c>
      <c r="K51">
        <f>N54</f>
        <v>1.8052226546666743</v>
      </c>
      <c r="L51">
        <f>N55</f>
        <v>3.525099675527696</v>
      </c>
      <c r="M51" s="22">
        <f>SUM(M7:M11)</f>
        <v>36.83108822000213</v>
      </c>
      <c r="N51">
        <f>SUM(N7:N11)</f>
        <v>0.61385147033336884</v>
      </c>
    </row>
    <row r="52" spans="6:14" x14ac:dyDescent="0.3">
      <c r="M52" s="22">
        <f>SUM(M12:M16)</f>
        <v>88.568513215003378</v>
      </c>
      <c r="N52">
        <f>SUM(N12:N16)</f>
        <v>1.4761418869167231</v>
      </c>
    </row>
    <row r="53" spans="6:14" x14ac:dyDescent="0.3">
      <c r="M53" s="22">
        <f>SUM(M17:M21)</f>
        <v>90.358258268334126</v>
      </c>
      <c r="N53">
        <f>SUM(N17:N21)</f>
        <v>1.5059709711389022</v>
      </c>
    </row>
    <row r="54" spans="6:14" x14ac:dyDescent="0.3">
      <c r="M54" s="22">
        <f>SUM(M22:M26)</f>
        <v>108.31335928000045</v>
      </c>
      <c r="N54">
        <f>SUM(N22:N26)</f>
        <v>1.8052226546666743</v>
      </c>
    </row>
    <row r="55" spans="6:14" x14ac:dyDescent="0.3">
      <c r="M55" s="22">
        <f>SUM(M27:M31)</f>
        <v>211.50598053166178</v>
      </c>
      <c r="N55">
        <f>SUM(N27:N31)</f>
        <v>3.525099675527696</v>
      </c>
    </row>
    <row r="56" spans="6:14" x14ac:dyDescent="0.3">
      <c r="M56" s="22">
        <f>SUM(M32:M36)</f>
        <v>1288.3989120166709</v>
      </c>
      <c r="N56">
        <f>SUM(N32:N36)</f>
        <v>21.473315200277845</v>
      </c>
    </row>
    <row r="57" spans="6:14" x14ac:dyDescent="0.3">
      <c r="M57" s="22">
        <f>SUM(M37:M41)</f>
        <v>946.18321380832924</v>
      </c>
      <c r="N57">
        <f>SUM(N37:N41)</f>
        <v>15.769720230138821</v>
      </c>
    </row>
    <row r="58" spans="6:14" x14ac:dyDescent="0.3">
      <c r="M58" s="22">
        <f>SUM(M42:M46)</f>
        <v>2434.3402470616661</v>
      </c>
      <c r="N58">
        <f>SUM(N42:N46)</f>
        <v>40.572337451027778</v>
      </c>
    </row>
  </sheetData>
  <autoFilter ref="A1:N1" xr:uid="{00000000-0001-0000-0000-000000000000}">
    <sortState xmlns:xlrd2="http://schemas.microsoft.com/office/spreadsheetml/2017/richdata2" ref="A2:N46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47D-009A-4369-90F2-F0E1815A3792}">
  <dimension ref="A1:J46"/>
  <sheetViews>
    <sheetView workbookViewId="0">
      <selection activeCell="G1" sqref="G1"/>
    </sheetView>
  </sheetViews>
  <sheetFormatPr baseColWidth="10" defaultRowHeight="14.4" x14ac:dyDescent="0.3"/>
  <cols>
    <col min="1" max="1" width="13.88671875" bestFit="1" customWidth="1"/>
    <col min="2" max="2" width="18.6640625" bestFit="1" customWidth="1"/>
    <col min="4" max="4" width="12.33203125" bestFit="1" customWidth="1"/>
    <col min="6" max="8" width="12.44140625" bestFit="1" customWidth="1"/>
    <col min="10" max="10" width="12.44140625" bestFit="1" customWidth="1"/>
  </cols>
  <sheetData>
    <row r="1" spans="1:10" ht="15" thickBot="1" x14ac:dyDescent="0.35">
      <c r="A1" s="16" t="s">
        <v>0</v>
      </c>
      <c r="B1" s="17" t="s">
        <v>9</v>
      </c>
      <c r="C1" s="18" t="s">
        <v>73</v>
      </c>
      <c r="D1" s="19" t="s">
        <v>10</v>
      </c>
      <c r="F1" s="35" t="s">
        <v>0</v>
      </c>
      <c r="G1" s="36" t="s">
        <v>69</v>
      </c>
      <c r="H1" s="36" t="s">
        <v>71</v>
      </c>
      <c r="I1" s="36" t="s">
        <v>70</v>
      </c>
      <c r="J1" s="37" t="s">
        <v>72</v>
      </c>
    </row>
    <row r="2" spans="1:10" x14ac:dyDescent="0.3">
      <c r="A2">
        <v>1</v>
      </c>
      <c r="B2" s="13">
        <v>3.7092048573396118E-2</v>
      </c>
      <c r="C2" s="15">
        <f>B2/4</f>
        <v>9.2730121433490294E-3</v>
      </c>
      <c r="D2" s="13">
        <v>1.172093869167079E-2</v>
      </c>
      <c r="F2" s="32">
        <v>1</v>
      </c>
      <c r="G2" s="33">
        <f>AVERAGE(B2:B6)</f>
        <v>5.4480304603383489E-2</v>
      </c>
      <c r="H2" s="34">
        <f>_xlfn.STDEV.S(B2:B6)</f>
        <v>5.7432180488516803E-2</v>
      </c>
      <c r="I2" s="34">
        <f>AVERAGE(D2:D6)</f>
        <v>3.6972600811190179E-2</v>
      </c>
      <c r="J2" s="34">
        <f>_xlfn.STDEV.S(D2:D6)</f>
        <v>2.2821833575323146E-2</v>
      </c>
    </row>
    <row r="3" spans="1:10" x14ac:dyDescent="0.3">
      <c r="A3">
        <v>1</v>
      </c>
      <c r="B3" s="13">
        <v>0.15599845269902229</v>
      </c>
      <c r="C3" s="15">
        <f t="shared" ref="C3:C46" si="0">B3/4</f>
        <v>3.8999613174755574E-2</v>
      </c>
      <c r="D3" s="13">
        <v>2.2900716883617861E-2</v>
      </c>
      <c r="F3" s="29">
        <v>2</v>
      </c>
      <c r="G3" s="30">
        <f>AVERAGE(B7:B11)</f>
        <v>3.9132291833710704E-2</v>
      </c>
      <c r="H3" s="31">
        <f>_xlfn.STDEV.S(B7:B11)</f>
        <v>1.1042932191310369E-2</v>
      </c>
      <c r="I3" s="31">
        <f>AVERAGE(D7:D11)</f>
        <v>1.3536307887529056E-2</v>
      </c>
      <c r="J3" s="31">
        <f>_xlfn.STDEV.S(D7:D11)</f>
        <v>8.6279411698050139E-3</v>
      </c>
    </row>
    <row r="4" spans="1:10" x14ac:dyDescent="0.3">
      <c r="A4">
        <v>1</v>
      </c>
      <c r="B4" s="13">
        <v>3.1376868445215297E-2</v>
      </c>
      <c r="C4" s="15">
        <f t="shared" si="0"/>
        <v>7.8442171113038243E-3</v>
      </c>
      <c r="D4" s="13">
        <v>7.2078130573927882E-2</v>
      </c>
      <c r="F4" s="29">
        <v>3</v>
      </c>
      <c r="G4" s="30">
        <f>AVERAGE(B12:B16)</f>
        <v>3.2684813425521146E-2</v>
      </c>
      <c r="H4" s="31">
        <f>_xlfn.STDEV.S(B12:B16)</f>
        <v>7.4399354933621627E-3</v>
      </c>
      <c r="I4" s="31">
        <f>AVERAGE(D12:D16)</f>
        <v>1.8614716917176994E-2</v>
      </c>
      <c r="J4" s="31">
        <f>_xlfn.STDEV.S(D12:D16)</f>
        <v>2.3498980955952407E-2</v>
      </c>
    </row>
    <row r="5" spans="1:10" x14ac:dyDescent="0.3">
      <c r="A5">
        <v>1</v>
      </c>
      <c r="B5" s="13">
        <v>3.3704957823215677E-2</v>
      </c>
      <c r="C5" s="15">
        <f t="shared" si="0"/>
        <v>8.4262394558039192E-3</v>
      </c>
      <c r="D5" s="13">
        <v>3.7294720137639167E-2</v>
      </c>
      <c r="F5" s="29">
        <v>4</v>
      </c>
      <c r="G5" s="30">
        <f>AVERAGE(B17:B21)</f>
        <v>2.5482710759610682E-2</v>
      </c>
      <c r="H5" s="31">
        <f>_xlfn.STDEV.S(B17:B21)</f>
        <v>1.3258531139342861E-2</v>
      </c>
      <c r="I5" s="31">
        <f>AVERAGE(D17:D21)</f>
        <v>2.5856802668255303E-2</v>
      </c>
      <c r="J5" s="31">
        <f>_xlfn.STDEV.S(D17:D21)</f>
        <v>1.6379127367476543E-2</v>
      </c>
    </row>
    <row r="6" spans="1:10" ht="15" thickBot="1" x14ac:dyDescent="0.35">
      <c r="A6" s="9">
        <v>1</v>
      </c>
      <c r="B6" s="14">
        <v>1.422919547606802E-2</v>
      </c>
      <c r="C6" s="20">
        <f>B6/4</f>
        <v>3.557298869017005E-3</v>
      </c>
      <c r="D6" s="14">
        <v>4.0868497769095208E-2</v>
      </c>
      <c r="F6" s="29">
        <v>5</v>
      </c>
      <c r="G6" s="30">
        <f>AVERAGE(B22:B26)</f>
        <v>2.6401841783859431E-2</v>
      </c>
      <c r="H6" s="31">
        <f>_xlfn.STDEV.S(B22:B26)</f>
        <v>1.3442279781059763E-2</v>
      </c>
      <c r="I6" s="31">
        <f>AVERAGE(D22:D26)</f>
        <v>1.97138026162944E-2</v>
      </c>
      <c r="J6" s="31">
        <f>_xlfn.STDEV.S(D22:D26)</f>
        <v>1.7939816433876168E-2</v>
      </c>
    </row>
    <row r="7" spans="1:10" x14ac:dyDescent="0.3">
      <c r="A7" s="23">
        <v>2</v>
      </c>
      <c r="B7" s="24">
        <v>4.5608199354003433E-2</v>
      </c>
      <c r="C7" s="25">
        <f t="shared" si="0"/>
        <v>1.1402049838500858E-2</v>
      </c>
      <c r="D7" s="24">
        <v>1.4230563740411991E-3</v>
      </c>
      <c r="F7" s="29">
        <v>6</v>
      </c>
      <c r="G7" s="30">
        <f>AVERAGE(B27:B31)</f>
        <v>3.1223962225191738E-2</v>
      </c>
      <c r="H7" s="31">
        <f>_xlfn.STDEV.S(B27:B31)</f>
        <v>6.5740352445915621E-3</v>
      </c>
      <c r="I7" s="31">
        <f>AVERAGE(D27:D31)</f>
        <v>2.1684021555317776E-2</v>
      </c>
      <c r="J7" s="31">
        <f>_xlfn.STDEV.S(D27:D31)</f>
        <v>1.8808717125419688E-2</v>
      </c>
    </row>
    <row r="8" spans="1:10" x14ac:dyDescent="0.3">
      <c r="A8" s="23">
        <v>2</v>
      </c>
      <c r="B8" s="24">
        <v>5.4571198489538723E-2</v>
      </c>
      <c r="C8" s="25">
        <f t="shared" si="0"/>
        <v>1.3642799622384681E-2</v>
      </c>
      <c r="D8" s="24">
        <v>1.751868723559423E-2</v>
      </c>
      <c r="F8" s="29">
        <v>7</v>
      </c>
      <c r="G8" s="30">
        <f>AVERAGE(B32:B36)</f>
        <v>2.5991637045897943E-2</v>
      </c>
      <c r="H8" s="31">
        <f>_xlfn.STDEV.S(B32:B36)</f>
        <v>1.065847971187097E-2</v>
      </c>
      <c r="I8" s="31">
        <f>AVERAGE(D32:D36)</f>
        <v>3.7487680701257006E-2</v>
      </c>
      <c r="J8" s="31">
        <f>_xlfn.STDEV.S(D32:D36)</f>
        <v>3.5726224882368221E-2</v>
      </c>
    </row>
    <row r="9" spans="1:10" x14ac:dyDescent="0.3">
      <c r="A9" s="23">
        <v>2</v>
      </c>
      <c r="B9" s="24">
        <v>3.742670869175764E-2</v>
      </c>
      <c r="C9" s="25">
        <f t="shared" si="0"/>
        <v>9.3566771729394101E-3</v>
      </c>
      <c r="D9" s="24">
        <v>7.6020497194364727E-3</v>
      </c>
      <c r="F9" s="29">
        <v>8</v>
      </c>
      <c r="G9" s="30">
        <f>AVERAGE(B37:B41)</f>
        <v>2.6117634041361953E-2</v>
      </c>
      <c r="H9" s="31">
        <f>_xlfn.STDEV.S(B37:B41)</f>
        <v>1.047637240112336E-2</v>
      </c>
      <c r="I9" s="31">
        <f>AVERAGE(D37:D41)</f>
        <v>4.488864525301467E-2</v>
      </c>
      <c r="J9" s="31">
        <f>_xlfn.STDEV.S(D37:D41)</f>
        <v>4.8291675226136706E-2</v>
      </c>
    </row>
    <row r="10" spans="1:10" x14ac:dyDescent="0.3">
      <c r="A10" s="23">
        <v>2</v>
      </c>
      <c r="B10" s="24">
        <v>2.859601369462747E-2</v>
      </c>
      <c r="C10" s="25">
        <f t="shared" si="0"/>
        <v>7.1490034236568675E-3</v>
      </c>
      <c r="D10" s="24">
        <v>2.1292026621170669E-2</v>
      </c>
      <c r="F10" s="29">
        <v>9</v>
      </c>
      <c r="G10" s="30">
        <f>AVERAGE(B42:B46)</f>
        <v>2.6657339693028213E-2</v>
      </c>
      <c r="H10" s="31">
        <f>_xlfn.STDEV.S(B42:B46)</f>
        <v>9.5736147645614847E-3</v>
      </c>
      <c r="I10" s="31">
        <f>AVERAGE(D42:D46)</f>
        <v>3.4705696808748313E-2</v>
      </c>
      <c r="J10" s="31">
        <f>_xlfn.STDEV.S(D42:D46)</f>
        <v>2.9395927857413684E-2</v>
      </c>
    </row>
    <row r="11" spans="1:10" ht="15" thickBot="1" x14ac:dyDescent="0.35">
      <c r="A11" s="26">
        <v>2</v>
      </c>
      <c r="B11" s="27">
        <v>2.9459338938626241E-2</v>
      </c>
      <c r="C11" s="28">
        <f t="shared" si="0"/>
        <v>7.3648347346565602E-3</v>
      </c>
      <c r="D11" s="27">
        <v>1.984571948740271E-2</v>
      </c>
    </row>
    <row r="12" spans="1:10" x14ac:dyDescent="0.3">
      <c r="A12" s="3">
        <v>3</v>
      </c>
      <c r="B12" s="12">
        <v>3.9444228917353122E-2</v>
      </c>
      <c r="C12" s="15">
        <f t="shared" si="0"/>
        <v>9.8610572293382805E-3</v>
      </c>
      <c r="D12" s="12">
        <v>2.0886314429709001E-3</v>
      </c>
    </row>
    <row r="13" spans="1:10" x14ac:dyDescent="0.3">
      <c r="A13" s="6">
        <v>3</v>
      </c>
      <c r="B13" s="13">
        <v>3.824192411171274E-2</v>
      </c>
      <c r="C13" s="15">
        <f t="shared" si="0"/>
        <v>9.560481027928185E-3</v>
      </c>
      <c r="D13" s="13">
        <v>1.3718770833639289E-3</v>
      </c>
    </row>
    <row r="14" spans="1:10" x14ac:dyDescent="0.3">
      <c r="A14" s="6">
        <v>3</v>
      </c>
      <c r="B14" s="13">
        <v>3.6339867604532769E-2</v>
      </c>
      <c r="C14" s="15">
        <f t="shared" si="0"/>
        <v>9.0849669011331922E-3</v>
      </c>
      <c r="D14" s="13">
        <v>4.932531901753078E-3</v>
      </c>
    </row>
    <row r="15" spans="1:10" x14ac:dyDescent="0.3">
      <c r="A15" s="6">
        <v>3</v>
      </c>
      <c r="B15" s="13">
        <v>2.610156968288924E-2</v>
      </c>
      <c r="C15" s="15">
        <f t="shared" si="0"/>
        <v>6.5253924207223099E-3</v>
      </c>
      <c r="D15" s="13">
        <v>5.5095178487365157E-2</v>
      </c>
    </row>
    <row r="16" spans="1:10" ht="15" thickBot="1" x14ac:dyDescent="0.35">
      <c r="A16" s="8">
        <v>3</v>
      </c>
      <c r="B16" s="14">
        <v>2.329647681111786E-2</v>
      </c>
      <c r="C16" s="20">
        <f t="shared" si="0"/>
        <v>5.8241192027794651E-3</v>
      </c>
      <c r="D16" s="14">
        <v>2.95853656704319E-2</v>
      </c>
    </row>
    <row r="17" spans="1:4" x14ac:dyDescent="0.3">
      <c r="A17" s="3">
        <v>4</v>
      </c>
      <c r="B17" s="12">
        <v>3.523422680475434E-2</v>
      </c>
      <c r="C17" s="15">
        <f t="shared" si="0"/>
        <v>8.808556701188585E-3</v>
      </c>
      <c r="D17" s="12">
        <v>5.8640441430261392E-3</v>
      </c>
    </row>
    <row r="18" spans="1:4" x14ac:dyDescent="0.3">
      <c r="A18" s="6">
        <v>4</v>
      </c>
      <c r="B18" s="13">
        <v>3.5617895391070138E-2</v>
      </c>
      <c r="C18" s="15">
        <f t="shared" si="0"/>
        <v>8.9044738477675345E-3</v>
      </c>
      <c r="D18" s="13">
        <v>3.3362534037699371E-2</v>
      </c>
    </row>
    <row r="19" spans="1:4" x14ac:dyDescent="0.3">
      <c r="A19" s="6">
        <v>4</v>
      </c>
      <c r="B19" s="13">
        <v>3.4076437192012907E-2</v>
      </c>
      <c r="C19" s="15">
        <f t="shared" si="0"/>
        <v>8.5191092980032267E-3</v>
      </c>
      <c r="D19" s="13">
        <v>1.217945838324665E-2</v>
      </c>
    </row>
    <row r="20" spans="1:4" x14ac:dyDescent="0.3">
      <c r="A20" s="6">
        <v>4</v>
      </c>
      <c r="B20" s="13">
        <v>1.484257088828307E-2</v>
      </c>
      <c r="C20" s="15">
        <f t="shared" si="0"/>
        <v>3.7106427220707674E-3</v>
      </c>
      <c r="D20" s="13">
        <v>3.2317057276615248E-2</v>
      </c>
    </row>
    <row r="21" spans="1:4" ht="15" thickBot="1" x14ac:dyDescent="0.35">
      <c r="A21" s="8">
        <v>4</v>
      </c>
      <c r="B21" s="14">
        <v>7.6424235219329541E-3</v>
      </c>
      <c r="C21" s="20">
        <f t="shared" si="0"/>
        <v>1.9106058804832385E-3</v>
      </c>
      <c r="D21" s="14">
        <v>4.5560919500689107E-2</v>
      </c>
    </row>
    <row r="22" spans="1:4" x14ac:dyDescent="0.3">
      <c r="A22" s="3">
        <v>5</v>
      </c>
      <c r="B22" s="12">
        <v>3.6102106059594671E-2</v>
      </c>
      <c r="C22" s="15">
        <f t="shared" si="0"/>
        <v>9.0255265148986678E-3</v>
      </c>
      <c r="D22" s="12">
        <v>4.4746418264825939E-3</v>
      </c>
    </row>
    <row r="23" spans="1:4" x14ac:dyDescent="0.3">
      <c r="A23" s="6">
        <v>5</v>
      </c>
      <c r="B23" s="13">
        <v>3.6140015426741529E-2</v>
      </c>
      <c r="C23" s="15">
        <f t="shared" si="0"/>
        <v>9.0350038566853821E-3</v>
      </c>
      <c r="D23" s="13">
        <v>1.1762136731325531E-2</v>
      </c>
    </row>
    <row r="24" spans="1:4" x14ac:dyDescent="0.3">
      <c r="A24" s="6">
        <v>5</v>
      </c>
      <c r="B24" s="13">
        <v>3.6362696049238051E-2</v>
      </c>
      <c r="C24" s="15">
        <f t="shared" si="0"/>
        <v>9.0906740123095128E-3</v>
      </c>
      <c r="D24" s="13">
        <v>4.3581664033486523E-3</v>
      </c>
    </row>
    <row r="25" spans="1:4" x14ac:dyDescent="0.3">
      <c r="A25" s="6">
        <v>5</v>
      </c>
      <c r="B25" s="13">
        <v>1.281453147188211E-2</v>
      </c>
      <c r="C25" s="15">
        <f t="shared" si="0"/>
        <v>3.2036328679705276E-3</v>
      </c>
      <c r="D25" s="13">
        <v>4.155380038366778E-2</v>
      </c>
    </row>
    <row r="26" spans="1:4" ht="15" thickBot="1" x14ac:dyDescent="0.35">
      <c r="A26" s="8">
        <v>5</v>
      </c>
      <c r="B26" s="14">
        <v>1.0589859911840801E-2</v>
      </c>
      <c r="C26" s="20">
        <f t="shared" si="0"/>
        <v>2.6474649779602002E-3</v>
      </c>
      <c r="D26" s="14">
        <v>3.6420267736647451E-2</v>
      </c>
    </row>
    <row r="27" spans="1:4" x14ac:dyDescent="0.3">
      <c r="A27" s="3">
        <v>6</v>
      </c>
      <c r="B27" s="12">
        <v>3.489256247444128E-2</v>
      </c>
      <c r="C27" s="15">
        <f t="shared" si="0"/>
        <v>8.72314061861032E-3</v>
      </c>
      <c r="D27" s="12">
        <v>9.4986091852781868E-3</v>
      </c>
    </row>
    <row r="28" spans="1:4" x14ac:dyDescent="0.3">
      <c r="A28" s="6">
        <v>6</v>
      </c>
      <c r="B28" s="13">
        <v>3.5113982047452821E-2</v>
      </c>
      <c r="C28" s="15">
        <f t="shared" si="0"/>
        <v>8.7784955118632053E-3</v>
      </c>
      <c r="D28" s="13">
        <v>2.6069073081428449E-2</v>
      </c>
    </row>
    <row r="29" spans="1:4" x14ac:dyDescent="0.3">
      <c r="A29" s="6">
        <v>6</v>
      </c>
      <c r="B29" s="13">
        <v>3.7773399072616419E-2</v>
      </c>
      <c r="C29" s="15">
        <f t="shared" si="0"/>
        <v>9.4433497681541047E-3</v>
      </c>
      <c r="D29" s="13">
        <v>2.548648720092079E-3</v>
      </c>
    </row>
    <row r="30" spans="1:4" x14ac:dyDescent="0.3">
      <c r="A30" s="6">
        <v>6</v>
      </c>
      <c r="B30" s="13">
        <v>2.5136142218850629E-2</v>
      </c>
      <c r="C30" s="15">
        <f t="shared" si="0"/>
        <v>6.2840355547126572E-3</v>
      </c>
      <c r="D30" s="13">
        <v>5.1252028769149569E-2</v>
      </c>
    </row>
    <row r="31" spans="1:4" ht="15" thickBot="1" x14ac:dyDescent="0.35">
      <c r="A31" s="8">
        <v>6</v>
      </c>
      <c r="B31" s="14">
        <v>2.320372531259755E-2</v>
      </c>
      <c r="C31" s="20">
        <f t="shared" si="0"/>
        <v>5.8009313281493875E-3</v>
      </c>
      <c r="D31" s="14">
        <v>1.905174802064059E-2</v>
      </c>
    </row>
    <row r="32" spans="1:4" x14ac:dyDescent="0.3">
      <c r="A32" s="3">
        <v>7</v>
      </c>
      <c r="B32" s="12">
        <v>3.3607277285332221E-2</v>
      </c>
      <c r="C32" s="15">
        <f t="shared" si="0"/>
        <v>8.4018193213330553E-3</v>
      </c>
      <c r="D32" s="12">
        <v>8.1683753676376654E-3</v>
      </c>
    </row>
    <row r="33" spans="1:4" x14ac:dyDescent="0.3">
      <c r="A33" s="6">
        <v>7</v>
      </c>
      <c r="B33" s="13">
        <v>3.6578111403873827E-2</v>
      </c>
      <c r="C33" s="15">
        <f t="shared" si="0"/>
        <v>9.1445278509684567E-3</v>
      </c>
      <c r="D33" s="13">
        <v>1.105345823939813E-2</v>
      </c>
    </row>
    <row r="34" spans="1:4" x14ac:dyDescent="0.3">
      <c r="A34" s="6">
        <v>7</v>
      </c>
      <c r="B34" s="13">
        <v>3.003851293461552E-2</v>
      </c>
      <c r="C34" s="15">
        <f t="shared" si="0"/>
        <v>7.5096282336538801E-3</v>
      </c>
      <c r="D34" s="13">
        <v>9.6822739482970252E-2</v>
      </c>
    </row>
    <row r="35" spans="1:4" x14ac:dyDescent="0.3">
      <c r="A35" s="6">
        <v>7</v>
      </c>
      <c r="B35" s="13">
        <v>1.1669068148248951E-2</v>
      </c>
      <c r="C35" s="15">
        <f t="shared" si="0"/>
        <v>2.9172670370622377E-3</v>
      </c>
      <c r="D35" s="13">
        <v>3.8859185930349649E-2</v>
      </c>
    </row>
    <row r="36" spans="1:4" ht="15" thickBot="1" x14ac:dyDescent="0.35">
      <c r="A36" s="8">
        <v>7</v>
      </c>
      <c r="B36" s="14">
        <v>1.8065215457419199E-2</v>
      </c>
      <c r="C36" s="20">
        <f t="shared" si="0"/>
        <v>4.5163038643547997E-3</v>
      </c>
      <c r="D36" s="14">
        <v>3.2534644485929347E-2</v>
      </c>
    </row>
    <row r="37" spans="1:4" x14ac:dyDescent="0.3">
      <c r="A37" s="3">
        <v>8</v>
      </c>
      <c r="B37" s="12">
        <v>3.5026141383485948E-2</v>
      </c>
      <c r="C37" s="15">
        <f t="shared" si="0"/>
        <v>8.756535345871487E-3</v>
      </c>
      <c r="D37" s="12">
        <v>9.2490421238346741E-3</v>
      </c>
    </row>
    <row r="38" spans="1:4" x14ac:dyDescent="0.3">
      <c r="A38" s="6">
        <v>8</v>
      </c>
      <c r="B38" s="13">
        <v>3.5164530967729028E-2</v>
      </c>
      <c r="C38" s="15">
        <f t="shared" si="0"/>
        <v>8.7911327419322571E-3</v>
      </c>
      <c r="D38" s="13">
        <v>1.6887159468723541E-2</v>
      </c>
    </row>
    <row r="39" spans="1:4" x14ac:dyDescent="0.3">
      <c r="A39" s="6">
        <v>8</v>
      </c>
      <c r="B39" s="13">
        <v>3.0511145187334759E-2</v>
      </c>
      <c r="C39" s="15">
        <f t="shared" si="0"/>
        <v>7.6277862968336897E-3</v>
      </c>
      <c r="D39" s="13">
        <v>0.12876312892675071</v>
      </c>
    </row>
    <row r="40" spans="1:4" x14ac:dyDescent="0.3">
      <c r="A40" s="6">
        <v>8</v>
      </c>
      <c r="B40" s="13">
        <v>1.284917091438151E-2</v>
      </c>
      <c r="C40" s="15">
        <f t="shared" si="0"/>
        <v>3.2122927285953774E-3</v>
      </c>
      <c r="D40" s="13">
        <v>3.8922545658453538E-2</v>
      </c>
    </row>
    <row r="41" spans="1:4" ht="15" thickBot="1" x14ac:dyDescent="0.35">
      <c r="A41" s="8">
        <v>8</v>
      </c>
      <c r="B41" s="14">
        <v>1.7037181753878521E-2</v>
      </c>
      <c r="C41" s="20">
        <f t="shared" si="0"/>
        <v>4.2592954384696301E-3</v>
      </c>
      <c r="D41" s="14">
        <v>3.0621350087310869E-2</v>
      </c>
    </row>
    <row r="42" spans="1:4" x14ac:dyDescent="0.3">
      <c r="A42" s="3">
        <v>9</v>
      </c>
      <c r="B42" s="12">
        <v>3.371622569255172E-2</v>
      </c>
      <c r="C42" s="15">
        <f t="shared" si="0"/>
        <v>8.42905642313793E-3</v>
      </c>
      <c r="D42" s="12">
        <v>8.0774734854602882E-3</v>
      </c>
    </row>
    <row r="43" spans="1:4" x14ac:dyDescent="0.3">
      <c r="A43" s="6">
        <v>9</v>
      </c>
      <c r="B43" s="13">
        <v>3.4941336281717653E-2</v>
      </c>
      <c r="C43" s="15">
        <f t="shared" si="0"/>
        <v>8.7353340704294132E-3</v>
      </c>
      <c r="D43" s="13">
        <v>1.99072320562542E-2</v>
      </c>
    </row>
    <row r="44" spans="1:4" x14ac:dyDescent="0.3">
      <c r="A44" s="6">
        <v>9</v>
      </c>
      <c r="B44" s="13">
        <v>2.9813026460568451E-2</v>
      </c>
      <c r="C44" s="15">
        <f t="shared" si="0"/>
        <v>7.4532566151421127E-3</v>
      </c>
      <c r="D44" s="13">
        <v>8.099305573390593E-2</v>
      </c>
    </row>
    <row r="45" spans="1:4" x14ac:dyDescent="0.3">
      <c r="A45" s="6">
        <v>9</v>
      </c>
      <c r="B45" s="13">
        <v>1.1615515221347929E-2</v>
      </c>
      <c r="C45" s="15">
        <f t="shared" si="0"/>
        <v>2.9038788053369824E-3</v>
      </c>
      <c r="D45" s="13">
        <v>4.5951852256868868E-2</v>
      </c>
    </row>
    <row r="46" spans="1:4" ht="15" thickBot="1" x14ac:dyDescent="0.35">
      <c r="A46" s="8">
        <v>9</v>
      </c>
      <c r="B46" s="14">
        <v>2.320059480895531E-2</v>
      </c>
      <c r="C46" s="20">
        <f t="shared" si="0"/>
        <v>5.8001487022388276E-3</v>
      </c>
      <c r="D46" s="14">
        <v>1.859887051125229E-2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FCF6-B8A1-4319-BED9-8CE9D116E0E9}">
  <dimension ref="A1:J46"/>
  <sheetViews>
    <sheetView tabSelected="1" workbookViewId="0">
      <selection activeCell="P28" sqref="P28"/>
    </sheetView>
  </sheetViews>
  <sheetFormatPr baseColWidth="10" defaultRowHeight="14.4" x14ac:dyDescent="0.3"/>
  <cols>
    <col min="1" max="1" width="13.88671875" bestFit="1" customWidth="1"/>
    <col min="2" max="2" width="18.6640625" bestFit="1" customWidth="1"/>
    <col min="4" max="4" width="12.33203125" bestFit="1" customWidth="1"/>
    <col min="6" max="8" width="12.44140625" bestFit="1" customWidth="1"/>
    <col min="10" max="10" width="12.44140625" bestFit="1" customWidth="1"/>
  </cols>
  <sheetData>
    <row r="1" spans="1:10" ht="15" thickBot="1" x14ac:dyDescent="0.35">
      <c r="A1" s="16" t="s">
        <v>0</v>
      </c>
      <c r="B1" s="17" t="s">
        <v>9</v>
      </c>
      <c r="C1" s="18" t="s">
        <v>73</v>
      </c>
      <c r="D1" s="19" t="s">
        <v>10</v>
      </c>
      <c r="F1" s="35" t="s">
        <v>0</v>
      </c>
      <c r="G1" s="36" t="s">
        <v>69</v>
      </c>
      <c r="H1" s="36" t="s">
        <v>71</v>
      </c>
      <c r="I1" s="36" t="s">
        <v>70</v>
      </c>
      <c r="J1" s="37" t="s">
        <v>72</v>
      </c>
    </row>
    <row r="2" spans="1:10" x14ac:dyDescent="0.3">
      <c r="A2">
        <v>1</v>
      </c>
      <c r="B2" s="13">
        <v>3.7092048573396118E-2</v>
      </c>
      <c r="C2" s="15">
        <f>B2/4</f>
        <v>9.2730121433490294E-3</v>
      </c>
      <c r="D2" s="13">
        <v>1.172093869167079E-2</v>
      </c>
      <c r="F2" s="32">
        <v>1</v>
      </c>
      <c r="G2" s="33">
        <f>AVERAGE(B2:B6)</f>
        <v>5.4480304603383489E-2</v>
      </c>
      <c r="H2" s="34">
        <f>_xlfn.STDEV.S(B2:B6)</f>
        <v>5.7432180488516803E-2</v>
      </c>
      <c r="I2" s="34">
        <f>AVERAGE(D2:D6)</f>
        <v>3.6972600811190179E-2</v>
      </c>
      <c r="J2" s="34">
        <f>_xlfn.STDEV.S(D2:D6)</f>
        <v>2.2821833575323146E-2</v>
      </c>
    </row>
    <row r="3" spans="1:10" x14ac:dyDescent="0.3">
      <c r="A3">
        <v>1</v>
      </c>
      <c r="B3" s="13">
        <v>0.15599845269902229</v>
      </c>
      <c r="C3" s="15">
        <f t="shared" ref="C3:C46" si="0">B3/4</f>
        <v>3.8999613174755574E-2</v>
      </c>
      <c r="D3" s="13">
        <v>2.2900716883617861E-2</v>
      </c>
      <c r="F3" s="29">
        <v>2</v>
      </c>
      <c r="G3" s="30">
        <f>AVERAGE(B7:B11)</f>
        <v>3.9132291833710704E-2</v>
      </c>
      <c r="H3" s="31">
        <f>_xlfn.STDEV.S(B7:B11)</f>
        <v>1.1042932191310369E-2</v>
      </c>
      <c r="I3" s="31">
        <f>AVERAGE(D7:D11)</f>
        <v>1.3536307887529056E-2</v>
      </c>
      <c r="J3" s="31">
        <f>_xlfn.STDEV.S(D7:D11)</f>
        <v>8.6279411698050139E-3</v>
      </c>
    </row>
    <row r="4" spans="1:10" x14ac:dyDescent="0.3">
      <c r="A4">
        <v>1</v>
      </c>
      <c r="B4" s="13">
        <v>3.1376868445215297E-2</v>
      </c>
      <c r="C4" s="15">
        <f t="shared" si="0"/>
        <v>7.8442171113038243E-3</v>
      </c>
      <c r="D4" s="13">
        <v>7.2078130573927882E-2</v>
      </c>
      <c r="F4" s="29">
        <v>3</v>
      </c>
      <c r="G4" s="30">
        <f>AVERAGE(B12:B16)</f>
        <v>3.2684813425521146E-2</v>
      </c>
      <c r="H4" s="31">
        <f>_xlfn.STDEV.S(B12:B16)</f>
        <v>7.4399354933621627E-3</v>
      </c>
      <c r="I4" s="31">
        <f>AVERAGE(D12:D16)</f>
        <v>1.8614716917176994E-2</v>
      </c>
      <c r="J4" s="31">
        <f>_xlfn.STDEV.S(D12:D16)</f>
        <v>2.3498980955952407E-2</v>
      </c>
    </row>
    <row r="5" spans="1:10" x14ac:dyDescent="0.3">
      <c r="A5">
        <v>1</v>
      </c>
      <c r="B5" s="13">
        <v>3.3704957823215677E-2</v>
      </c>
      <c r="C5" s="15">
        <f t="shared" si="0"/>
        <v>8.4262394558039192E-3</v>
      </c>
      <c r="D5" s="13">
        <v>3.7294720137639167E-2</v>
      </c>
      <c r="F5" s="29">
        <v>4</v>
      </c>
      <c r="G5" s="30">
        <f>AVERAGE(B17:B21)</f>
        <v>2.5482710759610682E-2</v>
      </c>
      <c r="H5" s="31">
        <f>_xlfn.STDEV.S(B17:B21)</f>
        <v>1.3258531139342861E-2</v>
      </c>
      <c r="I5" s="31">
        <f>AVERAGE(D17:D21)</f>
        <v>2.5856802668255303E-2</v>
      </c>
      <c r="J5" s="31">
        <f>_xlfn.STDEV.S(D17:D21)</f>
        <v>1.6379127367476543E-2</v>
      </c>
    </row>
    <row r="6" spans="1:10" ht="15" thickBot="1" x14ac:dyDescent="0.35">
      <c r="A6" s="9">
        <v>1</v>
      </c>
      <c r="B6" s="14">
        <v>1.422919547606802E-2</v>
      </c>
      <c r="C6" s="20">
        <f>B6/4</f>
        <v>3.557298869017005E-3</v>
      </c>
      <c r="D6" s="14">
        <v>4.0868497769095208E-2</v>
      </c>
      <c r="F6" s="29">
        <v>5</v>
      </c>
      <c r="G6" s="30">
        <f>AVERAGE(B22:B26)</f>
        <v>2.6401841783859431E-2</v>
      </c>
      <c r="H6" s="31">
        <f>_xlfn.STDEV.S(B22:B26)</f>
        <v>1.3442279781059763E-2</v>
      </c>
      <c r="I6" s="31">
        <f>AVERAGE(D22:D26)</f>
        <v>1.97138026162944E-2</v>
      </c>
      <c r="J6" s="31">
        <f>_xlfn.STDEV.S(D22:D26)</f>
        <v>1.7939816433876168E-2</v>
      </c>
    </row>
    <row r="7" spans="1:10" x14ac:dyDescent="0.3">
      <c r="A7" s="23">
        <v>2</v>
      </c>
      <c r="B7" s="24">
        <v>4.5608199354003433E-2</v>
      </c>
      <c r="C7" s="25">
        <f t="shared" si="0"/>
        <v>1.1402049838500858E-2</v>
      </c>
      <c r="D7" s="24">
        <v>1.4230563740411991E-3</v>
      </c>
      <c r="F7" s="29">
        <v>6</v>
      </c>
      <c r="G7" s="30">
        <f>AVERAGE(B27:B31)</f>
        <v>3.1223962225191738E-2</v>
      </c>
      <c r="H7" s="31">
        <f>_xlfn.STDEV.S(B27:B31)</f>
        <v>6.5740352445915621E-3</v>
      </c>
      <c r="I7" s="31">
        <f>AVERAGE(D27:D31)</f>
        <v>2.1684021555317776E-2</v>
      </c>
      <c r="J7" s="31">
        <f>_xlfn.STDEV.S(D27:D31)</f>
        <v>1.8808717125419688E-2</v>
      </c>
    </row>
    <row r="8" spans="1:10" x14ac:dyDescent="0.3">
      <c r="A8" s="23">
        <v>2</v>
      </c>
      <c r="B8" s="24">
        <v>5.4571198489538723E-2</v>
      </c>
      <c r="C8" s="25">
        <f t="shared" si="0"/>
        <v>1.3642799622384681E-2</v>
      </c>
      <c r="D8" s="24">
        <v>1.751868723559423E-2</v>
      </c>
      <c r="F8" s="29">
        <v>7</v>
      </c>
      <c r="G8" s="30">
        <f>AVERAGE(B32:B36)</f>
        <v>2.5991637045897943E-2</v>
      </c>
      <c r="H8" s="31">
        <f>_xlfn.STDEV.S(B32:B36)</f>
        <v>1.065847971187097E-2</v>
      </c>
      <c r="I8" s="31">
        <f>AVERAGE(D32:D36)</f>
        <v>3.7487680701257006E-2</v>
      </c>
      <c r="J8" s="31">
        <f>_xlfn.STDEV.S(D32:D36)</f>
        <v>3.5726224882368221E-2</v>
      </c>
    </row>
    <row r="9" spans="1:10" x14ac:dyDescent="0.3">
      <c r="A9" s="23">
        <v>2</v>
      </c>
      <c r="B9" s="24">
        <v>3.742670869175764E-2</v>
      </c>
      <c r="C9" s="25">
        <f t="shared" si="0"/>
        <v>9.3566771729394101E-3</v>
      </c>
      <c r="D9" s="24">
        <v>7.6020497194364727E-3</v>
      </c>
      <c r="F9" s="29">
        <v>8</v>
      </c>
      <c r="G9" s="30">
        <f>AVERAGE(B37:B41)</f>
        <v>2.6117634041361953E-2</v>
      </c>
      <c r="H9" s="31">
        <f>_xlfn.STDEV.S(B37:B41)</f>
        <v>1.047637240112336E-2</v>
      </c>
      <c r="I9" s="31">
        <f>AVERAGE(D37:D41)</f>
        <v>4.488864525301467E-2</v>
      </c>
      <c r="J9" s="31">
        <f>_xlfn.STDEV.S(D37:D41)</f>
        <v>4.8291675226136706E-2</v>
      </c>
    </row>
    <row r="10" spans="1:10" x14ac:dyDescent="0.3">
      <c r="A10" s="23">
        <v>2</v>
      </c>
      <c r="B10" s="24">
        <v>2.859601369462747E-2</v>
      </c>
      <c r="C10" s="25">
        <f t="shared" si="0"/>
        <v>7.1490034236568675E-3</v>
      </c>
      <c r="D10" s="24">
        <v>2.1292026621170669E-2</v>
      </c>
      <c r="F10" s="29">
        <v>9</v>
      </c>
      <c r="G10" s="30">
        <f>AVERAGE(B42:B46)</f>
        <v>2.6657339693028213E-2</v>
      </c>
      <c r="H10" s="31">
        <f>_xlfn.STDEV.S(B42:B46)</f>
        <v>9.5736147645614847E-3</v>
      </c>
      <c r="I10" s="31">
        <f>AVERAGE(D42:D46)</f>
        <v>3.4705696808748313E-2</v>
      </c>
      <c r="J10" s="31">
        <f>_xlfn.STDEV.S(D42:D46)</f>
        <v>2.9395927857413684E-2</v>
      </c>
    </row>
    <row r="11" spans="1:10" ht="15" thickBot="1" x14ac:dyDescent="0.35">
      <c r="A11" s="26">
        <v>2</v>
      </c>
      <c r="B11" s="27">
        <v>2.9459338938626241E-2</v>
      </c>
      <c r="C11" s="28">
        <f t="shared" si="0"/>
        <v>7.3648347346565602E-3</v>
      </c>
      <c r="D11" s="27">
        <v>1.984571948740271E-2</v>
      </c>
    </row>
    <row r="12" spans="1:10" x14ac:dyDescent="0.3">
      <c r="A12" s="3">
        <v>3</v>
      </c>
      <c r="B12" s="12">
        <v>3.9444228917353122E-2</v>
      </c>
      <c r="C12" s="15">
        <f t="shared" si="0"/>
        <v>9.8610572293382805E-3</v>
      </c>
      <c r="D12" s="12">
        <v>2.0886314429709001E-3</v>
      </c>
    </row>
    <row r="13" spans="1:10" x14ac:dyDescent="0.3">
      <c r="A13" s="6">
        <v>3</v>
      </c>
      <c r="B13" s="13">
        <v>3.824192411171274E-2</v>
      </c>
      <c r="C13" s="15">
        <f t="shared" si="0"/>
        <v>9.560481027928185E-3</v>
      </c>
      <c r="D13" s="13">
        <v>1.3718770833639289E-3</v>
      </c>
    </row>
    <row r="14" spans="1:10" x14ac:dyDescent="0.3">
      <c r="A14" s="6">
        <v>3</v>
      </c>
      <c r="B14" s="13">
        <v>3.6339867604532769E-2</v>
      </c>
      <c r="C14" s="15">
        <f t="shared" si="0"/>
        <v>9.0849669011331922E-3</v>
      </c>
      <c r="D14" s="13">
        <v>4.932531901753078E-3</v>
      </c>
    </row>
    <row r="15" spans="1:10" x14ac:dyDescent="0.3">
      <c r="A15" s="6">
        <v>3</v>
      </c>
      <c r="B15" s="13">
        <v>2.610156968288924E-2</v>
      </c>
      <c r="C15" s="15">
        <f t="shared" si="0"/>
        <v>6.5253924207223099E-3</v>
      </c>
      <c r="D15" s="13">
        <v>5.5095178487365157E-2</v>
      </c>
    </row>
    <row r="16" spans="1:10" ht="15" thickBot="1" x14ac:dyDescent="0.35">
      <c r="A16" s="8">
        <v>3</v>
      </c>
      <c r="B16" s="14">
        <v>2.329647681111786E-2</v>
      </c>
      <c r="C16" s="20">
        <f t="shared" si="0"/>
        <v>5.8241192027794651E-3</v>
      </c>
      <c r="D16" s="14">
        <v>2.95853656704319E-2</v>
      </c>
    </row>
    <row r="17" spans="1:4" x14ac:dyDescent="0.3">
      <c r="A17" s="3">
        <v>4</v>
      </c>
      <c r="B17" s="12">
        <v>3.523422680475434E-2</v>
      </c>
      <c r="C17" s="15">
        <f t="shared" si="0"/>
        <v>8.808556701188585E-3</v>
      </c>
      <c r="D17" s="12">
        <v>5.8640441430261392E-3</v>
      </c>
    </row>
    <row r="18" spans="1:4" x14ac:dyDescent="0.3">
      <c r="A18" s="6">
        <v>4</v>
      </c>
      <c r="B18" s="13">
        <v>3.5617895391070138E-2</v>
      </c>
      <c r="C18" s="15">
        <f t="shared" si="0"/>
        <v>8.9044738477675345E-3</v>
      </c>
      <c r="D18" s="13">
        <v>3.3362534037699371E-2</v>
      </c>
    </row>
    <row r="19" spans="1:4" x14ac:dyDescent="0.3">
      <c r="A19" s="6">
        <v>4</v>
      </c>
      <c r="B19" s="13">
        <v>3.4076437192012907E-2</v>
      </c>
      <c r="C19" s="15">
        <f t="shared" si="0"/>
        <v>8.5191092980032267E-3</v>
      </c>
      <c r="D19" s="13">
        <v>1.217945838324665E-2</v>
      </c>
    </row>
    <row r="20" spans="1:4" x14ac:dyDescent="0.3">
      <c r="A20" s="6">
        <v>4</v>
      </c>
      <c r="B20" s="13">
        <v>1.484257088828307E-2</v>
      </c>
      <c r="C20" s="15">
        <f t="shared" si="0"/>
        <v>3.7106427220707674E-3</v>
      </c>
      <c r="D20" s="13">
        <v>3.2317057276615248E-2</v>
      </c>
    </row>
    <row r="21" spans="1:4" ht="15" thickBot="1" x14ac:dyDescent="0.35">
      <c r="A21" s="8">
        <v>4</v>
      </c>
      <c r="B21" s="14">
        <v>7.6424235219329541E-3</v>
      </c>
      <c r="C21" s="20">
        <f t="shared" si="0"/>
        <v>1.9106058804832385E-3</v>
      </c>
      <c r="D21" s="14">
        <v>4.5560919500689107E-2</v>
      </c>
    </row>
    <row r="22" spans="1:4" x14ac:dyDescent="0.3">
      <c r="A22" s="3">
        <v>5</v>
      </c>
      <c r="B22" s="12">
        <v>3.6102106059594671E-2</v>
      </c>
      <c r="C22" s="15">
        <f t="shared" si="0"/>
        <v>9.0255265148986678E-3</v>
      </c>
      <c r="D22" s="12">
        <v>4.4746418264825939E-3</v>
      </c>
    </row>
    <row r="23" spans="1:4" x14ac:dyDescent="0.3">
      <c r="A23" s="6">
        <v>5</v>
      </c>
      <c r="B23" s="13">
        <v>3.6140015426741529E-2</v>
      </c>
      <c r="C23" s="15">
        <f t="shared" si="0"/>
        <v>9.0350038566853821E-3</v>
      </c>
      <c r="D23" s="13">
        <v>1.1762136731325531E-2</v>
      </c>
    </row>
    <row r="24" spans="1:4" x14ac:dyDescent="0.3">
      <c r="A24" s="6">
        <v>5</v>
      </c>
      <c r="B24" s="13">
        <v>3.6362696049238051E-2</v>
      </c>
      <c r="C24" s="15">
        <f t="shared" si="0"/>
        <v>9.0906740123095128E-3</v>
      </c>
      <c r="D24" s="13">
        <v>4.3581664033486523E-3</v>
      </c>
    </row>
    <row r="25" spans="1:4" x14ac:dyDescent="0.3">
      <c r="A25" s="6">
        <v>5</v>
      </c>
      <c r="B25" s="13">
        <v>1.281453147188211E-2</v>
      </c>
      <c r="C25" s="15">
        <f t="shared" si="0"/>
        <v>3.2036328679705276E-3</v>
      </c>
      <c r="D25" s="13">
        <v>4.155380038366778E-2</v>
      </c>
    </row>
    <row r="26" spans="1:4" ht="15" thickBot="1" x14ac:dyDescent="0.35">
      <c r="A26" s="8">
        <v>5</v>
      </c>
      <c r="B26" s="14">
        <v>1.0589859911840801E-2</v>
      </c>
      <c r="C26" s="20">
        <f t="shared" si="0"/>
        <v>2.6474649779602002E-3</v>
      </c>
      <c r="D26" s="14">
        <v>3.6420267736647451E-2</v>
      </c>
    </row>
    <row r="27" spans="1:4" x14ac:dyDescent="0.3">
      <c r="A27" s="3">
        <v>6</v>
      </c>
      <c r="B27" s="12">
        <v>3.489256247444128E-2</v>
      </c>
      <c r="C27" s="15">
        <f t="shared" si="0"/>
        <v>8.72314061861032E-3</v>
      </c>
      <c r="D27" s="12">
        <v>9.4986091852781868E-3</v>
      </c>
    </row>
    <row r="28" spans="1:4" x14ac:dyDescent="0.3">
      <c r="A28" s="6">
        <v>6</v>
      </c>
      <c r="B28" s="13">
        <v>3.5113982047452821E-2</v>
      </c>
      <c r="C28" s="15">
        <f t="shared" si="0"/>
        <v>8.7784955118632053E-3</v>
      </c>
      <c r="D28" s="13">
        <v>2.6069073081428449E-2</v>
      </c>
    </row>
    <row r="29" spans="1:4" x14ac:dyDescent="0.3">
      <c r="A29" s="6">
        <v>6</v>
      </c>
      <c r="B29" s="13">
        <v>3.7773399072616419E-2</v>
      </c>
      <c r="C29" s="15">
        <f t="shared" si="0"/>
        <v>9.4433497681541047E-3</v>
      </c>
      <c r="D29" s="13">
        <v>2.548648720092079E-3</v>
      </c>
    </row>
    <row r="30" spans="1:4" x14ac:dyDescent="0.3">
      <c r="A30" s="6">
        <v>6</v>
      </c>
      <c r="B30" s="13">
        <v>2.5136142218850629E-2</v>
      </c>
      <c r="C30" s="15">
        <f t="shared" si="0"/>
        <v>6.2840355547126572E-3</v>
      </c>
      <c r="D30" s="13">
        <v>5.1252028769149569E-2</v>
      </c>
    </row>
    <row r="31" spans="1:4" ht="15" thickBot="1" x14ac:dyDescent="0.35">
      <c r="A31" s="8">
        <v>6</v>
      </c>
      <c r="B31" s="14">
        <v>2.320372531259755E-2</v>
      </c>
      <c r="C31" s="20">
        <f t="shared" si="0"/>
        <v>5.8009313281493875E-3</v>
      </c>
      <c r="D31" s="14">
        <v>1.905174802064059E-2</v>
      </c>
    </row>
    <row r="32" spans="1:4" x14ac:dyDescent="0.3">
      <c r="A32" s="3">
        <v>7</v>
      </c>
      <c r="B32" s="12">
        <v>3.3607277285332221E-2</v>
      </c>
      <c r="C32" s="15">
        <f t="shared" si="0"/>
        <v>8.4018193213330553E-3</v>
      </c>
      <c r="D32" s="12">
        <v>8.1683753676376654E-3</v>
      </c>
    </row>
    <row r="33" spans="1:4" x14ac:dyDescent="0.3">
      <c r="A33" s="6">
        <v>7</v>
      </c>
      <c r="B33" s="13">
        <v>3.6578111403873827E-2</v>
      </c>
      <c r="C33" s="15">
        <f t="shared" si="0"/>
        <v>9.1445278509684567E-3</v>
      </c>
      <c r="D33" s="13">
        <v>1.105345823939813E-2</v>
      </c>
    </row>
    <row r="34" spans="1:4" x14ac:dyDescent="0.3">
      <c r="A34" s="6">
        <v>7</v>
      </c>
      <c r="B34" s="13">
        <v>3.003851293461552E-2</v>
      </c>
      <c r="C34" s="15">
        <f t="shared" si="0"/>
        <v>7.5096282336538801E-3</v>
      </c>
      <c r="D34" s="13">
        <v>9.6822739482970252E-2</v>
      </c>
    </row>
    <row r="35" spans="1:4" x14ac:dyDescent="0.3">
      <c r="A35" s="6">
        <v>7</v>
      </c>
      <c r="B35" s="13">
        <v>1.1669068148248951E-2</v>
      </c>
      <c r="C35" s="15">
        <f t="shared" si="0"/>
        <v>2.9172670370622377E-3</v>
      </c>
      <c r="D35" s="13">
        <v>3.8859185930349649E-2</v>
      </c>
    </row>
    <row r="36" spans="1:4" ht="15" thickBot="1" x14ac:dyDescent="0.35">
      <c r="A36" s="8">
        <v>7</v>
      </c>
      <c r="B36" s="14">
        <v>1.8065215457419199E-2</v>
      </c>
      <c r="C36" s="20">
        <f t="shared" si="0"/>
        <v>4.5163038643547997E-3</v>
      </c>
      <c r="D36" s="14">
        <v>3.2534644485929347E-2</v>
      </c>
    </row>
    <row r="37" spans="1:4" x14ac:dyDescent="0.3">
      <c r="A37" s="3">
        <v>8</v>
      </c>
      <c r="B37" s="12">
        <v>3.5026141383485948E-2</v>
      </c>
      <c r="C37" s="15">
        <f t="shared" si="0"/>
        <v>8.756535345871487E-3</v>
      </c>
      <c r="D37" s="12">
        <v>9.2490421238346741E-3</v>
      </c>
    </row>
    <row r="38" spans="1:4" x14ac:dyDescent="0.3">
      <c r="A38" s="6">
        <v>8</v>
      </c>
      <c r="B38" s="13">
        <v>3.5164530967729028E-2</v>
      </c>
      <c r="C38" s="15">
        <f t="shared" si="0"/>
        <v>8.7911327419322571E-3</v>
      </c>
      <c r="D38" s="13">
        <v>1.6887159468723541E-2</v>
      </c>
    </row>
    <row r="39" spans="1:4" x14ac:dyDescent="0.3">
      <c r="A39" s="6">
        <v>8</v>
      </c>
      <c r="B39" s="13">
        <v>3.0511145187334759E-2</v>
      </c>
      <c r="C39" s="15">
        <f t="shared" si="0"/>
        <v>7.6277862968336897E-3</v>
      </c>
      <c r="D39" s="13">
        <v>0.12876312892675071</v>
      </c>
    </row>
    <row r="40" spans="1:4" x14ac:dyDescent="0.3">
      <c r="A40" s="6">
        <v>8</v>
      </c>
      <c r="B40" s="13">
        <v>1.284917091438151E-2</v>
      </c>
      <c r="C40" s="15">
        <f t="shared" si="0"/>
        <v>3.2122927285953774E-3</v>
      </c>
      <c r="D40" s="13">
        <v>3.8922545658453538E-2</v>
      </c>
    </row>
    <row r="41" spans="1:4" ht="15" thickBot="1" x14ac:dyDescent="0.35">
      <c r="A41" s="8">
        <v>8</v>
      </c>
      <c r="B41" s="14">
        <v>1.7037181753878521E-2</v>
      </c>
      <c r="C41" s="20">
        <f t="shared" si="0"/>
        <v>4.2592954384696301E-3</v>
      </c>
      <c r="D41" s="14">
        <v>3.0621350087310869E-2</v>
      </c>
    </row>
    <row r="42" spans="1:4" x14ac:dyDescent="0.3">
      <c r="A42" s="3">
        <v>9</v>
      </c>
      <c r="B42" s="12">
        <v>3.371622569255172E-2</v>
      </c>
      <c r="C42" s="15">
        <f t="shared" si="0"/>
        <v>8.42905642313793E-3</v>
      </c>
      <c r="D42" s="12">
        <v>8.0774734854602882E-3</v>
      </c>
    </row>
    <row r="43" spans="1:4" x14ac:dyDescent="0.3">
      <c r="A43" s="6">
        <v>9</v>
      </c>
      <c r="B43" s="13">
        <v>3.4941336281717653E-2</v>
      </c>
      <c r="C43" s="15">
        <f t="shared" si="0"/>
        <v>8.7353340704294132E-3</v>
      </c>
      <c r="D43" s="13">
        <v>1.99072320562542E-2</v>
      </c>
    </row>
    <row r="44" spans="1:4" x14ac:dyDescent="0.3">
      <c r="A44" s="6">
        <v>9</v>
      </c>
      <c r="B44" s="13">
        <v>2.9813026460568451E-2</v>
      </c>
      <c r="C44" s="15">
        <f t="shared" si="0"/>
        <v>7.4532566151421127E-3</v>
      </c>
      <c r="D44" s="13">
        <v>8.099305573390593E-2</v>
      </c>
    </row>
    <row r="45" spans="1:4" x14ac:dyDescent="0.3">
      <c r="A45" s="6">
        <v>9</v>
      </c>
      <c r="B45" s="13">
        <v>1.1615515221347929E-2</v>
      </c>
      <c r="C45" s="15">
        <f t="shared" si="0"/>
        <v>2.9038788053369824E-3</v>
      </c>
      <c r="D45" s="13">
        <v>4.5951852256868868E-2</v>
      </c>
    </row>
    <row r="46" spans="1:4" ht="15" thickBot="1" x14ac:dyDescent="0.35">
      <c r="A46" s="8">
        <v>9</v>
      </c>
      <c r="B46" s="14">
        <v>2.320059480895531E-2</v>
      </c>
      <c r="C46" s="20">
        <f t="shared" si="0"/>
        <v>5.8001487022388276E-3</v>
      </c>
      <c r="D46" s="14">
        <v>1.859887051125229E-2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2026-04-10T15:15:26Z</dcterms:created>
  <dcterms:modified xsi:type="dcterms:W3CDTF">2026-04-15T19:08:34Z</dcterms:modified>
</cp:coreProperties>
</file>